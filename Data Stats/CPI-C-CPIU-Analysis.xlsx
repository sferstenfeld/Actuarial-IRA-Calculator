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urly\OneDrive\Desktop\Cursor IRA\Data Stats\"/>
    </mc:Choice>
  </mc:AlternateContent>
  <xr:revisionPtr revIDLastSave="0" documentId="13_ncr:1_{3F7004AC-3072-487C-82B4-1E0A1C1C926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ADME" sheetId="1" r:id="rId1"/>
    <sheet name="DATA" sheetId="4" r:id="rId2"/>
  </sheets>
  <definedNames>
    <definedName name="_xlnm._FilterDatabase" localSheetId="1" hidden="1">DATA!$F$1:$F$330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4" l="1" a="1"/>
  <c r="R2" i="4" s="1"/>
  <c r="N2" i="4" a="1"/>
  <c r="N2" i="4" s="1"/>
  <c r="L317" i="4"/>
  <c r="M317" i="4" s="1"/>
  <c r="H317" i="4"/>
  <c r="I317" i="4" s="1"/>
  <c r="L316" i="4"/>
  <c r="M316" i="4" s="1"/>
  <c r="H316" i="4"/>
  <c r="I316" i="4" s="1"/>
  <c r="L315" i="4"/>
  <c r="M315" i="4" s="1"/>
  <c r="H315" i="4"/>
  <c r="I315" i="4" s="1"/>
  <c r="L314" i="4"/>
  <c r="M314" i="4" s="1"/>
  <c r="H314" i="4"/>
  <c r="I314" i="4" s="1"/>
  <c r="L313" i="4"/>
  <c r="M313" i="4" s="1"/>
  <c r="H313" i="4"/>
  <c r="I313" i="4" s="1"/>
  <c r="L312" i="4"/>
  <c r="M312" i="4" s="1"/>
  <c r="H312" i="4"/>
  <c r="I312" i="4" s="1"/>
  <c r="L311" i="4"/>
  <c r="M311" i="4" s="1"/>
  <c r="H311" i="4"/>
  <c r="I311" i="4" s="1"/>
  <c r="L310" i="4"/>
  <c r="M310" i="4" s="1"/>
  <c r="H310" i="4"/>
  <c r="I310" i="4" s="1"/>
  <c r="L309" i="4"/>
  <c r="M309" i="4" s="1"/>
  <c r="H309" i="4"/>
  <c r="I309" i="4" s="1"/>
  <c r="L308" i="4"/>
  <c r="M308" i="4" s="1"/>
  <c r="H308" i="4"/>
  <c r="I308" i="4" s="1"/>
  <c r="L307" i="4"/>
  <c r="M307" i="4" s="1"/>
  <c r="H307" i="4"/>
  <c r="I307" i="4" s="1"/>
  <c r="L306" i="4"/>
  <c r="M306" i="4" s="1"/>
  <c r="H306" i="4"/>
  <c r="I306" i="4" s="1"/>
  <c r="L305" i="4"/>
  <c r="M305" i="4" s="1"/>
  <c r="H305" i="4"/>
  <c r="I305" i="4" s="1"/>
  <c r="L304" i="4"/>
  <c r="M304" i="4" s="1"/>
  <c r="H304" i="4"/>
  <c r="I304" i="4" s="1"/>
  <c r="L303" i="4"/>
  <c r="M303" i="4" s="1"/>
  <c r="H303" i="4"/>
  <c r="I303" i="4" s="1"/>
  <c r="L302" i="4"/>
  <c r="M302" i="4" s="1"/>
  <c r="H302" i="4"/>
  <c r="I302" i="4" s="1"/>
  <c r="L301" i="4"/>
  <c r="M301" i="4" s="1"/>
  <c r="H301" i="4"/>
  <c r="I301" i="4" s="1"/>
  <c r="L300" i="4"/>
  <c r="M300" i="4" s="1"/>
  <c r="H300" i="4"/>
  <c r="I300" i="4" s="1"/>
  <c r="L299" i="4"/>
  <c r="M299" i="4" s="1"/>
  <c r="H299" i="4"/>
  <c r="I299" i="4" s="1"/>
  <c r="L298" i="4"/>
  <c r="M298" i="4" s="1"/>
  <c r="H298" i="4"/>
  <c r="I298" i="4" s="1"/>
  <c r="L297" i="4"/>
  <c r="M297" i="4" s="1"/>
  <c r="H297" i="4"/>
  <c r="I297" i="4" s="1"/>
  <c r="L296" i="4"/>
  <c r="M296" i="4" s="1"/>
  <c r="H296" i="4"/>
  <c r="I296" i="4" s="1"/>
  <c r="L295" i="4"/>
  <c r="M295" i="4" s="1"/>
  <c r="H295" i="4"/>
  <c r="I295" i="4" s="1"/>
  <c r="L294" i="4"/>
  <c r="M294" i="4" s="1"/>
  <c r="H294" i="4"/>
  <c r="I294" i="4" s="1"/>
  <c r="L293" i="4"/>
  <c r="M293" i="4" s="1"/>
  <c r="H293" i="4"/>
  <c r="I293" i="4" s="1"/>
  <c r="L292" i="4"/>
  <c r="M292" i="4" s="1"/>
  <c r="H292" i="4"/>
  <c r="I292" i="4" s="1"/>
  <c r="L291" i="4"/>
  <c r="M291" i="4" s="1"/>
  <c r="H291" i="4"/>
  <c r="I291" i="4" s="1"/>
  <c r="L290" i="4"/>
  <c r="M290" i="4" s="1"/>
  <c r="H290" i="4"/>
  <c r="I290" i="4" s="1"/>
  <c r="L289" i="4"/>
  <c r="M289" i="4" s="1"/>
  <c r="H289" i="4"/>
  <c r="I289" i="4" s="1"/>
  <c r="L288" i="4"/>
  <c r="M288" i="4" s="1"/>
  <c r="H288" i="4"/>
  <c r="I288" i="4" s="1"/>
  <c r="L287" i="4"/>
  <c r="M287" i="4" s="1"/>
  <c r="H287" i="4"/>
  <c r="I287" i="4" s="1"/>
  <c r="L286" i="4"/>
  <c r="M286" i="4" s="1"/>
  <c r="H286" i="4"/>
  <c r="I286" i="4" s="1"/>
  <c r="L285" i="4"/>
  <c r="M285" i="4" s="1"/>
  <c r="H285" i="4"/>
  <c r="I285" i="4" s="1"/>
  <c r="L284" i="4"/>
  <c r="M284" i="4" s="1"/>
  <c r="H284" i="4"/>
  <c r="I284" i="4" s="1"/>
  <c r="L283" i="4"/>
  <c r="M283" i="4" s="1"/>
  <c r="H283" i="4"/>
  <c r="I283" i="4" s="1"/>
  <c r="L282" i="4"/>
  <c r="M282" i="4" s="1"/>
  <c r="H282" i="4"/>
  <c r="I282" i="4" s="1"/>
  <c r="L281" i="4"/>
  <c r="M281" i="4" s="1"/>
  <c r="H281" i="4"/>
  <c r="I281" i="4" s="1"/>
  <c r="L280" i="4"/>
  <c r="M280" i="4" s="1"/>
  <c r="H280" i="4"/>
  <c r="I280" i="4" s="1"/>
  <c r="L279" i="4"/>
  <c r="M279" i="4" s="1"/>
  <c r="H279" i="4"/>
  <c r="I279" i="4" s="1"/>
  <c r="L278" i="4"/>
  <c r="M278" i="4" s="1"/>
  <c r="H278" i="4"/>
  <c r="I278" i="4" s="1"/>
  <c r="L277" i="4"/>
  <c r="M277" i="4" s="1"/>
  <c r="H277" i="4"/>
  <c r="I277" i="4" s="1"/>
  <c r="L276" i="4"/>
  <c r="M276" i="4" s="1"/>
  <c r="H276" i="4"/>
  <c r="I276" i="4" s="1"/>
  <c r="L275" i="4"/>
  <c r="M275" i="4" s="1"/>
  <c r="H275" i="4"/>
  <c r="I275" i="4" s="1"/>
  <c r="L274" i="4"/>
  <c r="M274" i="4" s="1"/>
  <c r="H274" i="4"/>
  <c r="I274" i="4" s="1"/>
  <c r="L273" i="4"/>
  <c r="M273" i="4" s="1"/>
  <c r="H273" i="4"/>
  <c r="I273" i="4" s="1"/>
  <c r="L272" i="4"/>
  <c r="M272" i="4" s="1"/>
  <c r="H272" i="4"/>
  <c r="I272" i="4" s="1"/>
  <c r="L271" i="4"/>
  <c r="M271" i="4" s="1"/>
  <c r="H271" i="4"/>
  <c r="I271" i="4" s="1"/>
  <c r="L270" i="4"/>
  <c r="M270" i="4" s="1"/>
  <c r="H270" i="4"/>
  <c r="I270" i="4" s="1"/>
  <c r="L269" i="4"/>
  <c r="M269" i="4" s="1"/>
  <c r="H269" i="4"/>
  <c r="I269" i="4" s="1"/>
  <c r="L268" i="4"/>
  <c r="M268" i="4" s="1"/>
  <c r="H268" i="4"/>
  <c r="I268" i="4" s="1"/>
  <c r="L267" i="4"/>
  <c r="M267" i="4" s="1"/>
  <c r="H267" i="4"/>
  <c r="I267" i="4" s="1"/>
  <c r="L266" i="4"/>
  <c r="M266" i="4" s="1"/>
  <c r="H266" i="4"/>
  <c r="I266" i="4" s="1"/>
  <c r="L265" i="4"/>
  <c r="M265" i="4" s="1"/>
  <c r="H265" i="4"/>
  <c r="I265" i="4" s="1"/>
  <c r="L264" i="4"/>
  <c r="M264" i="4" s="1"/>
  <c r="H264" i="4"/>
  <c r="I264" i="4" s="1"/>
  <c r="L263" i="4"/>
  <c r="M263" i="4" s="1"/>
  <c r="H263" i="4"/>
  <c r="I263" i="4" s="1"/>
  <c r="L262" i="4"/>
  <c r="M262" i="4" s="1"/>
  <c r="H262" i="4"/>
  <c r="I262" i="4" s="1"/>
  <c r="L261" i="4"/>
  <c r="M261" i="4" s="1"/>
  <c r="H261" i="4"/>
  <c r="I261" i="4" s="1"/>
  <c r="L260" i="4"/>
  <c r="M260" i="4" s="1"/>
  <c r="H260" i="4"/>
  <c r="I260" i="4" s="1"/>
  <c r="L259" i="4"/>
  <c r="M259" i="4" s="1"/>
  <c r="H259" i="4"/>
  <c r="I259" i="4" s="1"/>
  <c r="L258" i="4"/>
  <c r="M258" i="4" s="1"/>
  <c r="H258" i="4"/>
  <c r="I258" i="4" s="1"/>
  <c r="L257" i="4"/>
  <c r="M257" i="4" s="1"/>
  <c r="H257" i="4"/>
  <c r="I257" i="4" s="1"/>
  <c r="L256" i="4"/>
  <c r="M256" i="4" s="1"/>
  <c r="H256" i="4"/>
  <c r="I256" i="4" s="1"/>
  <c r="L255" i="4"/>
  <c r="M255" i="4" s="1"/>
  <c r="H255" i="4"/>
  <c r="I255" i="4" s="1"/>
  <c r="L254" i="4"/>
  <c r="M254" i="4" s="1"/>
  <c r="H254" i="4"/>
  <c r="I254" i="4" s="1"/>
  <c r="L253" i="4"/>
  <c r="M253" i="4" s="1"/>
  <c r="H253" i="4"/>
  <c r="I253" i="4" s="1"/>
  <c r="L252" i="4"/>
  <c r="M252" i="4" s="1"/>
  <c r="H252" i="4"/>
  <c r="I252" i="4" s="1"/>
  <c r="L251" i="4"/>
  <c r="M251" i="4" s="1"/>
  <c r="H251" i="4"/>
  <c r="I251" i="4" s="1"/>
  <c r="L250" i="4"/>
  <c r="M250" i="4" s="1"/>
  <c r="H250" i="4"/>
  <c r="I250" i="4" s="1"/>
  <c r="L249" i="4"/>
  <c r="M249" i="4" s="1"/>
  <c r="H249" i="4"/>
  <c r="I249" i="4" s="1"/>
  <c r="L248" i="4"/>
  <c r="M248" i="4" s="1"/>
  <c r="H248" i="4"/>
  <c r="I248" i="4" s="1"/>
  <c r="L247" i="4"/>
  <c r="M247" i="4" s="1"/>
  <c r="H247" i="4"/>
  <c r="I247" i="4" s="1"/>
  <c r="L246" i="4"/>
  <c r="M246" i="4" s="1"/>
  <c r="H246" i="4"/>
  <c r="I246" i="4" s="1"/>
  <c r="L245" i="4"/>
  <c r="M245" i="4" s="1"/>
  <c r="H245" i="4"/>
  <c r="I245" i="4" s="1"/>
  <c r="L244" i="4"/>
  <c r="M244" i="4" s="1"/>
  <c r="H244" i="4"/>
  <c r="I244" i="4" s="1"/>
  <c r="L243" i="4"/>
  <c r="M243" i="4" s="1"/>
  <c r="H243" i="4"/>
  <c r="I243" i="4" s="1"/>
  <c r="L242" i="4"/>
  <c r="M242" i="4" s="1"/>
  <c r="H242" i="4"/>
  <c r="I242" i="4" s="1"/>
  <c r="L241" i="4"/>
  <c r="M241" i="4" s="1"/>
  <c r="H241" i="4"/>
  <c r="I241" i="4" s="1"/>
  <c r="L240" i="4"/>
  <c r="M240" i="4" s="1"/>
  <c r="H240" i="4"/>
  <c r="I240" i="4" s="1"/>
  <c r="L239" i="4"/>
  <c r="M239" i="4" s="1"/>
  <c r="H239" i="4"/>
  <c r="I239" i="4" s="1"/>
  <c r="L238" i="4"/>
  <c r="M238" i="4" s="1"/>
  <c r="H238" i="4"/>
  <c r="I238" i="4" s="1"/>
  <c r="L237" i="4"/>
  <c r="M237" i="4" s="1"/>
  <c r="H237" i="4"/>
  <c r="I237" i="4" s="1"/>
  <c r="L236" i="4"/>
  <c r="M236" i="4" s="1"/>
  <c r="H236" i="4"/>
  <c r="I236" i="4" s="1"/>
  <c r="L235" i="4"/>
  <c r="M235" i="4" s="1"/>
  <c r="H235" i="4"/>
  <c r="I235" i="4" s="1"/>
  <c r="L234" i="4"/>
  <c r="M234" i="4" s="1"/>
  <c r="H234" i="4"/>
  <c r="I234" i="4" s="1"/>
  <c r="L233" i="4"/>
  <c r="M233" i="4" s="1"/>
  <c r="H233" i="4"/>
  <c r="I233" i="4" s="1"/>
  <c r="L232" i="4"/>
  <c r="M232" i="4" s="1"/>
  <c r="H232" i="4"/>
  <c r="I232" i="4" s="1"/>
  <c r="L231" i="4"/>
  <c r="M231" i="4" s="1"/>
  <c r="H231" i="4"/>
  <c r="I231" i="4" s="1"/>
  <c r="L230" i="4"/>
  <c r="M230" i="4" s="1"/>
  <c r="H230" i="4"/>
  <c r="I230" i="4" s="1"/>
  <c r="L229" i="4"/>
  <c r="M229" i="4" s="1"/>
  <c r="H229" i="4"/>
  <c r="I229" i="4" s="1"/>
  <c r="L228" i="4"/>
  <c r="M228" i="4" s="1"/>
  <c r="H228" i="4"/>
  <c r="I228" i="4" s="1"/>
  <c r="L227" i="4"/>
  <c r="M227" i="4" s="1"/>
  <c r="H227" i="4"/>
  <c r="I227" i="4" s="1"/>
  <c r="L226" i="4"/>
  <c r="M226" i="4" s="1"/>
  <c r="H226" i="4"/>
  <c r="I226" i="4" s="1"/>
  <c r="L225" i="4"/>
  <c r="M225" i="4" s="1"/>
  <c r="H225" i="4"/>
  <c r="I225" i="4" s="1"/>
  <c r="L224" i="4"/>
  <c r="M224" i="4" s="1"/>
  <c r="H224" i="4"/>
  <c r="I224" i="4" s="1"/>
  <c r="L223" i="4"/>
  <c r="M223" i="4" s="1"/>
  <c r="H223" i="4"/>
  <c r="I223" i="4" s="1"/>
  <c r="L222" i="4"/>
  <c r="M222" i="4" s="1"/>
  <c r="H222" i="4"/>
  <c r="I222" i="4" s="1"/>
  <c r="L221" i="4"/>
  <c r="M221" i="4" s="1"/>
  <c r="H221" i="4"/>
  <c r="I221" i="4" s="1"/>
  <c r="L220" i="4"/>
  <c r="M220" i="4" s="1"/>
  <c r="H220" i="4"/>
  <c r="I220" i="4" s="1"/>
  <c r="L219" i="4"/>
  <c r="M219" i="4" s="1"/>
  <c r="H219" i="4"/>
  <c r="I219" i="4" s="1"/>
  <c r="L218" i="4"/>
  <c r="M218" i="4" s="1"/>
  <c r="H218" i="4"/>
  <c r="I218" i="4" s="1"/>
  <c r="L217" i="4"/>
  <c r="M217" i="4" s="1"/>
  <c r="H217" i="4"/>
  <c r="I217" i="4" s="1"/>
  <c r="L216" i="4"/>
  <c r="M216" i="4" s="1"/>
  <c r="H216" i="4"/>
  <c r="I216" i="4" s="1"/>
  <c r="L215" i="4"/>
  <c r="M215" i="4" s="1"/>
  <c r="H215" i="4"/>
  <c r="I215" i="4" s="1"/>
  <c r="L214" i="4"/>
  <c r="M214" i="4" s="1"/>
  <c r="H214" i="4"/>
  <c r="I214" i="4" s="1"/>
  <c r="L213" i="4"/>
  <c r="M213" i="4" s="1"/>
  <c r="H213" i="4"/>
  <c r="I213" i="4" s="1"/>
  <c r="L212" i="4"/>
  <c r="M212" i="4" s="1"/>
  <c r="H212" i="4"/>
  <c r="I212" i="4" s="1"/>
  <c r="L211" i="4"/>
  <c r="M211" i="4" s="1"/>
  <c r="H211" i="4"/>
  <c r="I211" i="4" s="1"/>
  <c r="L210" i="4"/>
  <c r="M210" i="4" s="1"/>
  <c r="H210" i="4"/>
  <c r="I210" i="4" s="1"/>
  <c r="L209" i="4"/>
  <c r="M209" i="4" s="1"/>
  <c r="H209" i="4"/>
  <c r="I209" i="4" s="1"/>
  <c r="L208" i="4"/>
  <c r="M208" i="4" s="1"/>
  <c r="H208" i="4"/>
  <c r="I208" i="4" s="1"/>
  <c r="L207" i="4"/>
  <c r="M207" i="4" s="1"/>
  <c r="H207" i="4"/>
  <c r="I207" i="4" s="1"/>
  <c r="L206" i="4"/>
  <c r="M206" i="4" s="1"/>
  <c r="H206" i="4"/>
  <c r="I206" i="4" s="1"/>
  <c r="L205" i="4"/>
  <c r="M205" i="4" s="1"/>
  <c r="H205" i="4"/>
  <c r="I205" i="4" s="1"/>
  <c r="L204" i="4"/>
  <c r="M204" i="4" s="1"/>
  <c r="H204" i="4"/>
  <c r="I204" i="4" s="1"/>
  <c r="L203" i="4"/>
  <c r="M203" i="4" s="1"/>
  <c r="H203" i="4"/>
  <c r="I203" i="4" s="1"/>
  <c r="L202" i="4"/>
  <c r="M202" i="4" s="1"/>
  <c r="H202" i="4"/>
  <c r="I202" i="4" s="1"/>
  <c r="L201" i="4"/>
  <c r="M201" i="4" s="1"/>
  <c r="H201" i="4"/>
  <c r="I201" i="4" s="1"/>
  <c r="L200" i="4"/>
  <c r="M200" i="4" s="1"/>
  <c r="H200" i="4"/>
  <c r="I200" i="4" s="1"/>
  <c r="L199" i="4"/>
  <c r="M199" i="4" s="1"/>
  <c r="H199" i="4"/>
  <c r="I199" i="4" s="1"/>
  <c r="L198" i="4"/>
  <c r="M198" i="4" s="1"/>
  <c r="H198" i="4"/>
  <c r="I198" i="4" s="1"/>
  <c r="L197" i="4"/>
  <c r="M197" i="4" s="1"/>
  <c r="H197" i="4"/>
  <c r="I197" i="4" s="1"/>
  <c r="L196" i="4"/>
  <c r="M196" i="4" s="1"/>
  <c r="H196" i="4"/>
  <c r="I196" i="4" s="1"/>
  <c r="L195" i="4"/>
  <c r="M195" i="4" s="1"/>
  <c r="H195" i="4"/>
  <c r="I195" i="4" s="1"/>
  <c r="L194" i="4"/>
  <c r="M194" i="4" s="1"/>
  <c r="H194" i="4"/>
  <c r="I194" i="4" s="1"/>
  <c r="L193" i="4"/>
  <c r="M193" i="4" s="1"/>
  <c r="H193" i="4"/>
  <c r="I193" i="4" s="1"/>
  <c r="L192" i="4"/>
  <c r="M192" i="4" s="1"/>
  <c r="H192" i="4"/>
  <c r="I192" i="4" s="1"/>
  <c r="L191" i="4"/>
  <c r="M191" i="4" s="1"/>
  <c r="H191" i="4"/>
  <c r="I191" i="4" s="1"/>
  <c r="L190" i="4"/>
  <c r="M190" i="4" s="1"/>
  <c r="H190" i="4"/>
  <c r="I190" i="4" s="1"/>
  <c r="L189" i="4"/>
  <c r="M189" i="4" s="1"/>
  <c r="H189" i="4"/>
  <c r="I189" i="4" s="1"/>
  <c r="L188" i="4"/>
  <c r="M188" i="4" s="1"/>
  <c r="H188" i="4"/>
  <c r="I188" i="4" s="1"/>
  <c r="L187" i="4"/>
  <c r="M187" i="4" s="1"/>
  <c r="H187" i="4"/>
  <c r="I187" i="4" s="1"/>
  <c r="L186" i="4"/>
  <c r="M186" i="4" s="1"/>
  <c r="H186" i="4"/>
  <c r="I186" i="4" s="1"/>
  <c r="L185" i="4"/>
  <c r="M185" i="4" s="1"/>
  <c r="H185" i="4"/>
  <c r="I185" i="4" s="1"/>
  <c r="L184" i="4"/>
  <c r="M184" i="4" s="1"/>
  <c r="H184" i="4"/>
  <c r="I184" i="4" s="1"/>
  <c r="L183" i="4"/>
  <c r="M183" i="4" s="1"/>
  <c r="H183" i="4"/>
  <c r="I183" i="4" s="1"/>
  <c r="L182" i="4"/>
  <c r="M182" i="4" s="1"/>
  <c r="H182" i="4"/>
  <c r="I182" i="4" s="1"/>
  <c r="L181" i="4"/>
  <c r="M181" i="4" s="1"/>
  <c r="H181" i="4"/>
  <c r="I181" i="4" s="1"/>
  <c r="L180" i="4"/>
  <c r="M180" i="4" s="1"/>
  <c r="H180" i="4"/>
  <c r="I180" i="4" s="1"/>
  <c r="L179" i="4"/>
  <c r="M179" i="4" s="1"/>
  <c r="H179" i="4"/>
  <c r="I179" i="4" s="1"/>
  <c r="L178" i="4"/>
  <c r="M178" i="4" s="1"/>
  <c r="H178" i="4"/>
  <c r="I178" i="4" s="1"/>
  <c r="L177" i="4"/>
  <c r="M177" i="4" s="1"/>
  <c r="H177" i="4"/>
  <c r="I177" i="4" s="1"/>
  <c r="L176" i="4"/>
  <c r="M176" i="4" s="1"/>
  <c r="H176" i="4"/>
  <c r="I176" i="4" s="1"/>
  <c r="L175" i="4"/>
  <c r="M175" i="4" s="1"/>
  <c r="H175" i="4"/>
  <c r="I175" i="4" s="1"/>
  <c r="L174" i="4"/>
  <c r="M174" i="4" s="1"/>
  <c r="H174" i="4"/>
  <c r="I174" i="4" s="1"/>
  <c r="L173" i="4"/>
  <c r="M173" i="4" s="1"/>
  <c r="H173" i="4"/>
  <c r="I173" i="4" s="1"/>
  <c r="L172" i="4"/>
  <c r="M172" i="4" s="1"/>
  <c r="H172" i="4"/>
  <c r="I172" i="4" s="1"/>
  <c r="L171" i="4"/>
  <c r="M171" i="4" s="1"/>
  <c r="H171" i="4"/>
  <c r="I171" i="4" s="1"/>
  <c r="L170" i="4"/>
  <c r="M170" i="4" s="1"/>
  <c r="H170" i="4"/>
  <c r="I170" i="4" s="1"/>
  <c r="L169" i="4"/>
  <c r="M169" i="4" s="1"/>
  <c r="H169" i="4"/>
  <c r="I169" i="4" s="1"/>
  <c r="L168" i="4"/>
  <c r="M168" i="4" s="1"/>
  <c r="H168" i="4"/>
  <c r="I168" i="4" s="1"/>
  <c r="L167" i="4"/>
  <c r="M167" i="4" s="1"/>
  <c r="H167" i="4"/>
  <c r="I167" i="4" s="1"/>
  <c r="L166" i="4"/>
  <c r="M166" i="4" s="1"/>
  <c r="H166" i="4"/>
  <c r="I166" i="4" s="1"/>
  <c r="L165" i="4"/>
  <c r="M165" i="4" s="1"/>
  <c r="H165" i="4"/>
  <c r="I165" i="4" s="1"/>
  <c r="L164" i="4"/>
  <c r="M164" i="4" s="1"/>
  <c r="H164" i="4"/>
  <c r="I164" i="4" s="1"/>
  <c r="L163" i="4"/>
  <c r="M163" i="4" s="1"/>
  <c r="H163" i="4"/>
  <c r="I163" i="4" s="1"/>
  <c r="L162" i="4"/>
  <c r="M162" i="4" s="1"/>
  <c r="H162" i="4"/>
  <c r="I162" i="4" s="1"/>
  <c r="L161" i="4"/>
  <c r="M161" i="4" s="1"/>
  <c r="H161" i="4"/>
  <c r="I161" i="4" s="1"/>
  <c r="L160" i="4"/>
  <c r="M160" i="4" s="1"/>
  <c r="H160" i="4"/>
  <c r="I160" i="4" s="1"/>
  <c r="L159" i="4"/>
  <c r="M159" i="4" s="1"/>
  <c r="H159" i="4"/>
  <c r="I159" i="4" s="1"/>
  <c r="L158" i="4"/>
  <c r="M158" i="4" s="1"/>
  <c r="H158" i="4"/>
  <c r="I158" i="4" s="1"/>
  <c r="L157" i="4"/>
  <c r="M157" i="4" s="1"/>
  <c r="H157" i="4"/>
  <c r="I157" i="4" s="1"/>
  <c r="L156" i="4"/>
  <c r="M156" i="4" s="1"/>
  <c r="H156" i="4"/>
  <c r="I156" i="4" s="1"/>
  <c r="L155" i="4"/>
  <c r="M155" i="4" s="1"/>
  <c r="H155" i="4"/>
  <c r="I155" i="4" s="1"/>
  <c r="L154" i="4"/>
  <c r="M154" i="4" s="1"/>
  <c r="H154" i="4"/>
  <c r="I154" i="4" s="1"/>
  <c r="L153" i="4"/>
  <c r="M153" i="4" s="1"/>
  <c r="H153" i="4"/>
  <c r="I153" i="4" s="1"/>
  <c r="L152" i="4"/>
  <c r="M152" i="4" s="1"/>
  <c r="H152" i="4"/>
  <c r="I152" i="4" s="1"/>
  <c r="L151" i="4"/>
  <c r="M151" i="4" s="1"/>
  <c r="H151" i="4"/>
  <c r="I151" i="4" s="1"/>
  <c r="L150" i="4"/>
  <c r="M150" i="4" s="1"/>
  <c r="H150" i="4"/>
  <c r="I150" i="4" s="1"/>
  <c r="L149" i="4"/>
  <c r="M149" i="4" s="1"/>
  <c r="H149" i="4"/>
  <c r="I149" i="4" s="1"/>
  <c r="L148" i="4"/>
  <c r="M148" i="4" s="1"/>
  <c r="H148" i="4"/>
  <c r="I148" i="4" s="1"/>
  <c r="L147" i="4"/>
  <c r="M147" i="4" s="1"/>
  <c r="H147" i="4"/>
  <c r="I147" i="4" s="1"/>
  <c r="L146" i="4"/>
  <c r="M146" i="4" s="1"/>
  <c r="H146" i="4"/>
  <c r="I146" i="4" s="1"/>
  <c r="L145" i="4"/>
  <c r="M145" i="4" s="1"/>
  <c r="H145" i="4"/>
  <c r="I145" i="4" s="1"/>
  <c r="L144" i="4"/>
  <c r="M144" i="4" s="1"/>
  <c r="H144" i="4"/>
  <c r="I144" i="4" s="1"/>
  <c r="L143" i="4"/>
  <c r="M143" i="4" s="1"/>
  <c r="H143" i="4"/>
  <c r="I143" i="4" s="1"/>
  <c r="L142" i="4"/>
  <c r="M142" i="4" s="1"/>
  <c r="H142" i="4"/>
  <c r="I142" i="4" s="1"/>
  <c r="L141" i="4"/>
  <c r="M141" i="4" s="1"/>
  <c r="H141" i="4"/>
  <c r="I141" i="4" s="1"/>
  <c r="L140" i="4"/>
  <c r="M140" i="4" s="1"/>
  <c r="H140" i="4"/>
  <c r="I140" i="4" s="1"/>
  <c r="L139" i="4"/>
  <c r="M139" i="4" s="1"/>
  <c r="H139" i="4"/>
  <c r="I139" i="4" s="1"/>
  <c r="L138" i="4"/>
  <c r="M138" i="4" s="1"/>
  <c r="H138" i="4"/>
  <c r="I138" i="4" s="1"/>
  <c r="L137" i="4"/>
  <c r="M137" i="4" s="1"/>
  <c r="H137" i="4"/>
  <c r="I137" i="4" s="1"/>
  <c r="L136" i="4"/>
  <c r="M136" i="4" s="1"/>
  <c r="H136" i="4"/>
  <c r="I136" i="4" s="1"/>
  <c r="L135" i="4"/>
  <c r="M135" i="4" s="1"/>
  <c r="H135" i="4"/>
  <c r="I135" i="4" s="1"/>
  <c r="L134" i="4"/>
  <c r="M134" i="4" s="1"/>
  <c r="H134" i="4"/>
  <c r="I134" i="4" s="1"/>
  <c r="L133" i="4"/>
  <c r="M133" i="4" s="1"/>
  <c r="H133" i="4"/>
  <c r="I133" i="4" s="1"/>
  <c r="L132" i="4"/>
  <c r="M132" i="4" s="1"/>
  <c r="H132" i="4"/>
  <c r="I132" i="4" s="1"/>
  <c r="L131" i="4"/>
  <c r="M131" i="4" s="1"/>
  <c r="H131" i="4"/>
  <c r="I131" i="4" s="1"/>
  <c r="L130" i="4"/>
  <c r="M130" i="4" s="1"/>
  <c r="H130" i="4"/>
  <c r="I130" i="4" s="1"/>
  <c r="L129" i="4"/>
  <c r="M129" i="4" s="1"/>
  <c r="H129" i="4"/>
  <c r="I129" i="4" s="1"/>
  <c r="L128" i="4"/>
  <c r="M128" i="4" s="1"/>
  <c r="H128" i="4"/>
  <c r="I128" i="4" s="1"/>
  <c r="L127" i="4"/>
  <c r="M127" i="4" s="1"/>
  <c r="H127" i="4"/>
  <c r="I127" i="4" s="1"/>
  <c r="L126" i="4"/>
  <c r="M126" i="4" s="1"/>
  <c r="H126" i="4"/>
  <c r="I126" i="4" s="1"/>
  <c r="L125" i="4"/>
  <c r="M125" i="4" s="1"/>
  <c r="H125" i="4"/>
  <c r="I125" i="4" s="1"/>
  <c r="L124" i="4"/>
  <c r="M124" i="4" s="1"/>
  <c r="H124" i="4"/>
  <c r="I124" i="4" s="1"/>
  <c r="L123" i="4"/>
  <c r="M123" i="4" s="1"/>
  <c r="H123" i="4"/>
  <c r="I123" i="4" s="1"/>
  <c r="L122" i="4"/>
  <c r="M122" i="4" s="1"/>
  <c r="H122" i="4"/>
  <c r="I122" i="4" s="1"/>
  <c r="L121" i="4"/>
  <c r="M121" i="4" s="1"/>
  <c r="H121" i="4"/>
  <c r="I121" i="4" s="1"/>
  <c r="L120" i="4"/>
  <c r="M120" i="4" s="1"/>
  <c r="H120" i="4"/>
  <c r="I120" i="4" s="1"/>
  <c r="L119" i="4"/>
  <c r="M119" i="4" s="1"/>
  <c r="H119" i="4"/>
  <c r="I119" i="4" s="1"/>
  <c r="L118" i="4"/>
  <c r="M118" i="4" s="1"/>
  <c r="H118" i="4"/>
  <c r="I118" i="4" s="1"/>
  <c r="L117" i="4"/>
  <c r="M117" i="4" s="1"/>
  <c r="H117" i="4"/>
  <c r="I117" i="4" s="1"/>
  <c r="L116" i="4"/>
  <c r="M116" i="4" s="1"/>
  <c r="H116" i="4"/>
  <c r="I116" i="4" s="1"/>
  <c r="L115" i="4"/>
  <c r="M115" i="4" s="1"/>
  <c r="H115" i="4"/>
  <c r="I115" i="4" s="1"/>
  <c r="L114" i="4"/>
  <c r="M114" i="4" s="1"/>
  <c r="H114" i="4"/>
  <c r="I114" i="4" s="1"/>
  <c r="L113" i="4"/>
  <c r="M113" i="4" s="1"/>
  <c r="H113" i="4"/>
  <c r="I113" i="4" s="1"/>
  <c r="L112" i="4"/>
  <c r="M112" i="4" s="1"/>
  <c r="H112" i="4"/>
  <c r="I112" i="4" s="1"/>
  <c r="L111" i="4"/>
  <c r="M111" i="4" s="1"/>
  <c r="H111" i="4"/>
  <c r="I111" i="4" s="1"/>
  <c r="L110" i="4"/>
  <c r="M110" i="4" s="1"/>
  <c r="H110" i="4"/>
  <c r="I110" i="4" s="1"/>
  <c r="L109" i="4"/>
  <c r="M109" i="4" s="1"/>
  <c r="H109" i="4"/>
  <c r="I109" i="4" s="1"/>
  <c r="L108" i="4"/>
  <c r="M108" i="4" s="1"/>
  <c r="H108" i="4"/>
  <c r="I108" i="4" s="1"/>
  <c r="L107" i="4"/>
  <c r="M107" i="4" s="1"/>
  <c r="H107" i="4"/>
  <c r="I107" i="4" s="1"/>
  <c r="L106" i="4"/>
  <c r="M106" i="4" s="1"/>
  <c r="H106" i="4"/>
  <c r="I106" i="4" s="1"/>
  <c r="L105" i="4"/>
  <c r="M105" i="4" s="1"/>
  <c r="H105" i="4"/>
  <c r="I105" i="4" s="1"/>
  <c r="L104" i="4"/>
  <c r="M104" i="4" s="1"/>
  <c r="H104" i="4"/>
  <c r="I104" i="4" s="1"/>
  <c r="L103" i="4"/>
  <c r="M103" i="4" s="1"/>
  <c r="H103" i="4"/>
  <c r="I103" i="4" s="1"/>
  <c r="L102" i="4"/>
  <c r="M102" i="4" s="1"/>
  <c r="H102" i="4"/>
  <c r="I102" i="4" s="1"/>
  <c r="L101" i="4"/>
  <c r="M101" i="4" s="1"/>
  <c r="H101" i="4"/>
  <c r="I101" i="4" s="1"/>
  <c r="L100" i="4"/>
  <c r="M100" i="4" s="1"/>
  <c r="H100" i="4"/>
  <c r="I100" i="4" s="1"/>
  <c r="L99" i="4"/>
  <c r="M99" i="4" s="1"/>
  <c r="H99" i="4"/>
  <c r="I99" i="4" s="1"/>
  <c r="L98" i="4"/>
  <c r="M98" i="4" s="1"/>
  <c r="H98" i="4"/>
  <c r="I98" i="4" s="1"/>
  <c r="L97" i="4"/>
  <c r="M97" i="4" s="1"/>
  <c r="H97" i="4"/>
  <c r="I97" i="4" s="1"/>
  <c r="L96" i="4"/>
  <c r="M96" i="4" s="1"/>
  <c r="H96" i="4"/>
  <c r="I96" i="4" s="1"/>
  <c r="L95" i="4"/>
  <c r="M95" i="4" s="1"/>
  <c r="H95" i="4"/>
  <c r="I95" i="4" s="1"/>
  <c r="L94" i="4"/>
  <c r="M94" i="4" s="1"/>
  <c r="H94" i="4"/>
  <c r="I94" i="4" s="1"/>
  <c r="L93" i="4"/>
  <c r="M93" i="4" s="1"/>
  <c r="H93" i="4"/>
  <c r="I93" i="4" s="1"/>
  <c r="L92" i="4"/>
  <c r="M92" i="4" s="1"/>
  <c r="H92" i="4"/>
  <c r="I92" i="4" s="1"/>
  <c r="L91" i="4"/>
  <c r="M91" i="4" s="1"/>
  <c r="H91" i="4"/>
  <c r="I91" i="4" s="1"/>
  <c r="L90" i="4"/>
  <c r="M90" i="4" s="1"/>
  <c r="H90" i="4"/>
  <c r="I90" i="4" s="1"/>
  <c r="L89" i="4"/>
  <c r="M89" i="4" s="1"/>
  <c r="H89" i="4"/>
  <c r="I89" i="4" s="1"/>
  <c r="L88" i="4"/>
  <c r="M88" i="4" s="1"/>
  <c r="H88" i="4"/>
  <c r="I88" i="4" s="1"/>
  <c r="L87" i="4"/>
  <c r="M87" i="4" s="1"/>
  <c r="H87" i="4"/>
  <c r="I87" i="4" s="1"/>
  <c r="L86" i="4"/>
  <c r="M86" i="4" s="1"/>
  <c r="H86" i="4"/>
  <c r="I86" i="4" s="1"/>
  <c r="L85" i="4"/>
  <c r="M85" i="4" s="1"/>
  <c r="H85" i="4"/>
  <c r="I85" i="4" s="1"/>
  <c r="L84" i="4"/>
  <c r="M84" i="4" s="1"/>
  <c r="H84" i="4"/>
  <c r="I84" i="4" s="1"/>
  <c r="L83" i="4"/>
  <c r="M83" i="4" s="1"/>
  <c r="H83" i="4"/>
  <c r="I83" i="4" s="1"/>
  <c r="L82" i="4"/>
  <c r="M82" i="4" s="1"/>
  <c r="H82" i="4"/>
  <c r="I82" i="4" s="1"/>
  <c r="L81" i="4"/>
  <c r="M81" i="4" s="1"/>
  <c r="H81" i="4"/>
  <c r="I81" i="4" s="1"/>
  <c r="L80" i="4"/>
  <c r="M80" i="4" s="1"/>
  <c r="H80" i="4"/>
  <c r="I80" i="4" s="1"/>
  <c r="L79" i="4"/>
  <c r="M79" i="4" s="1"/>
  <c r="H79" i="4"/>
  <c r="I79" i="4" s="1"/>
  <c r="L78" i="4"/>
  <c r="M78" i="4" s="1"/>
  <c r="H78" i="4"/>
  <c r="I78" i="4" s="1"/>
  <c r="L77" i="4"/>
  <c r="M77" i="4" s="1"/>
  <c r="H77" i="4"/>
  <c r="I77" i="4" s="1"/>
  <c r="L76" i="4"/>
  <c r="M76" i="4" s="1"/>
  <c r="H76" i="4"/>
  <c r="I76" i="4" s="1"/>
  <c r="L75" i="4"/>
  <c r="M75" i="4" s="1"/>
  <c r="H75" i="4"/>
  <c r="I75" i="4" s="1"/>
  <c r="L74" i="4"/>
  <c r="M74" i="4" s="1"/>
  <c r="H74" i="4"/>
  <c r="I74" i="4" s="1"/>
  <c r="L73" i="4"/>
  <c r="M73" i="4" s="1"/>
  <c r="H73" i="4"/>
  <c r="I73" i="4" s="1"/>
  <c r="L72" i="4"/>
  <c r="M72" i="4" s="1"/>
  <c r="H72" i="4"/>
  <c r="I72" i="4" s="1"/>
  <c r="L71" i="4"/>
  <c r="M71" i="4" s="1"/>
  <c r="H71" i="4"/>
  <c r="I71" i="4" s="1"/>
  <c r="L70" i="4"/>
  <c r="M70" i="4" s="1"/>
  <c r="H70" i="4"/>
  <c r="I70" i="4" s="1"/>
  <c r="L69" i="4"/>
  <c r="M69" i="4" s="1"/>
  <c r="H69" i="4"/>
  <c r="I69" i="4" s="1"/>
  <c r="L68" i="4"/>
  <c r="M68" i="4" s="1"/>
  <c r="H68" i="4"/>
  <c r="I68" i="4" s="1"/>
  <c r="L67" i="4"/>
  <c r="M67" i="4" s="1"/>
  <c r="H67" i="4"/>
  <c r="I67" i="4" s="1"/>
  <c r="L66" i="4"/>
  <c r="M66" i="4" s="1"/>
  <c r="H66" i="4"/>
  <c r="I66" i="4" s="1"/>
  <c r="L65" i="4"/>
  <c r="M65" i="4" s="1"/>
  <c r="H65" i="4"/>
  <c r="I65" i="4" s="1"/>
  <c r="L64" i="4"/>
  <c r="M64" i="4" s="1"/>
  <c r="H64" i="4"/>
  <c r="I64" i="4" s="1"/>
  <c r="L63" i="4"/>
  <c r="M63" i="4" s="1"/>
  <c r="H63" i="4"/>
  <c r="I63" i="4" s="1"/>
  <c r="L62" i="4"/>
  <c r="M62" i="4" s="1"/>
  <c r="H62" i="4"/>
  <c r="I62" i="4" s="1"/>
  <c r="L61" i="4"/>
  <c r="M61" i="4" s="1"/>
  <c r="H61" i="4"/>
  <c r="I61" i="4" s="1"/>
  <c r="L60" i="4"/>
  <c r="M60" i="4" s="1"/>
  <c r="H60" i="4"/>
  <c r="I60" i="4" s="1"/>
  <c r="L59" i="4"/>
  <c r="M59" i="4" s="1"/>
  <c r="H59" i="4"/>
  <c r="I59" i="4" s="1"/>
  <c r="L58" i="4"/>
  <c r="M58" i="4" s="1"/>
  <c r="H58" i="4"/>
  <c r="I58" i="4" s="1"/>
  <c r="L57" i="4"/>
  <c r="M57" i="4" s="1"/>
  <c r="H57" i="4"/>
  <c r="I57" i="4" s="1"/>
  <c r="L56" i="4"/>
  <c r="M56" i="4" s="1"/>
  <c r="H56" i="4"/>
  <c r="I56" i="4" s="1"/>
  <c r="L55" i="4"/>
  <c r="M55" i="4" s="1"/>
  <c r="H55" i="4"/>
  <c r="I55" i="4" s="1"/>
  <c r="L54" i="4"/>
  <c r="M54" i="4" s="1"/>
  <c r="H54" i="4"/>
  <c r="I54" i="4" s="1"/>
  <c r="L53" i="4"/>
  <c r="M53" i="4" s="1"/>
  <c r="H53" i="4"/>
  <c r="I53" i="4" s="1"/>
  <c r="L52" i="4"/>
  <c r="M52" i="4" s="1"/>
  <c r="H52" i="4"/>
  <c r="I52" i="4" s="1"/>
  <c r="L51" i="4"/>
  <c r="M51" i="4" s="1"/>
  <c r="H51" i="4"/>
  <c r="I51" i="4" s="1"/>
  <c r="L50" i="4"/>
  <c r="M50" i="4" s="1"/>
  <c r="H50" i="4"/>
  <c r="I50" i="4" s="1"/>
  <c r="L49" i="4"/>
  <c r="M49" i="4" s="1"/>
  <c r="H49" i="4"/>
  <c r="I49" i="4" s="1"/>
  <c r="L48" i="4"/>
  <c r="M48" i="4" s="1"/>
  <c r="H48" i="4"/>
  <c r="I48" i="4" s="1"/>
  <c r="L47" i="4"/>
  <c r="M47" i="4" s="1"/>
  <c r="H47" i="4"/>
  <c r="I47" i="4" s="1"/>
  <c r="L46" i="4"/>
  <c r="M46" i="4" s="1"/>
  <c r="H46" i="4"/>
  <c r="I46" i="4" s="1"/>
  <c r="L45" i="4"/>
  <c r="M45" i="4" s="1"/>
  <c r="H45" i="4"/>
  <c r="I45" i="4" s="1"/>
  <c r="L44" i="4"/>
  <c r="M44" i="4" s="1"/>
  <c r="H44" i="4"/>
  <c r="I44" i="4" s="1"/>
  <c r="L43" i="4"/>
  <c r="M43" i="4" s="1"/>
  <c r="H43" i="4"/>
  <c r="I43" i="4" s="1"/>
  <c r="L42" i="4"/>
  <c r="M42" i="4" s="1"/>
  <c r="H42" i="4"/>
  <c r="I42" i="4" s="1"/>
  <c r="L41" i="4"/>
  <c r="M41" i="4" s="1"/>
  <c r="H41" i="4"/>
  <c r="I41" i="4" s="1"/>
  <c r="L40" i="4"/>
  <c r="M40" i="4" s="1"/>
  <c r="H40" i="4"/>
  <c r="I40" i="4" s="1"/>
  <c r="L39" i="4"/>
  <c r="M39" i="4" s="1"/>
  <c r="H39" i="4"/>
  <c r="I39" i="4" s="1"/>
  <c r="L38" i="4"/>
  <c r="M38" i="4" s="1"/>
  <c r="H38" i="4"/>
  <c r="I38" i="4" s="1"/>
  <c r="L37" i="4"/>
  <c r="M37" i="4" s="1"/>
  <c r="H37" i="4"/>
  <c r="I37" i="4" s="1"/>
  <c r="L36" i="4"/>
  <c r="M36" i="4" s="1"/>
  <c r="H36" i="4"/>
  <c r="I36" i="4" s="1"/>
  <c r="L35" i="4"/>
  <c r="M35" i="4" s="1"/>
  <c r="H35" i="4"/>
  <c r="I35" i="4" s="1"/>
  <c r="L34" i="4"/>
  <c r="M34" i="4" s="1"/>
  <c r="H34" i="4"/>
  <c r="I34" i="4" s="1"/>
  <c r="L33" i="4"/>
  <c r="M33" i="4" s="1"/>
  <c r="H33" i="4"/>
  <c r="I33" i="4" s="1"/>
  <c r="L32" i="4"/>
  <c r="M32" i="4" s="1"/>
  <c r="H32" i="4"/>
  <c r="I32" i="4" s="1"/>
  <c r="L31" i="4"/>
  <c r="M31" i="4" s="1"/>
  <c r="H31" i="4"/>
  <c r="I31" i="4" s="1"/>
  <c r="L30" i="4"/>
  <c r="M30" i="4" s="1"/>
  <c r="H30" i="4"/>
  <c r="I30" i="4" s="1"/>
  <c r="L29" i="4"/>
  <c r="M29" i="4" s="1"/>
  <c r="H29" i="4"/>
  <c r="I29" i="4" s="1"/>
  <c r="L28" i="4"/>
  <c r="M28" i="4" s="1"/>
  <c r="H28" i="4"/>
  <c r="I28" i="4" s="1"/>
  <c r="L27" i="4"/>
  <c r="M27" i="4" s="1"/>
  <c r="H27" i="4"/>
  <c r="I27" i="4" s="1"/>
  <c r="L26" i="4"/>
  <c r="M26" i="4" s="1"/>
  <c r="H26" i="4"/>
  <c r="I26" i="4" s="1"/>
  <c r="L25" i="4"/>
  <c r="M25" i="4" s="1"/>
  <c r="H25" i="4"/>
  <c r="I25" i="4" s="1"/>
  <c r="L24" i="4"/>
  <c r="M24" i="4" s="1"/>
  <c r="H24" i="4"/>
  <c r="I24" i="4" s="1"/>
  <c r="L23" i="4"/>
  <c r="M23" i="4" s="1"/>
  <c r="H23" i="4"/>
  <c r="I23" i="4" s="1"/>
  <c r="L22" i="4"/>
  <c r="M22" i="4" s="1"/>
  <c r="H22" i="4"/>
  <c r="I22" i="4" s="1"/>
  <c r="L21" i="4"/>
  <c r="M21" i="4" s="1"/>
  <c r="H21" i="4"/>
  <c r="I21" i="4" s="1"/>
  <c r="L20" i="4"/>
  <c r="M20" i="4" s="1"/>
  <c r="H20" i="4"/>
  <c r="I20" i="4" s="1"/>
  <c r="L19" i="4"/>
  <c r="M19" i="4" s="1"/>
  <c r="H19" i="4"/>
  <c r="I19" i="4" s="1"/>
  <c r="L18" i="4"/>
  <c r="M18" i="4" s="1"/>
  <c r="H18" i="4"/>
  <c r="I18" i="4" s="1"/>
  <c r="L17" i="4"/>
  <c r="M17" i="4" s="1"/>
  <c r="H17" i="4"/>
  <c r="I17" i="4" s="1"/>
  <c r="L16" i="4"/>
  <c r="M16" i="4" s="1"/>
  <c r="H16" i="4"/>
  <c r="I16" i="4" s="1"/>
  <c r="L15" i="4"/>
  <c r="M15" i="4" s="1"/>
  <c r="H15" i="4"/>
  <c r="I15" i="4" s="1"/>
  <c r="L14" i="4"/>
  <c r="M14" i="4" s="1"/>
  <c r="H14" i="4"/>
  <c r="I14" i="4" s="1"/>
  <c r="L13" i="4"/>
  <c r="M13" i="4" s="1"/>
  <c r="H13" i="4"/>
  <c r="I13" i="4" s="1"/>
  <c r="L12" i="4"/>
  <c r="M12" i="4" s="1"/>
  <c r="H12" i="4"/>
  <c r="I12" i="4" s="1"/>
  <c r="L11" i="4"/>
  <c r="M11" i="4" s="1"/>
  <c r="H11" i="4"/>
  <c r="I11" i="4" s="1"/>
  <c r="L10" i="4"/>
  <c r="M10" i="4" s="1"/>
  <c r="H10" i="4"/>
  <c r="I10" i="4" s="1"/>
  <c r="L9" i="4"/>
  <c r="M9" i="4" s="1"/>
  <c r="H9" i="4"/>
  <c r="I9" i="4" s="1"/>
  <c r="L8" i="4"/>
  <c r="M8" i="4" s="1"/>
  <c r="H8" i="4"/>
  <c r="I8" i="4" s="1"/>
  <c r="L7" i="4"/>
  <c r="M7" i="4" s="1"/>
  <c r="H7" i="4"/>
  <c r="I7" i="4" s="1"/>
  <c r="L6" i="4"/>
  <c r="M6" i="4" s="1"/>
  <c r="H6" i="4"/>
  <c r="I6" i="4" s="1"/>
  <c r="L5" i="4"/>
  <c r="M5" i="4" s="1"/>
  <c r="H5" i="4"/>
  <c r="I5" i="4" s="1"/>
  <c r="L4" i="4"/>
  <c r="M4" i="4" s="1"/>
  <c r="H4" i="4"/>
  <c r="I4" i="4" s="1"/>
  <c r="L3" i="4"/>
  <c r="M3" i="4" s="1"/>
  <c r="H3" i="4"/>
  <c r="I3" i="4" s="1"/>
  <c r="L2" i="4"/>
  <c r="H2" i="4"/>
  <c r="I2" i="4" s="1"/>
  <c r="B11" i="4" l="1"/>
  <c r="B9" i="4"/>
  <c r="M2" i="4"/>
  <c r="D9" i="4" s="1"/>
  <c r="B13" i="4"/>
  <c r="P17" i="4"/>
  <c r="Q17" i="4" s="1"/>
  <c r="P5" i="4"/>
  <c r="Q5" i="4" s="1"/>
  <c r="T19" i="4"/>
  <c r="U19" i="4" s="1"/>
  <c r="T7" i="4"/>
  <c r="U7" i="4" s="1"/>
  <c r="T20" i="4"/>
  <c r="U20" i="4" s="1"/>
  <c r="P2" i="4"/>
  <c r="P16" i="4"/>
  <c r="Q16" i="4" s="1"/>
  <c r="P4" i="4"/>
  <c r="Q4" i="4" s="1"/>
  <c r="T18" i="4"/>
  <c r="U18" i="4" s="1"/>
  <c r="T6" i="4"/>
  <c r="U6" i="4" s="1"/>
  <c r="T8" i="4"/>
  <c r="U8" i="4" s="1"/>
  <c r="P27" i="4"/>
  <c r="Q27" i="4" s="1"/>
  <c r="P15" i="4"/>
  <c r="Q15" i="4" s="1"/>
  <c r="P3" i="4"/>
  <c r="Q3" i="4" s="1"/>
  <c r="T17" i="4"/>
  <c r="U17" i="4" s="1"/>
  <c r="T5" i="4"/>
  <c r="U5" i="4" s="1"/>
  <c r="B12" i="4"/>
  <c r="P26" i="4"/>
  <c r="Q26" i="4" s="1"/>
  <c r="P14" i="4"/>
  <c r="Q14" i="4" s="1"/>
  <c r="T2" i="4"/>
  <c r="T16" i="4"/>
  <c r="U16" i="4" s="1"/>
  <c r="T4" i="4"/>
  <c r="U4" i="4" s="1"/>
  <c r="P20" i="4"/>
  <c r="Q20" i="4" s="1"/>
  <c r="T10" i="4"/>
  <c r="U10" i="4" s="1"/>
  <c r="P19" i="4"/>
  <c r="Q19" i="4" s="1"/>
  <c r="T9" i="4"/>
  <c r="U9" i="4" s="1"/>
  <c r="P18" i="4"/>
  <c r="Q18" i="4" s="1"/>
  <c r="D8" i="4"/>
  <c r="P25" i="4"/>
  <c r="Q25" i="4" s="1"/>
  <c r="P13" i="4"/>
  <c r="Q13" i="4" s="1"/>
  <c r="T27" i="4"/>
  <c r="U27" i="4" s="1"/>
  <c r="T15" i="4"/>
  <c r="U15" i="4" s="1"/>
  <c r="T3" i="4"/>
  <c r="U3" i="4" s="1"/>
  <c r="P24" i="4"/>
  <c r="Q24" i="4" s="1"/>
  <c r="P12" i="4"/>
  <c r="Q12" i="4" s="1"/>
  <c r="T26" i="4"/>
  <c r="U26" i="4" s="1"/>
  <c r="T14" i="4"/>
  <c r="U14" i="4" s="1"/>
  <c r="P23" i="4"/>
  <c r="Q23" i="4" s="1"/>
  <c r="P11" i="4"/>
  <c r="Q11" i="4" s="1"/>
  <c r="T25" i="4"/>
  <c r="U25" i="4" s="1"/>
  <c r="T13" i="4"/>
  <c r="U13" i="4" s="1"/>
  <c r="T22" i="4"/>
  <c r="U22" i="4" s="1"/>
  <c r="D7" i="4"/>
  <c r="T21" i="4"/>
  <c r="U21" i="4" s="1"/>
  <c r="P22" i="4"/>
  <c r="Q22" i="4" s="1"/>
  <c r="P10" i="4"/>
  <c r="Q10" i="4" s="1"/>
  <c r="T24" i="4"/>
  <c r="U24" i="4" s="1"/>
  <c r="T12" i="4"/>
  <c r="U12" i="4" s="1"/>
  <c r="P8" i="4"/>
  <c r="Q8" i="4" s="1"/>
  <c r="P7" i="4"/>
  <c r="Q7" i="4" s="1"/>
  <c r="B7" i="4"/>
  <c r="P6" i="4"/>
  <c r="Q6" i="4" s="1"/>
  <c r="P21" i="4"/>
  <c r="Q21" i="4" s="1"/>
  <c r="P9" i="4"/>
  <c r="Q9" i="4" s="1"/>
  <c r="T23" i="4"/>
  <c r="U23" i="4" s="1"/>
  <c r="T11" i="4"/>
  <c r="U11" i="4" s="1"/>
  <c r="B8" i="4"/>
  <c r="D16" i="4" l="1"/>
  <c r="D15" i="4" a="1"/>
  <c r="D15" i="4" s="1"/>
  <c r="U2" i="4"/>
  <c r="D17" i="4" s="1"/>
  <c r="B20" i="4"/>
  <c r="B19" i="4" a="1"/>
  <c r="B19" i="4" s="1"/>
  <c r="B21" i="4" a="1"/>
  <c r="B21" i="4" s="1"/>
  <c r="B16" i="4"/>
  <c r="B15" i="4" a="1"/>
  <c r="B15" i="4" s="1"/>
  <c r="Q2" i="4"/>
  <c r="B17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<sst xmlns="http://schemas.openxmlformats.org/spreadsheetml/2006/main" count="60" uniqueCount="37">
  <si>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</si>
  <si>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</si>
  <si>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</si>
  <si>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</si>
  <si>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</si>
  <si>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2026-08-11 3:51 pm CDT</t>
  </si>
  <si>
    <t>SUUR0000SA0</t>
  </si>
  <si>
    <t>Chained Consumer Price Index for All Urban Consumers: All Items in U.S. City Average, Index Dec 1999=100, Monthly, Not Seasonally Adjusted</t>
  </si>
  <si>
    <t>Data Updated: 2026-07-14</t>
  </si>
  <si>
    <t>CPIAUCNS</t>
  </si>
  <si>
    <t>File Created: 2026-08-11 3:53 pm CDT</t>
  </si>
  <si>
    <t>Consumer Price Index for All Urban Consumers: All Items in U.S. City Average, Index 1982-1984=100, Monthly, Not Seasonally Adjusted</t>
  </si>
  <si>
    <t>E(CPI)</t>
  </si>
  <si>
    <t>E(C-CPI U)</t>
  </si>
  <si>
    <t>SD(C-CPI U)</t>
  </si>
  <si>
    <t>SD(CPI)</t>
  </si>
  <si>
    <t>Reg. (b)</t>
  </si>
  <si>
    <t>Corr(X,Y)</t>
  </si>
  <si>
    <t>CPI</t>
  </si>
  <si>
    <t>Jan Only years</t>
  </si>
  <si>
    <t>Jan only years</t>
  </si>
  <si>
    <t>MONTHLY</t>
  </si>
  <si>
    <t>YEARLY</t>
  </si>
  <si>
    <t>% change</t>
  </si>
  <si>
    <t>Sample</t>
  </si>
  <si>
    <t>geomean CPI</t>
  </si>
  <si>
    <t>geo mean C-CPI U</t>
  </si>
  <si>
    <t>factor %</t>
  </si>
  <si>
    <t>y/m/d</t>
  </si>
  <si>
    <t>index #</t>
  </si>
  <si>
    <t>KEY</t>
  </si>
  <si>
    <t>BLUE</t>
  </si>
  <si>
    <t xml:space="preserve">C-CPI U </t>
  </si>
  <si>
    <t>ORANGE</t>
  </si>
  <si>
    <t>Geomean C-CPI U</t>
  </si>
  <si>
    <t>Geomean  CPI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</si>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</sst>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yyyy\-mm\-dd"/>
    <numFmt numFmtId="176" formatCode="0.0%"/>
    <numFmt numFmtId="180" formatCode="0.000000000000000%"/>
    <numFmt numFmtId="181" formatCode="0.0000000000000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164" fontId="0" fillId="2" borderId="0" xfId="0" applyNumberFormat="1" applyFill="1"/>
    <xf numFmtId="10" fontId="0" fillId="2" borderId="0" xfId="1" applyNumberFormat="1" applyFont="1" applyFill="1"/>
    <xf numFmtId="0" fontId="0" fillId="2" borderId="0" xfId="0" applyFill="1"/>
    <xf numFmtId="176" fontId="0" fillId="2" borderId="0" xfId="1" applyNumberFormat="1" applyFont="1" applyFill="1"/>
    <xf numFmtId="164" fontId="3" fillId="2" borderId="0" xfId="0" applyNumberFormat="1" applyFont="1" applyFill="1"/>
    <xf numFmtId="0" fontId="0" fillId="3" borderId="0" xfId="0" applyFill="1"/>
    <xf numFmtId="164" fontId="0" fillId="3" borderId="0" xfId="0" applyNumberFormat="1" applyFill="1"/>
    <xf numFmtId="10" fontId="0" fillId="3" borderId="0" xfId="1" applyNumberFormat="1" applyFont="1" applyFill="1"/>
    <xf numFmtId="176" fontId="0" fillId="3" borderId="0" xfId="1" applyNumberFormat="1" applyFont="1" applyFill="1"/>
    <xf numFmtId="180" fontId="0" fillId="0" borderId="0" xfId="0" applyNumberFormat="1"/>
    <xf numFmtId="181" fontId="0" fillId="0" borderId="0" xfId="0" applyNumberFormat="1"/>
    <xf numFmtId="0" fontId="0" fillId="4" borderId="0" xfId="0" applyFill="1"/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  <xf numFmtId="165" fontId="0" fillId="4" borderId="0" xfId="0" applyNumberFormat="1" applyFill="1"/>
    <xf numFmtId="164" fontId="0" fillId="4" borderId="0" xfId="0" applyNumberFormat="1" applyFill="1"/>
    <xf numFmtId="14" fontId="0" fillId="5" borderId="0" xfId="0" applyNumberFormat="1" applyFill="1"/>
    <xf numFmtId="0" fontId="1" fillId="4" borderId="0" xfId="0" applyFont="1" applyFill="1"/>
    <xf numFmtId="0" fontId="1" fillId="5" borderId="0" xfId="0" applyFont="1" applyFill="1"/>
    <xf numFmtId="165" fontId="1" fillId="5" borderId="0" xfId="0" applyNumberFormat="1" applyFont="1" applyFill="1" applyAlignment="1">
      <alignment horizontal="center"/>
    </xf>
    <xf numFmtId="164" fontId="1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165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4" fontId="1" fillId="5" borderId="0" xfId="0" applyNumberFormat="1" applyFont="1" applyFill="1" applyAlignment="1">
      <alignment horizontal="center"/>
    </xf>
    <xf numFmtId="0" fontId="3" fillId="3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A29983F-66F1-4983-9D28-99C124A5E021}">
  <we:reference id="WA200010215" version="2.0.0.0" store="Omex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7CA11BD3-61EC-4459-8645-154C4065447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e464690-5873-46c1-a7e3-fb6bb788e29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>
      <selection activeCell="B19" sqref="B19"/>
    </sheetView>
  </sheetViews>
  <sheetFormatPr defaultRowHeight="14.4" x14ac:dyDescent="0.3"/>
  <cols>
    <col min="1" max="1" width="85.6640625" style="1" customWidth="1"/>
    <col min="2" max="2" width="125.44140625" bestFit="1" customWidth="1"/>
    <col min="3" max="3" width="23.4414062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8.8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  <row r="11" spans="1:3" x14ac:dyDescent="0.3">
      <c r="A11" s="1" t="s">
        <v>0</v>
      </c>
    </row>
    <row r="12" spans="1:3" x14ac:dyDescent="0.3">
      <c r="A12" s="1" t="s">
        <v>1</v>
      </c>
    </row>
    <row r="13" spans="1:3" x14ac:dyDescent="0.3">
      <c r="A13" s="1" t="s">
        <v>2</v>
      </c>
    </row>
    <row r="14" spans="1:3" x14ac:dyDescent="0.3">
      <c r="A14" s="1" t="s">
        <v>3</v>
      </c>
    </row>
    <row r="15" spans="1:3" x14ac:dyDescent="0.3">
      <c r="A15" s="1" t="s">
        <v>4</v>
      </c>
    </row>
    <row r="16" spans="1:3" x14ac:dyDescent="0.3">
      <c r="A16" s="1" t="s">
        <v>10</v>
      </c>
    </row>
    <row r="18" spans="1:3" x14ac:dyDescent="0.3">
      <c r="A18" s="1" t="s">
        <v>9</v>
      </c>
      <c r="B18" t="s">
        <v>11</v>
      </c>
      <c r="C1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E10C1-7AF0-4D64-A0DD-D9F724D26036}">
  <dimension ref="A1:X318"/>
  <sheetViews>
    <sheetView tabSelected="1" workbookViewId="0">
      <selection activeCell="F15" sqref="F15"/>
    </sheetView>
  </sheetViews>
  <sheetFormatPr defaultRowHeight="14.4" x14ac:dyDescent="0.3"/>
  <cols>
    <col min="1" max="1" width="19.33203125" customWidth="1"/>
    <col min="2" max="2" width="8.109375" bestFit="1" customWidth="1"/>
    <col min="3" max="3" width="22.109375" customWidth="1"/>
    <col min="4" max="5" width="6" customWidth="1"/>
    <col min="6" max="6" width="10.33203125" bestFit="1" customWidth="1"/>
    <col min="7" max="7" width="7.5546875" style="2" bestFit="1" customWidth="1"/>
    <col min="8" max="8" width="12.6640625" bestFit="1" customWidth="1"/>
    <col min="9" max="9" width="12" bestFit="1" customWidth="1"/>
    <col min="10" max="10" width="10.33203125" bestFit="1" customWidth="1"/>
    <col min="11" max="11" width="7.5546875" bestFit="1" customWidth="1"/>
    <col min="12" max="12" width="12.6640625" bestFit="1" customWidth="1"/>
    <col min="13" max="13" width="12" bestFit="1" customWidth="1"/>
    <col min="14" max="14" width="13.109375" style="3" bestFit="1" customWidth="1"/>
    <col min="15" max="15" width="8" bestFit="1" customWidth="1"/>
    <col min="16" max="16" width="12.6640625" bestFit="1" customWidth="1"/>
    <col min="17" max="17" width="12" bestFit="1" customWidth="1"/>
    <col min="18" max="18" width="12.77734375" bestFit="1" customWidth="1"/>
    <col min="19" max="19" width="8" bestFit="1" customWidth="1"/>
    <col min="20" max="20" width="12.6640625" bestFit="1" customWidth="1"/>
    <col min="21" max="21" width="12" bestFit="1" customWidth="1"/>
    <col min="22" max="22" width="11.6640625" bestFit="1" customWidth="1"/>
    <col min="23" max="23" width="6" bestFit="1" customWidth="1"/>
    <col min="24" max="24" width="15.77734375" bestFit="1" customWidth="1"/>
    <col min="25" max="25" width="6" bestFit="1" customWidth="1"/>
  </cols>
  <sheetData>
    <row r="1" spans="1:21" x14ac:dyDescent="0.3">
      <c r="A1" s="4" t="s">
        <v>30</v>
      </c>
      <c r="F1" s="25" t="s">
        <v>28</v>
      </c>
      <c r="G1" s="26" t="s">
        <v>29</v>
      </c>
      <c r="H1" s="27" t="s">
        <v>23</v>
      </c>
      <c r="I1" s="27" t="s">
        <v>27</v>
      </c>
      <c r="J1" s="28" t="s">
        <v>28</v>
      </c>
      <c r="K1" s="28" t="s">
        <v>29</v>
      </c>
      <c r="L1" s="29" t="s">
        <v>23</v>
      </c>
      <c r="M1" s="29" t="s">
        <v>27</v>
      </c>
      <c r="N1" s="30" t="s">
        <v>19</v>
      </c>
      <c r="O1" s="27" t="s">
        <v>29</v>
      </c>
      <c r="P1" s="27" t="s">
        <v>23</v>
      </c>
      <c r="Q1" s="27" t="s">
        <v>27</v>
      </c>
      <c r="R1" s="29" t="s">
        <v>20</v>
      </c>
      <c r="S1" s="29" t="s">
        <v>29</v>
      </c>
      <c r="T1" s="29" t="s">
        <v>23</v>
      </c>
      <c r="U1" s="29" t="s">
        <v>27</v>
      </c>
    </row>
    <row r="2" spans="1:21" x14ac:dyDescent="0.3">
      <c r="A2" s="24" t="s">
        <v>18</v>
      </c>
      <c r="B2" s="17" t="s">
        <v>31</v>
      </c>
      <c r="F2" s="19">
        <v>36495</v>
      </c>
      <c r="G2" s="18">
        <v>168.3</v>
      </c>
      <c r="H2" s="17">
        <f>(G3-G2)/G2</f>
        <v>2.9708853238265003E-3</v>
      </c>
      <c r="I2" s="17">
        <f>H2+1</f>
        <v>1.0029708853238266</v>
      </c>
      <c r="J2" s="20">
        <v>36495</v>
      </c>
      <c r="K2" s="21">
        <v>100</v>
      </c>
      <c r="L2" s="16">
        <f>(K3-K2)/K2</f>
        <v>2.9999999999999714E-3</v>
      </c>
      <c r="M2" s="16">
        <f>L2+1</f>
        <v>1.0029999999999999</v>
      </c>
      <c r="N2" s="22" cm="1">
        <f t="array" ref="N2:O28">_xlfn._xlws.FILTER(F2:G318,MONTH(F2:F318)=1)</f>
        <v>36526</v>
      </c>
      <c r="O2" s="17">
        <v>168.8</v>
      </c>
      <c r="P2" s="17">
        <f>(O3-O2)/O2</f>
        <v>3.7322274881516487E-2</v>
      </c>
      <c r="Q2" s="17">
        <f>P2+1</f>
        <v>1.0373222748815165</v>
      </c>
      <c r="R2" s="16" cm="1">
        <f t="array" ref="R2:S28">_xlfn._xlws.FILTER(J2:K318,MONTH(J2:J318)=1)</f>
        <v>36526</v>
      </c>
      <c r="S2" s="16">
        <v>100.3</v>
      </c>
      <c r="T2" s="16">
        <f>(S3-S2)/S2</f>
        <v>2.9910269192422734E-2</v>
      </c>
      <c r="U2" s="16">
        <f>T2+1</f>
        <v>1.0299102691924227</v>
      </c>
    </row>
    <row r="3" spans="1:21" x14ac:dyDescent="0.3">
      <c r="A3" s="23" t="s">
        <v>32</v>
      </c>
      <c r="B3" s="16" t="s">
        <v>33</v>
      </c>
      <c r="F3" s="19">
        <v>36526</v>
      </c>
      <c r="G3" s="18">
        <v>168.8</v>
      </c>
      <c r="H3" s="17">
        <f t="shared" ref="H3:H66" si="0">(G4-G3)/G3</f>
        <v>5.9241706161137437E-3</v>
      </c>
      <c r="I3" s="17">
        <f t="shared" ref="I3:I66" si="1">H3+1</f>
        <v>1.0059241706161137</v>
      </c>
      <c r="J3" s="20">
        <v>36526</v>
      </c>
      <c r="K3" s="21">
        <v>100.3</v>
      </c>
      <c r="L3" s="16">
        <f t="shared" ref="L3:L66" si="2">(K4-K3)/K3</f>
        <v>5.9820538384846317E-3</v>
      </c>
      <c r="M3" s="16">
        <f t="shared" ref="M3:M66" si="3">L3+1</f>
        <v>1.0059820538384847</v>
      </c>
      <c r="N3" s="22">
        <v>36892</v>
      </c>
      <c r="O3" s="17">
        <v>175.1</v>
      </c>
      <c r="P3" s="17">
        <f t="shared" ref="P3:P27" si="4">(O4-O3)/O3</f>
        <v>1.1422044545973729E-2</v>
      </c>
      <c r="Q3" s="17">
        <f t="shared" ref="Q3:Q27" si="5">P3+1</f>
        <v>1.0114220445459736</v>
      </c>
      <c r="R3" s="16">
        <v>36892</v>
      </c>
      <c r="S3" s="16">
        <v>103.3</v>
      </c>
      <c r="T3" s="16">
        <f t="shared" ref="T3:T27" si="6">(S4-S3)/S3</f>
        <v>8.7124878993224165E-3</v>
      </c>
      <c r="U3" s="16">
        <f t="shared" ref="U3:U27" si="7">T3+1</f>
        <v>1.0087124878993223</v>
      </c>
    </row>
    <row r="4" spans="1:21" x14ac:dyDescent="0.3">
      <c r="F4" s="19">
        <v>36557</v>
      </c>
      <c r="G4" s="18">
        <v>169.8</v>
      </c>
      <c r="H4" s="17">
        <f t="shared" si="0"/>
        <v>8.2449941107183584E-3</v>
      </c>
      <c r="I4" s="17">
        <f t="shared" si="1"/>
        <v>1.0082449941107183</v>
      </c>
      <c r="J4" s="20">
        <v>36557</v>
      </c>
      <c r="K4" s="21">
        <v>100.9</v>
      </c>
      <c r="L4" s="16">
        <f t="shared" si="2"/>
        <v>6.937561942517231E-3</v>
      </c>
      <c r="M4" s="16">
        <f t="shared" si="3"/>
        <v>1.0069375619425172</v>
      </c>
      <c r="N4" s="22">
        <v>37257</v>
      </c>
      <c r="O4" s="17">
        <v>177.1</v>
      </c>
      <c r="P4" s="17">
        <f t="shared" si="4"/>
        <v>2.5974025974025941E-2</v>
      </c>
      <c r="Q4" s="17">
        <f t="shared" si="5"/>
        <v>1.025974025974026</v>
      </c>
      <c r="R4" s="16">
        <v>37257</v>
      </c>
      <c r="S4" s="16">
        <v>104.2</v>
      </c>
      <c r="T4" s="16">
        <f t="shared" si="6"/>
        <v>2.2072936660268685E-2</v>
      </c>
      <c r="U4" s="16">
        <f t="shared" si="7"/>
        <v>1.0220729366602688</v>
      </c>
    </row>
    <row r="5" spans="1:21" x14ac:dyDescent="0.3">
      <c r="A5" s="4" t="s">
        <v>36</v>
      </c>
      <c r="F5" s="19">
        <v>36586</v>
      </c>
      <c r="G5" s="18">
        <v>171.2</v>
      </c>
      <c r="H5" s="17">
        <f>(G6-G5)/G5</f>
        <v>5.8411214953284316E-4</v>
      </c>
      <c r="I5" s="17">
        <f t="shared" si="1"/>
        <v>1.0005841121495329</v>
      </c>
      <c r="J5" s="20">
        <v>36586</v>
      </c>
      <c r="K5" s="21">
        <v>101.6</v>
      </c>
      <c r="L5" s="16">
        <f>(K6-K5)/K5</f>
        <v>0</v>
      </c>
      <c r="M5" s="16">
        <f t="shared" si="3"/>
        <v>1</v>
      </c>
      <c r="N5" s="22">
        <v>37622</v>
      </c>
      <c r="O5" s="17">
        <v>181.7</v>
      </c>
      <c r="P5" s="17">
        <f>(O6-O5)/O5</f>
        <v>1.9262520638414972E-2</v>
      </c>
      <c r="Q5" s="17">
        <f t="shared" si="5"/>
        <v>1.0192625206384149</v>
      </c>
      <c r="R5" s="16">
        <v>37622</v>
      </c>
      <c r="S5" s="16">
        <v>106.5</v>
      </c>
      <c r="T5" s="16">
        <f>(S6-S5)/S5</f>
        <v>1.8779342723004695E-2</v>
      </c>
      <c r="U5" s="16">
        <f t="shared" si="7"/>
        <v>1.0187793427230047</v>
      </c>
    </row>
    <row r="6" spans="1:21" x14ac:dyDescent="0.3">
      <c r="A6" s="9" t="s">
        <v>21</v>
      </c>
      <c r="B6" s="6"/>
      <c r="C6" s="7"/>
      <c r="D6" s="6"/>
      <c r="F6" s="19">
        <v>36617</v>
      </c>
      <c r="G6" s="18">
        <v>171.3</v>
      </c>
      <c r="H6" s="17">
        <f t="shared" si="0"/>
        <v>1.1675423234091572E-3</v>
      </c>
      <c r="I6" s="17">
        <f t="shared" si="1"/>
        <v>1.0011675423234092</v>
      </c>
      <c r="J6" s="20">
        <v>36617</v>
      </c>
      <c r="K6" s="21">
        <v>101.6</v>
      </c>
      <c r="L6" s="16">
        <f t="shared" si="2"/>
        <v>9.8425196850402091E-4</v>
      </c>
      <c r="M6" s="16">
        <f t="shared" si="3"/>
        <v>1.0009842519685039</v>
      </c>
      <c r="N6" s="22">
        <v>37987</v>
      </c>
      <c r="O6" s="17">
        <v>185.2</v>
      </c>
      <c r="P6" s="17">
        <f t="shared" si="4"/>
        <v>2.9697624190064796E-2</v>
      </c>
      <c r="Q6" s="17">
        <f t="shared" si="5"/>
        <v>1.0296976241900648</v>
      </c>
      <c r="R6" s="16">
        <v>37987</v>
      </c>
      <c r="S6" s="16">
        <v>108.5</v>
      </c>
      <c r="T6" s="16">
        <f t="shared" si="6"/>
        <v>2.5806451612903198E-2</v>
      </c>
      <c r="U6" s="16">
        <f t="shared" si="7"/>
        <v>1.0258064516129033</v>
      </c>
    </row>
    <row r="7" spans="1:21" x14ac:dyDescent="0.3">
      <c r="A7" s="5" t="s">
        <v>12</v>
      </c>
      <c r="B7" s="6">
        <f>AVERAGE(H311:H317,H2:H309)</f>
        <v>2.1836073780562462E-3</v>
      </c>
      <c r="C7" s="7" t="s">
        <v>13</v>
      </c>
      <c r="D7" s="6">
        <f>AVERAGE(L311:L317,L2:L309)</f>
        <v>1.9624757799835972E-3</v>
      </c>
      <c r="F7" s="19">
        <v>36647</v>
      </c>
      <c r="G7" s="18">
        <v>171.5</v>
      </c>
      <c r="H7" s="17">
        <f t="shared" si="0"/>
        <v>5.2478134110787505E-3</v>
      </c>
      <c r="I7" s="17">
        <f t="shared" si="1"/>
        <v>1.0052478134110787</v>
      </c>
      <c r="J7" s="20">
        <v>36647</v>
      </c>
      <c r="K7" s="21">
        <v>101.7</v>
      </c>
      <c r="L7" s="16">
        <f t="shared" si="2"/>
        <v>3.9331366764994245E-3</v>
      </c>
      <c r="M7" s="16">
        <f t="shared" si="3"/>
        <v>1.0039331366764994</v>
      </c>
      <c r="N7" s="22">
        <v>38353</v>
      </c>
      <c r="O7" s="17">
        <v>190.7</v>
      </c>
      <c r="P7" s="17">
        <f t="shared" si="4"/>
        <v>3.9853172522286436E-2</v>
      </c>
      <c r="Q7" s="17">
        <f t="shared" si="5"/>
        <v>1.0398531725222864</v>
      </c>
      <c r="R7" s="16">
        <v>38353</v>
      </c>
      <c r="S7" s="16">
        <v>111.3</v>
      </c>
      <c r="T7" s="16">
        <f t="shared" si="6"/>
        <v>3.504043126684641E-2</v>
      </c>
      <c r="U7" s="16">
        <f t="shared" si="7"/>
        <v>1.0350404312668464</v>
      </c>
    </row>
    <row r="8" spans="1:21" x14ac:dyDescent="0.3">
      <c r="A8" s="5" t="s">
        <v>15</v>
      </c>
      <c r="B8" s="6">
        <f>_xlfn.STDEV.S(H2:H317)</f>
        <v>3.8171390304116339E-3</v>
      </c>
      <c r="C8" s="7" t="s">
        <v>14</v>
      </c>
      <c r="D8" s="6">
        <f>_xlfn.STDEV.S(L2:L317)</f>
        <v>3.8110009704110993E-3</v>
      </c>
      <c r="F8" s="19">
        <v>36678</v>
      </c>
      <c r="G8" s="18">
        <v>172.4</v>
      </c>
      <c r="H8" s="17">
        <f t="shared" si="0"/>
        <v>2.3201856148492208E-3</v>
      </c>
      <c r="I8" s="17">
        <f t="shared" si="1"/>
        <v>1.0023201856148491</v>
      </c>
      <c r="J8" s="20">
        <v>36678</v>
      </c>
      <c r="K8" s="21">
        <v>102.1</v>
      </c>
      <c r="L8" s="16">
        <f t="shared" si="2"/>
        <v>1.95886385896183E-3</v>
      </c>
      <c r="M8" s="16">
        <f t="shared" si="3"/>
        <v>1.0019588638589618</v>
      </c>
      <c r="N8" s="22">
        <v>38718</v>
      </c>
      <c r="O8" s="17">
        <v>198.3</v>
      </c>
      <c r="P8" s="17">
        <f t="shared" si="4"/>
        <v>2.0756429652042285E-2</v>
      </c>
      <c r="Q8" s="17">
        <f t="shared" si="5"/>
        <v>1.0207564296520424</v>
      </c>
      <c r="R8" s="16">
        <v>38718</v>
      </c>
      <c r="S8" s="16">
        <v>115.2</v>
      </c>
      <c r="T8" s="16">
        <f t="shared" si="6"/>
        <v>1.8489583333333292E-2</v>
      </c>
      <c r="U8" s="16">
        <f t="shared" si="7"/>
        <v>1.0184895833333334</v>
      </c>
    </row>
    <row r="9" spans="1:21" x14ac:dyDescent="0.3">
      <c r="A9" s="5" t="s">
        <v>35</v>
      </c>
      <c r="B9" s="6">
        <f>GEOMEAN(I2:I317)-1</f>
        <v>2.1785313932143335E-3</v>
      </c>
      <c r="C9" s="7" t="s">
        <v>34</v>
      </c>
      <c r="D9" s="6">
        <f>GEOMEAN(M2:M317)-1</f>
        <v>1.9579112017882316E-3</v>
      </c>
      <c r="F9" s="19">
        <v>36708</v>
      </c>
      <c r="G9" s="18">
        <v>172.8</v>
      </c>
      <c r="H9" s="17">
        <f t="shared" si="0"/>
        <v>0</v>
      </c>
      <c r="I9" s="17">
        <f t="shared" si="1"/>
        <v>1</v>
      </c>
      <c r="J9" s="20">
        <v>36708</v>
      </c>
      <c r="K9" s="21">
        <v>102.3</v>
      </c>
      <c r="L9" s="16">
        <f t="shared" si="2"/>
        <v>0</v>
      </c>
      <c r="M9" s="16">
        <f t="shared" si="3"/>
        <v>1</v>
      </c>
      <c r="N9" s="22">
        <v>39083</v>
      </c>
      <c r="O9" s="17">
        <v>202.416</v>
      </c>
      <c r="P9" s="17">
        <f t="shared" si="4"/>
        <v>4.2802940479013597E-2</v>
      </c>
      <c r="Q9" s="17">
        <f t="shared" si="5"/>
        <v>1.0428029404790136</v>
      </c>
      <c r="R9" s="16">
        <v>39083</v>
      </c>
      <c r="S9" s="16">
        <v>117.33</v>
      </c>
      <c r="T9" s="16">
        <f t="shared" si="6"/>
        <v>3.8668712179323328E-2</v>
      </c>
      <c r="U9" s="16">
        <f t="shared" si="7"/>
        <v>1.0386687121793234</v>
      </c>
    </row>
    <row r="10" spans="1:21" x14ac:dyDescent="0.3">
      <c r="A10" s="5"/>
      <c r="B10" s="7"/>
      <c r="C10" s="7"/>
      <c r="D10" s="7"/>
      <c r="F10" s="19">
        <v>36739</v>
      </c>
      <c r="G10" s="18">
        <v>172.8</v>
      </c>
      <c r="H10" s="17">
        <f t="shared" si="0"/>
        <v>5.2083333333332012E-3</v>
      </c>
      <c r="I10" s="17">
        <f t="shared" si="1"/>
        <v>1.0052083333333333</v>
      </c>
      <c r="J10" s="20">
        <v>36739</v>
      </c>
      <c r="K10" s="21">
        <v>102.3</v>
      </c>
      <c r="L10" s="16">
        <f t="shared" si="2"/>
        <v>4.8875855327468231E-3</v>
      </c>
      <c r="M10" s="16">
        <f t="shared" si="3"/>
        <v>1.0048875855327468</v>
      </c>
      <c r="N10" s="22">
        <v>39448</v>
      </c>
      <c r="O10" s="17">
        <v>211.08</v>
      </c>
      <c r="P10" s="17">
        <f t="shared" si="4"/>
        <v>2.9846503695275806E-4</v>
      </c>
      <c r="Q10" s="17">
        <f t="shared" si="5"/>
        <v>1.0002984650369529</v>
      </c>
      <c r="R10" s="16">
        <v>39448</v>
      </c>
      <c r="S10" s="16">
        <v>121.867</v>
      </c>
      <c r="T10" s="16">
        <f t="shared" si="6"/>
        <v>1.8708920380414256E-3</v>
      </c>
      <c r="U10" s="16">
        <f t="shared" si="7"/>
        <v>1.0018708920380415</v>
      </c>
    </row>
    <row r="11" spans="1:21" x14ac:dyDescent="0.3">
      <c r="A11" s="5" t="s">
        <v>16</v>
      </c>
      <c r="B11" s="8">
        <f>SLOPE(L2:L317,H2:H317)</f>
        <v>0.9882804729335356</v>
      </c>
      <c r="C11" s="7"/>
      <c r="D11" s="7"/>
      <c r="F11" s="19">
        <v>36770</v>
      </c>
      <c r="G11" s="18">
        <v>173.7</v>
      </c>
      <c r="H11" s="17">
        <f t="shared" si="0"/>
        <v>1.7271157167530881E-3</v>
      </c>
      <c r="I11" s="17">
        <f t="shared" si="1"/>
        <v>1.0017271157167531</v>
      </c>
      <c r="J11" s="20">
        <v>36770</v>
      </c>
      <c r="K11" s="21">
        <v>102.8</v>
      </c>
      <c r="L11" s="16">
        <f t="shared" si="2"/>
        <v>9.7276264591447984E-4</v>
      </c>
      <c r="M11" s="16">
        <f t="shared" si="3"/>
        <v>1.0009727626459144</v>
      </c>
      <c r="N11" s="22">
        <v>39814</v>
      </c>
      <c r="O11" s="17">
        <v>211.143</v>
      </c>
      <c r="P11" s="17">
        <f t="shared" si="4"/>
        <v>2.6257086429576217E-2</v>
      </c>
      <c r="Q11" s="17">
        <f t="shared" si="5"/>
        <v>1.0262570864295761</v>
      </c>
      <c r="R11" s="16">
        <v>39814</v>
      </c>
      <c r="S11" s="16">
        <v>122.095</v>
      </c>
      <c r="T11" s="16">
        <f t="shared" si="6"/>
        <v>2.3686473647569484E-2</v>
      </c>
      <c r="U11" s="16">
        <f t="shared" si="7"/>
        <v>1.0236864736475695</v>
      </c>
    </row>
    <row r="12" spans="1:21" x14ac:dyDescent="0.3">
      <c r="A12" s="5" t="s">
        <v>17</v>
      </c>
      <c r="B12" s="8">
        <f>CORREL(H2:H317,L2:L317)</f>
        <v>0.98987221349915733</v>
      </c>
      <c r="C12" s="7"/>
      <c r="D12" s="7"/>
      <c r="F12" s="19">
        <v>36800</v>
      </c>
      <c r="G12" s="18">
        <v>174</v>
      </c>
      <c r="H12" s="17">
        <f t="shared" si="0"/>
        <v>5.7471264367812828E-4</v>
      </c>
      <c r="I12" s="17">
        <f t="shared" si="1"/>
        <v>1.0005747126436781</v>
      </c>
      <c r="J12" s="20">
        <v>36800</v>
      </c>
      <c r="K12" s="21">
        <v>102.9</v>
      </c>
      <c r="L12" s="16">
        <f t="shared" si="2"/>
        <v>-9.7181729834799337E-4</v>
      </c>
      <c r="M12" s="16">
        <f t="shared" si="3"/>
        <v>0.99902818270165206</v>
      </c>
      <c r="N12" s="22">
        <v>40179</v>
      </c>
      <c r="O12" s="17">
        <v>216.68700000000001</v>
      </c>
      <c r="P12" s="17">
        <f t="shared" si="4"/>
        <v>1.631846857448763E-2</v>
      </c>
      <c r="Q12" s="17">
        <f t="shared" si="5"/>
        <v>1.0163184685744877</v>
      </c>
      <c r="R12" s="16">
        <v>40179</v>
      </c>
      <c r="S12" s="16">
        <v>124.98699999999999</v>
      </c>
      <c r="T12" s="16">
        <f t="shared" si="6"/>
        <v>1.4329490266987856E-2</v>
      </c>
      <c r="U12" s="16">
        <f t="shared" si="7"/>
        <v>1.0143294902669879</v>
      </c>
    </row>
    <row r="13" spans="1:21" x14ac:dyDescent="0.3">
      <c r="A13" s="5" t="s">
        <v>24</v>
      </c>
      <c r="B13" s="7">
        <f>COUNT(H2:H317)</f>
        <v>316</v>
      </c>
      <c r="C13" s="7"/>
      <c r="D13" s="7"/>
      <c r="F13" s="19">
        <v>36831</v>
      </c>
      <c r="G13" s="18">
        <v>174.1</v>
      </c>
      <c r="H13" s="17">
        <f t="shared" si="0"/>
        <v>-5.7438253877078874E-4</v>
      </c>
      <c r="I13" s="17">
        <f t="shared" si="1"/>
        <v>0.99942561746122927</v>
      </c>
      <c r="J13" s="20">
        <v>36831</v>
      </c>
      <c r="K13" s="21">
        <v>102.8</v>
      </c>
      <c r="L13" s="16">
        <f t="shared" si="2"/>
        <v>-1.9455252918288216E-3</v>
      </c>
      <c r="M13" s="16">
        <f t="shared" si="3"/>
        <v>0.99805447470817121</v>
      </c>
      <c r="N13" s="22">
        <v>40544</v>
      </c>
      <c r="O13" s="17">
        <v>220.22300000000001</v>
      </c>
      <c r="P13" s="17">
        <f t="shared" si="4"/>
        <v>2.9252167121508556E-2</v>
      </c>
      <c r="Q13" s="17">
        <f t="shared" si="5"/>
        <v>1.0292521671215085</v>
      </c>
      <c r="R13" s="16">
        <v>40544</v>
      </c>
      <c r="S13" s="16">
        <v>126.77800000000001</v>
      </c>
      <c r="T13" s="16">
        <f t="shared" si="6"/>
        <v>2.8869362192178314E-2</v>
      </c>
      <c r="U13" s="16">
        <f t="shared" si="7"/>
        <v>1.0288693621921783</v>
      </c>
    </row>
    <row r="14" spans="1:21" x14ac:dyDescent="0.3">
      <c r="A14" s="31" t="s">
        <v>22</v>
      </c>
      <c r="B14" s="10"/>
      <c r="C14" s="10"/>
      <c r="D14" s="10"/>
      <c r="F14" s="19">
        <v>36861</v>
      </c>
      <c r="G14" s="18">
        <v>174</v>
      </c>
      <c r="H14" s="17">
        <f t="shared" si="0"/>
        <v>6.3218390804597371E-3</v>
      </c>
      <c r="I14" s="17">
        <f t="shared" si="1"/>
        <v>1.0063218390804598</v>
      </c>
      <c r="J14" s="20">
        <v>36861</v>
      </c>
      <c r="K14" s="21">
        <v>102.6</v>
      </c>
      <c r="L14" s="16">
        <f t="shared" si="2"/>
        <v>6.8226120857700088E-3</v>
      </c>
      <c r="M14" s="16">
        <f t="shared" si="3"/>
        <v>1.00682261208577</v>
      </c>
      <c r="N14" s="22">
        <v>40909</v>
      </c>
      <c r="O14" s="17">
        <v>226.66499999999999</v>
      </c>
      <c r="P14" s="17">
        <f t="shared" si="4"/>
        <v>1.5948646681225639E-2</v>
      </c>
      <c r="Q14" s="17">
        <f t="shared" si="5"/>
        <v>1.0159486466812255</v>
      </c>
      <c r="R14" s="16">
        <v>40909</v>
      </c>
      <c r="S14" s="16">
        <v>130.43799999999999</v>
      </c>
      <c r="T14" s="16">
        <f t="shared" si="6"/>
        <v>1.3025345374814184E-2</v>
      </c>
      <c r="U14" s="16">
        <f t="shared" si="7"/>
        <v>1.0130253453748141</v>
      </c>
    </row>
    <row r="15" spans="1:21" x14ac:dyDescent="0.3">
      <c r="A15" s="11" t="s">
        <v>12</v>
      </c>
      <c r="B15" s="12">
        <f t="array" ref="B15">AVERAGE(P2:P27)</f>
        <v>2.5675083762175761E-2</v>
      </c>
      <c r="C15" s="10" t="s">
        <v>13</v>
      </c>
      <c r="D15" s="12">
        <f t="array" ref="D15">AVERAGE(T2:T27)</f>
        <v>2.2914199507288416E-2</v>
      </c>
      <c r="F15" s="19">
        <v>36892</v>
      </c>
      <c r="G15" s="18">
        <v>175.1</v>
      </c>
      <c r="H15" s="17">
        <f t="shared" si="0"/>
        <v>3.9977155910909026E-3</v>
      </c>
      <c r="I15" s="17">
        <f t="shared" si="1"/>
        <v>1.0039977155910909</v>
      </c>
      <c r="J15" s="20">
        <v>36892</v>
      </c>
      <c r="K15" s="21">
        <v>103.3</v>
      </c>
      <c r="L15" s="16">
        <f t="shared" si="2"/>
        <v>3.8722168441433272E-3</v>
      </c>
      <c r="M15" s="16">
        <f t="shared" si="3"/>
        <v>1.0038722168441434</v>
      </c>
      <c r="N15" s="22">
        <v>41275</v>
      </c>
      <c r="O15" s="17">
        <v>230.28</v>
      </c>
      <c r="P15" s="17">
        <f t="shared" si="4"/>
        <v>1.5789473684210506E-2</v>
      </c>
      <c r="Q15" s="17">
        <f t="shared" si="5"/>
        <v>1.0157894736842106</v>
      </c>
      <c r="R15" s="16">
        <v>41275</v>
      </c>
      <c r="S15" s="16">
        <v>132.137</v>
      </c>
      <c r="T15" s="16">
        <f t="shared" si="6"/>
        <v>1.4227657658339415E-2</v>
      </c>
      <c r="U15" s="16">
        <f t="shared" si="7"/>
        <v>1.0142276576583393</v>
      </c>
    </row>
    <row r="16" spans="1:21" x14ac:dyDescent="0.3">
      <c r="A16" s="11" t="s">
        <v>15</v>
      </c>
      <c r="B16" s="12">
        <f>_xlfn.STDEV.S(P2:P27)</f>
        <v>1.6619143398091195E-2</v>
      </c>
      <c r="C16" s="10" t="s">
        <v>14</v>
      </c>
      <c r="D16" s="12">
        <f>_xlfn.STDEV.S(T2:T27)</f>
        <v>1.5863560767883939E-2</v>
      </c>
      <c r="F16" s="19">
        <v>36923</v>
      </c>
      <c r="G16" s="18">
        <v>175.8</v>
      </c>
      <c r="H16" s="17">
        <f t="shared" si="0"/>
        <v>2.2753128555175043E-3</v>
      </c>
      <c r="I16" s="17">
        <f t="shared" si="1"/>
        <v>1.0022753128555175</v>
      </c>
      <c r="J16" s="20">
        <v>36923</v>
      </c>
      <c r="K16" s="21">
        <v>103.7</v>
      </c>
      <c r="L16" s="16">
        <f t="shared" si="2"/>
        <v>1.9286403085824768E-3</v>
      </c>
      <c r="M16" s="16">
        <f t="shared" si="3"/>
        <v>1.0019286403085825</v>
      </c>
      <c r="N16" s="22">
        <v>41640</v>
      </c>
      <c r="O16" s="17">
        <v>233.916</v>
      </c>
      <c r="P16" s="17">
        <f t="shared" si="4"/>
        <v>-8.9348313069650292E-4</v>
      </c>
      <c r="Q16" s="17">
        <f t="shared" si="5"/>
        <v>0.99910651686930352</v>
      </c>
      <c r="R16" s="16">
        <v>41640</v>
      </c>
      <c r="S16" s="16">
        <v>134.017</v>
      </c>
      <c r="T16" s="16">
        <f t="shared" si="6"/>
        <v>-3.9547221621137702E-3</v>
      </c>
      <c r="U16" s="16">
        <f t="shared" si="7"/>
        <v>0.99604527783788621</v>
      </c>
    </row>
    <row r="17" spans="1:24" x14ac:dyDescent="0.3">
      <c r="A17" s="10" t="s">
        <v>25</v>
      </c>
      <c r="B17" s="12">
        <f>GEOMEAN(Q2:Q27)-1</f>
        <v>2.5547249917907244E-2</v>
      </c>
      <c r="C17" s="10" t="s">
        <v>26</v>
      </c>
      <c r="D17" s="12">
        <f>GEOMEAN(U2:U27)-1</f>
        <v>2.2797487833184027E-2</v>
      </c>
      <c r="F17" s="19">
        <v>36951</v>
      </c>
      <c r="G17" s="18">
        <v>176.2</v>
      </c>
      <c r="H17" s="17">
        <f t="shared" si="0"/>
        <v>3.9727582292850006E-3</v>
      </c>
      <c r="I17" s="17">
        <f t="shared" si="1"/>
        <v>1.003972758229285</v>
      </c>
      <c r="J17" s="20">
        <v>36951</v>
      </c>
      <c r="K17" s="21">
        <v>103.9</v>
      </c>
      <c r="L17" s="16">
        <f t="shared" si="2"/>
        <v>2.8873917228103671E-3</v>
      </c>
      <c r="M17" s="16">
        <f t="shared" si="3"/>
        <v>1.0028873917228103</v>
      </c>
      <c r="N17" s="22">
        <v>42005</v>
      </c>
      <c r="O17" s="17">
        <v>233.70699999999999</v>
      </c>
      <c r="P17" s="17">
        <f t="shared" si="4"/>
        <v>1.3730868138309949E-2</v>
      </c>
      <c r="Q17" s="17">
        <f t="shared" si="5"/>
        <v>1.0137308681383099</v>
      </c>
      <c r="R17" s="16">
        <v>42005</v>
      </c>
      <c r="S17" s="16">
        <v>133.48699999999999</v>
      </c>
      <c r="T17" s="16">
        <f t="shared" si="6"/>
        <v>1.1079730610471532E-2</v>
      </c>
      <c r="U17" s="16">
        <f t="shared" si="7"/>
        <v>1.0110797306104715</v>
      </c>
    </row>
    <row r="18" spans="1:24" x14ac:dyDescent="0.3">
      <c r="A18" s="10"/>
      <c r="B18" s="10"/>
      <c r="C18" s="10"/>
      <c r="D18" s="10"/>
      <c r="F18" s="19">
        <v>36982</v>
      </c>
      <c r="G18" s="18">
        <v>176.9</v>
      </c>
      <c r="H18" s="17">
        <f t="shared" si="0"/>
        <v>4.5223289994346123E-3</v>
      </c>
      <c r="I18" s="17">
        <f t="shared" si="1"/>
        <v>1.0045223289994347</v>
      </c>
      <c r="J18" s="20">
        <v>36982</v>
      </c>
      <c r="K18" s="21">
        <v>104.2</v>
      </c>
      <c r="L18" s="16">
        <f t="shared" si="2"/>
        <v>3.838771593090129E-3</v>
      </c>
      <c r="M18" s="16">
        <f t="shared" si="3"/>
        <v>1.0038387715930901</v>
      </c>
      <c r="N18" s="22">
        <v>42370</v>
      </c>
      <c r="O18" s="17">
        <v>236.916</v>
      </c>
      <c r="P18" s="17">
        <f t="shared" si="4"/>
        <v>2.5000422090529984E-2</v>
      </c>
      <c r="Q18" s="17">
        <f t="shared" si="5"/>
        <v>1.02500042209053</v>
      </c>
      <c r="R18" s="16">
        <v>42370</v>
      </c>
      <c r="S18" s="16">
        <v>134.96600000000001</v>
      </c>
      <c r="T18" s="16">
        <f t="shared" si="6"/>
        <v>2.2739060207755939E-2</v>
      </c>
      <c r="U18" s="16">
        <f t="shared" si="7"/>
        <v>1.022739060207756</v>
      </c>
    </row>
    <row r="19" spans="1:24" x14ac:dyDescent="0.3">
      <c r="A19" s="10" t="s">
        <v>16</v>
      </c>
      <c r="B19" s="13">
        <f t="array" ref="B19">SLOPE(T2:T27,P2:P27)</f>
        <v>0.9468329584515115</v>
      </c>
      <c r="C19" s="10"/>
      <c r="D19" s="10"/>
      <c r="F19" s="19">
        <v>37012</v>
      </c>
      <c r="G19" s="18">
        <v>177.7</v>
      </c>
      <c r="H19" s="17">
        <f t="shared" si="0"/>
        <v>1.6882386043894845E-3</v>
      </c>
      <c r="I19" s="17">
        <f t="shared" si="1"/>
        <v>1.0016882386043895</v>
      </c>
      <c r="J19" s="20">
        <v>37012</v>
      </c>
      <c r="K19" s="21">
        <v>104.6</v>
      </c>
      <c r="L19" s="16">
        <f t="shared" si="2"/>
        <v>1.9120458891013657E-3</v>
      </c>
      <c r="M19" s="16">
        <f t="shared" si="3"/>
        <v>1.0019120458891013</v>
      </c>
      <c r="N19" s="22">
        <v>42736</v>
      </c>
      <c r="O19" s="17">
        <v>242.839</v>
      </c>
      <c r="P19" s="17">
        <f t="shared" si="4"/>
        <v>2.0705076202751582E-2</v>
      </c>
      <c r="Q19" s="17">
        <f t="shared" si="5"/>
        <v>1.0207050762027516</v>
      </c>
      <c r="R19" s="16">
        <v>42736</v>
      </c>
      <c r="S19" s="16">
        <v>138.035</v>
      </c>
      <c r="T19" s="16">
        <f t="shared" si="6"/>
        <v>1.5966964900206524E-2</v>
      </c>
      <c r="U19" s="16">
        <f t="shared" si="7"/>
        <v>1.0159669649002065</v>
      </c>
    </row>
    <row r="20" spans="1:24" x14ac:dyDescent="0.3">
      <c r="A20" s="10" t="s">
        <v>17</v>
      </c>
      <c r="B20" s="13">
        <f>CORREL(T2:T27,P2:P27)</f>
        <v>0.99193068572608889</v>
      </c>
      <c r="C20" s="10"/>
      <c r="D20" s="10"/>
      <c r="F20" s="19">
        <v>37043</v>
      </c>
      <c r="G20" s="18">
        <v>178</v>
      </c>
      <c r="H20" s="17">
        <f t="shared" si="0"/>
        <v>-2.8089887640449437E-3</v>
      </c>
      <c r="I20" s="17">
        <f t="shared" si="1"/>
        <v>0.9971910112359551</v>
      </c>
      <c r="J20" s="20">
        <v>37043</v>
      </c>
      <c r="K20" s="21">
        <v>104.8</v>
      </c>
      <c r="L20" s="16">
        <f t="shared" si="2"/>
        <v>-2.8625954198473014E-3</v>
      </c>
      <c r="M20" s="16">
        <f t="shared" si="3"/>
        <v>0.99713740458015265</v>
      </c>
      <c r="N20" s="22">
        <v>43101</v>
      </c>
      <c r="O20" s="17">
        <v>247.86699999999999</v>
      </c>
      <c r="P20" s="17">
        <f t="shared" si="4"/>
        <v>1.5512351381991144E-2</v>
      </c>
      <c r="Q20" s="17">
        <f t="shared" si="5"/>
        <v>1.0155123513819913</v>
      </c>
      <c r="R20" s="16">
        <v>43101</v>
      </c>
      <c r="S20" s="16">
        <v>140.239</v>
      </c>
      <c r="T20" s="16">
        <f t="shared" si="6"/>
        <v>1.2564265289969269E-2</v>
      </c>
      <c r="U20" s="16">
        <f t="shared" si="7"/>
        <v>1.0125642652899693</v>
      </c>
    </row>
    <row r="21" spans="1:24" x14ac:dyDescent="0.3">
      <c r="A21" s="10" t="s">
        <v>24</v>
      </c>
      <c r="B21" s="10">
        <f t="array" ref="B21">COUNT(T2:T27)</f>
        <v>26</v>
      </c>
      <c r="C21" s="10"/>
      <c r="D21" s="10"/>
      <c r="F21" s="19">
        <v>37073</v>
      </c>
      <c r="G21" s="18">
        <v>177.5</v>
      </c>
      <c r="H21" s="17">
        <f t="shared" si="0"/>
        <v>0</v>
      </c>
      <c r="I21" s="17">
        <f t="shared" si="1"/>
        <v>1</v>
      </c>
      <c r="J21" s="20">
        <v>37073</v>
      </c>
      <c r="K21" s="21">
        <v>104.5</v>
      </c>
      <c r="L21" s="16">
        <f t="shared" si="2"/>
        <v>9.569377990430078E-4</v>
      </c>
      <c r="M21" s="16">
        <f t="shared" si="3"/>
        <v>1.000956937799043</v>
      </c>
      <c r="N21" s="22">
        <v>43466</v>
      </c>
      <c r="O21" s="17">
        <v>251.71199999999999</v>
      </c>
      <c r="P21" s="17">
        <f t="shared" si="4"/>
        <v>2.4865719552504509E-2</v>
      </c>
      <c r="Q21" s="17">
        <f t="shared" si="5"/>
        <v>1.0248657195525046</v>
      </c>
      <c r="R21" s="16">
        <v>43466</v>
      </c>
      <c r="S21" s="16">
        <v>142.001</v>
      </c>
      <c r="T21" s="16">
        <f t="shared" si="6"/>
        <v>1.9802677445933361E-2</v>
      </c>
      <c r="U21" s="16">
        <f t="shared" si="7"/>
        <v>1.0198026774459334</v>
      </c>
    </row>
    <row r="22" spans="1:24" x14ac:dyDescent="0.3">
      <c r="F22" s="19">
        <v>37104</v>
      </c>
      <c r="G22" s="18">
        <v>177.5</v>
      </c>
      <c r="H22" s="17">
        <f t="shared" si="0"/>
        <v>4.5070422535211912E-3</v>
      </c>
      <c r="I22" s="17">
        <f t="shared" si="1"/>
        <v>1.0045070422535212</v>
      </c>
      <c r="J22" s="20">
        <v>37104</v>
      </c>
      <c r="K22" s="21">
        <v>104.6</v>
      </c>
      <c r="L22" s="16">
        <f t="shared" si="2"/>
        <v>2.8680688336521166E-3</v>
      </c>
      <c r="M22" s="16">
        <f t="shared" si="3"/>
        <v>1.0028680688336522</v>
      </c>
      <c r="N22" s="22">
        <v>43831</v>
      </c>
      <c r="O22" s="17">
        <v>257.971</v>
      </c>
      <c r="P22" s="17">
        <f t="shared" si="4"/>
        <v>1.3997697415600939E-2</v>
      </c>
      <c r="Q22" s="17">
        <f t="shared" si="5"/>
        <v>1.0139976974156009</v>
      </c>
      <c r="R22" s="16">
        <v>43831</v>
      </c>
      <c r="S22" s="16">
        <v>144.81299999999999</v>
      </c>
      <c r="T22" s="16">
        <f t="shared" si="6"/>
        <v>1.5965417469426171E-2</v>
      </c>
      <c r="U22" s="16">
        <f t="shared" si="7"/>
        <v>1.0159654174694261</v>
      </c>
    </row>
    <row r="23" spans="1:24" x14ac:dyDescent="0.3">
      <c r="F23" s="19">
        <v>37135</v>
      </c>
      <c r="G23" s="18">
        <v>178.3</v>
      </c>
      <c r="H23" s="17">
        <f t="shared" si="0"/>
        <v>-3.365114974761765E-3</v>
      </c>
      <c r="I23" s="17">
        <f t="shared" si="1"/>
        <v>0.99663488502523823</v>
      </c>
      <c r="J23" s="20">
        <v>37135</v>
      </c>
      <c r="K23" s="21">
        <v>104.9</v>
      </c>
      <c r="L23" s="16">
        <f t="shared" si="2"/>
        <v>-1.9065776930410185E-3</v>
      </c>
      <c r="M23" s="16">
        <f t="shared" si="3"/>
        <v>0.99809342230695897</v>
      </c>
      <c r="N23" s="22">
        <v>44197</v>
      </c>
      <c r="O23" s="17">
        <v>261.58199999999999</v>
      </c>
      <c r="P23" s="17">
        <f t="shared" si="4"/>
        <v>7.4798724682891143E-2</v>
      </c>
      <c r="Q23" s="17">
        <f t="shared" si="5"/>
        <v>1.0747987246828912</v>
      </c>
      <c r="R23" s="16">
        <v>44197</v>
      </c>
      <c r="S23" s="16">
        <v>147.125</v>
      </c>
      <c r="T23" s="16">
        <f t="shared" si="6"/>
        <v>6.8329651656754448E-2</v>
      </c>
      <c r="U23" s="16">
        <f t="shared" si="7"/>
        <v>1.0683296516567544</v>
      </c>
    </row>
    <row r="24" spans="1:24" x14ac:dyDescent="0.3">
      <c r="F24" s="19">
        <v>37165</v>
      </c>
      <c r="G24" s="18">
        <v>177.7</v>
      </c>
      <c r="H24" s="17">
        <f t="shared" si="0"/>
        <v>-1.6882386043893245E-3</v>
      </c>
      <c r="I24" s="17">
        <f t="shared" si="1"/>
        <v>0.99831176139561073</v>
      </c>
      <c r="J24" s="20">
        <v>37165</v>
      </c>
      <c r="K24" s="21">
        <v>104.7</v>
      </c>
      <c r="L24" s="16">
        <f t="shared" si="2"/>
        <v>-2.8653295128939554E-3</v>
      </c>
      <c r="M24" s="16">
        <f t="shared" si="3"/>
        <v>0.99713467048710602</v>
      </c>
      <c r="N24" s="22">
        <v>44562</v>
      </c>
      <c r="O24" s="17">
        <v>281.14800000000002</v>
      </c>
      <c r="P24" s="17">
        <f t="shared" si="4"/>
        <v>6.4101469688562576E-2</v>
      </c>
      <c r="Q24" s="17">
        <f t="shared" si="5"/>
        <v>1.0641014696885627</v>
      </c>
      <c r="R24" s="16">
        <v>44562</v>
      </c>
      <c r="S24" s="16">
        <v>157.178</v>
      </c>
      <c r="T24" s="16">
        <f t="shared" si="6"/>
        <v>6.4188372418531842E-2</v>
      </c>
      <c r="U24" s="16">
        <f t="shared" si="7"/>
        <v>1.0641883724185319</v>
      </c>
      <c r="X24" s="14"/>
    </row>
    <row r="25" spans="1:24" x14ac:dyDescent="0.3">
      <c r="F25" s="19">
        <v>37196</v>
      </c>
      <c r="G25" s="18">
        <v>177.4</v>
      </c>
      <c r="H25" s="17">
        <f t="shared" si="0"/>
        <v>-3.9458850056370747E-3</v>
      </c>
      <c r="I25" s="17">
        <f t="shared" si="1"/>
        <v>0.99605411499436292</v>
      </c>
      <c r="J25" s="20">
        <v>37196</v>
      </c>
      <c r="K25" s="21">
        <v>104.4</v>
      </c>
      <c r="L25" s="16">
        <f t="shared" si="2"/>
        <v>-4.7892720306513406E-3</v>
      </c>
      <c r="M25" s="16">
        <f t="shared" si="3"/>
        <v>0.99521072796934862</v>
      </c>
      <c r="N25" s="22">
        <v>44927</v>
      </c>
      <c r="O25" s="17">
        <v>299.17</v>
      </c>
      <c r="P25" s="17">
        <f t="shared" si="4"/>
        <v>3.09088478122805E-2</v>
      </c>
      <c r="Q25" s="17">
        <f t="shared" si="5"/>
        <v>1.0309088478122805</v>
      </c>
      <c r="R25" s="16">
        <v>44927</v>
      </c>
      <c r="S25" s="16">
        <v>167.267</v>
      </c>
      <c r="T25" s="16">
        <f t="shared" si="6"/>
        <v>2.6197636114714828E-2</v>
      </c>
      <c r="U25" s="16">
        <f t="shared" si="7"/>
        <v>1.0261976361147149</v>
      </c>
      <c r="X25" s="15"/>
    </row>
    <row r="26" spans="1:24" x14ac:dyDescent="0.3">
      <c r="F26" s="19">
        <v>37226</v>
      </c>
      <c r="G26" s="18">
        <v>176.7</v>
      </c>
      <c r="H26" s="17">
        <f t="shared" si="0"/>
        <v>2.2637238256932976E-3</v>
      </c>
      <c r="I26" s="17">
        <f t="shared" si="1"/>
        <v>1.0022637238256933</v>
      </c>
      <c r="J26" s="20">
        <v>37226</v>
      </c>
      <c r="K26" s="21">
        <v>103.9</v>
      </c>
      <c r="L26" s="16">
        <f t="shared" si="2"/>
        <v>2.8873917228103671E-3</v>
      </c>
      <c r="M26" s="16">
        <f t="shared" si="3"/>
        <v>1.0028873917228103</v>
      </c>
      <c r="N26" s="22">
        <v>45292</v>
      </c>
      <c r="O26" s="17">
        <v>308.41699999999997</v>
      </c>
      <c r="P26" s="17">
        <f t="shared" si="4"/>
        <v>3.0004831121501149E-2</v>
      </c>
      <c r="Q26" s="17">
        <f t="shared" si="5"/>
        <v>1.0300048311215011</v>
      </c>
      <c r="R26" s="16">
        <v>45292</v>
      </c>
      <c r="S26" s="16">
        <v>171.649</v>
      </c>
      <c r="T26" s="16">
        <f t="shared" si="6"/>
        <v>2.7457194623912717E-2</v>
      </c>
      <c r="U26" s="16">
        <f t="shared" si="7"/>
        <v>1.0274571946239126</v>
      </c>
    </row>
    <row r="27" spans="1:24" x14ac:dyDescent="0.3">
      <c r="F27" s="19">
        <v>37257</v>
      </c>
      <c r="G27" s="18">
        <v>177.1</v>
      </c>
      <c r="H27" s="17">
        <f t="shared" si="0"/>
        <v>3.9525691699605703E-3</v>
      </c>
      <c r="I27" s="17">
        <f t="shared" si="1"/>
        <v>1.0039525691699607</v>
      </c>
      <c r="J27" s="20">
        <v>37257</v>
      </c>
      <c r="K27" s="21">
        <v>104.2</v>
      </c>
      <c r="L27" s="16">
        <f t="shared" si="2"/>
        <v>2.8790786948176311E-3</v>
      </c>
      <c r="M27" s="16">
        <f t="shared" si="3"/>
        <v>1.0028790786948176</v>
      </c>
      <c r="N27" s="22">
        <v>45658</v>
      </c>
      <c r="O27" s="17">
        <v>317.67099999999999</v>
      </c>
      <c r="P27" s="17">
        <f t="shared" si="4"/>
        <v>2.3864312449043249E-2</v>
      </c>
      <c r="Q27" s="17">
        <f t="shared" si="5"/>
        <v>1.0238643124490432</v>
      </c>
      <c r="R27" s="16">
        <v>45658</v>
      </c>
      <c r="S27" s="16">
        <v>176.36199999999999</v>
      </c>
      <c r="T27" s="16">
        <f t="shared" si="6"/>
        <v>2.1943502568580561E-2</v>
      </c>
      <c r="U27" s="16">
        <f t="shared" si="7"/>
        <v>1.0219435025685806</v>
      </c>
    </row>
    <row r="28" spans="1:24" x14ac:dyDescent="0.3">
      <c r="F28" s="19">
        <v>37288</v>
      </c>
      <c r="G28" s="18">
        <v>177.8</v>
      </c>
      <c r="H28" s="17">
        <f t="shared" si="0"/>
        <v>5.6242969628796397E-3</v>
      </c>
      <c r="I28" s="17">
        <f t="shared" si="1"/>
        <v>1.0056242969628797</v>
      </c>
      <c r="J28" s="20">
        <v>37288</v>
      </c>
      <c r="K28" s="21">
        <v>104.5</v>
      </c>
      <c r="L28" s="16">
        <f t="shared" si="2"/>
        <v>5.7416267942583185E-3</v>
      </c>
      <c r="M28" s="16">
        <f t="shared" si="3"/>
        <v>1.0057416267942583</v>
      </c>
      <c r="N28" s="22">
        <v>46023</v>
      </c>
      <c r="O28" s="17">
        <v>325.25200000000001</v>
      </c>
      <c r="P28" s="17"/>
      <c r="Q28" s="17"/>
      <c r="R28" s="16">
        <v>46023</v>
      </c>
      <c r="S28" s="16">
        <v>180.232</v>
      </c>
      <c r="T28" s="16"/>
      <c r="U28" s="16"/>
    </row>
    <row r="29" spans="1:24" x14ac:dyDescent="0.3">
      <c r="F29" s="19">
        <v>37316</v>
      </c>
      <c r="G29" s="18">
        <v>178.8</v>
      </c>
      <c r="H29" s="17">
        <f t="shared" si="0"/>
        <v>5.5928411633109614E-3</v>
      </c>
      <c r="I29" s="17">
        <f t="shared" si="1"/>
        <v>1.005592841163311</v>
      </c>
      <c r="J29" s="20">
        <v>37316</v>
      </c>
      <c r="K29" s="21">
        <v>105.1</v>
      </c>
      <c r="L29" s="16">
        <f t="shared" si="2"/>
        <v>4.7573739295908657E-3</v>
      </c>
      <c r="M29" s="16">
        <f t="shared" si="3"/>
        <v>1.004757373929591</v>
      </c>
    </row>
    <row r="30" spans="1:24" x14ac:dyDescent="0.3">
      <c r="F30" s="19">
        <v>37347</v>
      </c>
      <c r="G30" s="18">
        <v>179.8</v>
      </c>
      <c r="H30" s="17">
        <f t="shared" si="0"/>
        <v>0</v>
      </c>
      <c r="I30" s="17">
        <f t="shared" si="1"/>
        <v>1</v>
      </c>
      <c r="J30" s="20">
        <v>37347</v>
      </c>
      <c r="K30" s="21">
        <v>105.6</v>
      </c>
      <c r="L30" s="16">
        <f t="shared" si="2"/>
        <v>0</v>
      </c>
      <c r="M30" s="16">
        <f t="shared" si="3"/>
        <v>1</v>
      </c>
    </row>
    <row r="31" spans="1:24" x14ac:dyDescent="0.3">
      <c r="F31" s="19">
        <v>37377</v>
      </c>
      <c r="G31" s="18">
        <v>179.8</v>
      </c>
      <c r="H31" s="17">
        <f t="shared" si="0"/>
        <v>5.5617352614012407E-4</v>
      </c>
      <c r="I31" s="17">
        <f t="shared" si="1"/>
        <v>1.0005561735261401</v>
      </c>
      <c r="J31" s="20">
        <v>37377</v>
      </c>
      <c r="K31" s="21">
        <v>105.6</v>
      </c>
      <c r="L31" s="16">
        <f t="shared" si="2"/>
        <v>0</v>
      </c>
      <c r="M31" s="16">
        <f t="shared" si="3"/>
        <v>1</v>
      </c>
    </row>
    <row r="32" spans="1:24" x14ac:dyDescent="0.3">
      <c r="F32" s="19">
        <v>37408</v>
      </c>
      <c r="G32" s="18">
        <v>179.9</v>
      </c>
      <c r="H32" s="17">
        <f t="shared" si="0"/>
        <v>1.111728738187819E-3</v>
      </c>
      <c r="I32" s="17">
        <f t="shared" si="1"/>
        <v>1.0011117287381879</v>
      </c>
      <c r="J32" s="20">
        <v>37408</v>
      </c>
      <c r="K32" s="21">
        <v>105.6</v>
      </c>
      <c r="L32" s="16">
        <f t="shared" si="2"/>
        <v>9.4696969696977777E-4</v>
      </c>
      <c r="M32" s="16">
        <f t="shared" si="3"/>
        <v>1.0009469696969697</v>
      </c>
    </row>
    <row r="33" spans="6:13" x14ac:dyDescent="0.3">
      <c r="F33" s="19">
        <v>37438</v>
      </c>
      <c r="G33" s="18">
        <v>180.1</v>
      </c>
      <c r="H33" s="17">
        <f t="shared" si="0"/>
        <v>3.3314825097167924E-3</v>
      </c>
      <c r="I33" s="17">
        <f t="shared" si="1"/>
        <v>1.0033314825097168</v>
      </c>
      <c r="J33" s="20">
        <v>37438</v>
      </c>
      <c r="K33" s="21">
        <v>105.7</v>
      </c>
      <c r="L33" s="16">
        <f t="shared" si="2"/>
        <v>2.838221381267712E-3</v>
      </c>
      <c r="M33" s="16">
        <f t="shared" si="3"/>
        <v>1.0028382213812677</v>
      </c>
    </row>
    <row r="34" spans="6:13" x14ac:dyDescent="0.3">
      <c r="F34" s="19">
        <v>37469</v>
      </c>
      <c r="G34" s="18">
        <v>180.7</v>
      </c>
      <c r="H34" s="17">
        <f t="shared" si="0"/>
        <v>1.6602102933038815E-3</v>
      </c>
      <c r="I34" s="17">
        <f t="shared" si="1"/>
        <v>1.0016602102933039</v>
      </c>
      <c r="J34" s="20">
        <v>37469</v>
      </c>
      <c r="K34" s="21">
        <v>106</v>
      </c>
      <c r="L34" s="16">
        <f t="shared" si="2"/>
        <v>2.8301886792452564E-3</v>
      </c>
      <c r="M34" s="16">
        <f t="shared" si="3"/>
        <v>1.0028301886792452</v>
      </c>
    </row>
    <row r="35" spans="6:13" x14ac:dyDescent="0.3">
      <c r="F35" s="19">
        <v>37500</v>
      </c>
      <c r="G35" s="18">
        <v>181</v>
      </c>
      <c r="H35" s="17">
        <f t="shared" si="0"/>
        <v>1.6574585635359745E-3</v>
      </c>
      <c r="I35" s="17">
        <f t="shared" si="1"/>
        <v>1.0016574585635361</v>
      </c>
      <c r="J35" s="20">
        <v>37500</v>
      </c>
      <c r="K35" s="21">
        <v>106.3</v>
      </c>
      <c r="L35" s="16">
        <f t="shared" si="2"/>
        <v>9.4073377234250735E-4</v>
      </c>
      <c r="M35" s="16">
        <f t="shared" si="3"/>
        <v>1.0009407337723426</v>
      </c>
    </row>
    <row r="36" spans="6:13" x14ac:dyDescent="0.3">
      <c r="F36" s="19">
        <v>37530</v>
      </c>
      <c r="G36" s="18">
        <v>181.3</v>
      </c>
      <c r="H36" s="17">
        <f t="shared" si="0"/>
        <v>0</v>
      </c>
      <c r="I36" s="17">
        <f t="shared" si="1"/>
        <v>1</v>
      </c>
      <c r="J36" s="20">
        <v>37530</v>
      </c>
      <c r="K36" s="21">
        <v>106.4</v>
      </c>
      <c r="L36" s="16">
        <f t="shared" si="2"/>
        <v>-9.3984962406023045E-4</v>
      </c>
      <c r="M36" s="16">
        <f t="shared" si="3"/>
        <v>0.99906015037593976</v>
      </c>
    </row>
    <row r="37" spans="6:13" x14ac:dyDescent="0.3">
      <c r="F37" s="19">
        <v>37561</v>
      </c>
      <c r="G37" s="18">
        <v>181.3</v>
      </c>
      <c r="H37" s="17">
        <f t="shared" si="0"/>
        <v>-2.2062879205736663E-3</v>
      </c>
      <c r="I37" s="17">
        <f t="shared" si="1"/>
        <v>0.99779371207942635</v>
      </c>
      <c r="J37" s="20">
        <v>37561</v>
      </c>
      <c r="K37" s="21">
        <v>106.3</v>
      </c>
      <c r="L37" s="16">
        <f t="shared" si="2"/>
        <v>-2.8222013170272546E-3</v>
      </c>
      <c r="M37" s="16">
        <f t="shared" si="3"/>
        <v>0.99717779868297274</v>
      </c>
    </row>
    <row r="38" spans="6:13" x14ac:dyDescent="0.3">
      <c r="F38" s="19">
        <v>37591</v>
      </c>
      <c r="G38" s="18">
        <v>180.9</v>
      </c>
      <c r="H38" s="17">
        <f t="shared" si="0"/>
        <v>4.422332780541641E-3</v>
      </c>
      <c r="I38" s="17">
        <f t="shared" si="1"/>
        <v>1.0044223327805417</v>
      </c>
      <c r="J38" s="20">
        <v>37591</v>
      </c>
      <c r="K38" s="21">
        <v>106</v>
      </c>
      <c r="L38" s="16">
        <f t="shared" si="2"/>
        <v>4.7169811320754715E-3</v>
      </c>
      <c r="M38" s="16">
        <f t="shared" si="3"/>
        <v>1.0047169811320755</v>
      </c>
    </row>
    <row r="39" spans="6:13" x14ac:dyDescent="0.3">
      <c r="F39" s="19">
        <v>37622</v>
      </c>
      <c r="G39" s="18">
        <v>181.7</v>
      </c>
      <c r="H39" s="17">
        <f t="shared" si="0"/>
        <v>7.7050082553660193E-3</v>
      </c>
      <c r="I39" s="17">
        <f t="shared" si="1"/>
        <v>1.007705008255366</v>
      </c>
      <c r="J39" s="20">
        <v>37622</v>
      </c>
      <c r="K39" s="21">
        <v>106.5</v>
      </c>
      <c r="L39" s="16">
        <f t="shared" si="2"/>
        <v>7.5117370892018509E-3</v>
      </c>
      <c r="M39" s="16">
        <f t="shared" si="3"/>
        <v>1.0075117370892019</v>
      </c>
    </row>
    <row r="40" spans="6:13" x14ac:dyDescent="0.3">
      <c r="F40" s="19">
        <v>37653</v>
      </c>
      <c r="G40" s="18">
        <v>183.1</v>
      </c>
      <c r="H40" s="17">
        <f t="shared" si="0"/>
        <v>6.0076460950300075E-3</v>
      </c>
      <c r="I40" s="17">
        <f t="shared" si="1"/>
        <v>1.00600764609503</v>
      </c>
      <c r="J40" s="20">
        <v>37653</v>
      </c>
      <c r="K40" s="21">
        <v>107.3</v>
      </c>
      <c r="L40" s="16">
        <f t="shared" si="2"/>
        <v>5.5917986952470503E-3</v>
      </c>
      <c r="M40" s="16">
        <f t="shared" si="3"/>
        <v>1.005591798695247</v>
      </c>
    </row>
    <row r="41" spans="6:13" x14ac:dyDescent="0.3">
      <c r="F41" s="19">
        <v>37681</v>
      </c>
      <c r="G41" s="18">
        <v>184.2</v>
      </c>
      <c r="H41" s="17">
        <f t="shared" si="0"/>
        <v>-2.1715526601518852E-3</v>
      </c>
      <c r="I41" s="17">
        <f t="shared" si="1"/>
        <v>0.9978284473398481</v>
      </c>
      <c r="J41" s="20">
        <v>37681</v>
      </c>
      <c r="K41" s="21">
        <v>107.9</v>
      </c>
      <c r="L41" s="16">
        <f t="shared" si="2"/>
        <v>-1.8535681186283859E-3</v>
      </c>
      <c r="M41" s="16">
        <f t="shared" si="3"/>
        <v>0.99814643188137164</v>
      </c>
    </row>
    <row r="42" spans="6:13" x14ac:dyDescent="0.3">
      <c r="F42" s="19">
        <v>37712</v>
      </c>
      <c r="G42" s="18">
        <v>183.8</v>
      </c>
      <c r="H42" s="17">
        <f t="shared" si="0"/>
        <v>-1.6322089227421728E-3</v>
      </c>
      <c r="I42" s="17">
        <f t="shared" si="1"/>
        <v>0.99836779107725782</v>
      </c>
      <c r="J42" s="20">
        <v>37712</v>
      </c>
      <c r="K42" s="21">
        <v>107.7</v>
      </c>
      <c r="L42" s="16">
        <f t="shared" si="2"/>
        <v>-1.8570102135562008E-3</v>
      </c>
      <c r="M42" s="16">
        <f t="shared" si="3"/>
        <v>0.99814298978644378</v>
      </c>
    </row>
    <row r="43" spans="6:13" x14ac:dyDescent="0.3">
      <c r="F43" s="19">
        <v>37742</v>
      </c>
      <c r="G43" s="18">
        <v>183.5</v>
      </c>
      <c r="H43" s="17">
        <f t="shared" si="0"/>
        <v>1.0899182561307282E-3</v>
      </c>
      <c r="I43" s="17">
        <f t="shared" si="1"/>
        <v>1.0010899182561308</v>
      </c>
      <c r="J43" s="20">
        <v>37742</v>
      </c>
      <c r="K43" s="21">
        <v>107.5</v>
      </c>
      <c r="L43" s="16">
        <f t="shared" si="2"/>
        <v>9.3023255813948203E-4</v>
      </c>
      <c r="M43" s="16">
        <f t="shared" si="3"/>
        <v>1.0009302325581395</v>
      </c>
    </row>
    <row r="44" spans="6:13" x14ac:dyDescent="0.3">
      <c r="F44" s="19">
        <v>37773</v>
      </c>
      <c r="G44" s="18">
        <v>183.7</v>
      </c>
      <c r="H44" s="17">
        <f t="shared" si="0"/>
        <v>1.0887316276538763E-3</v>
      </c>
      <c r="I44" s="17">
        <f t="shared" si="1"/>
        <v>1.0010887316276538</v>
      </c>
      <c r="J44" s="20">
        <v>37773</v>
      </c>
      <c r="K44" s="21">
        <v>107.6</v>
      </c>
      <c r="L44" s="16">
        <f t="shared" si="2"/>
        <v>9.2936802973985627E-4</v>
      </c>
      <c r="M44" s="16">
        <f t="shared" si="3"/>
        <v>1.0009293680297398</v>
      </c>
    </row>
    <row r="45" spans="6:13" x14ac:dyDescent="0.3">
      <c r="F45" s="19">
        <v>37803</v>
      </c>
      <c r="G45" s="18">
        <v>183.9</v>
      </c>
      <c r="H45" s="17">
        <f t="shared" si="0"/>
        <v>3.8064165307231572E-3</v>
      </c>
      <c r="I45" s="17">
        <f t="shared" si="1"/>
        <v>1.0038064165307232</v>
      </c>
      <c r="J45" s="20">
        <v>37803</v>
      </c>
      <c r="K45" s="21">
        <v>107.7</v>
      </c>
      <c r="L45" s="16">
        <f t="shared" si="2"/>
        <v>4.642525533890436E-3</v>
      </c>
      <c r="M45" s="16">
        <f t="shared" si="3"/>
        <v>1.0046425255338904</v>
      </c>
    </row>
    <row r="46" spans="6:13" x14ac:dyDescent="0.3">
      <c r="F46" s="19">
        <v>37834</v>
      </c>
      <c r="G46" s="18">
        <v>184.6</v>
      </c>
      <c r="H46" s="17">
        <f t="shared" si="0"/>
        <v>3.250270855904628E-3</v>
      </c>
      <c r="I46" s="17">
        <f t="shared" si="1"/>
        <v>1.0032502708559046</v>
      </c>
      <c r="J46" s="20">
        <v>37834</v>
      </c>
      <c r="K46" s="21">
        <v>108.2</v>
      </c>
      <c r="L46" s="16">
        <f t="shared" si="2"/>
        <v>2.772643253234724E-3</v>
      </c>
      <c r="M46" s="16">
        <f t="shared" si="3"/>
        <v>1.0027726432532347</v>
      </c>
    </row>
    <row r="47" spans="6:13" x14ac:dyDescent="0.3">
      <c r="F47" s="19">
        <v>37865</v>
      </c>
      <c r="G47" s="18">
        <v>185.2</v>
      </c>
      <c r="H47" s="17">
        <f t="shared" si="0"/>
        <v>-1.0799136069113858E-3</v>
      </c>
      <c r="I47" s="17">
        <f t="shared" si="1"/>
        <v>0.9989200863930886</v>
      </c>
      <c r="J47" s="20">
        <v>37865</v>
      </c>
      <c r="K47" s="21">
        <v>108.5</v>
      </c>
      <c r="L47" s="16">
        <f t="shared" si="2"/>
        <v>-9.2165898617506284E-4</v>
      </c>
      <c r="M47" s="16">
        <f t="shared" si="3"/>
        <v>0.99907834101382498</v>
      </c>
    </row>
    <row r="48" spans="6:13" x14ac:dyDescent="0.3">
      <c r="F48" s="19">
        <v>37895</v>
      </c>
      <c r="G48" s="18">
        <v>185</v>
      </c>
      <c r="H48" s="17">
        <f t="shared" si="0"/>
        <v>-2.7027027027027029E-3</v>
      </c>
      <c r="I48" s="17">
        <f t="shared" si="1"/>
        <v>0.99729729729729732</v>
      </c>
      <c r="J48" s="20">
        <v>37895</v>
      </c>
      <c r="K48" s="21">
        <v>108.4</v>
      </c>
      <c r="L48" s="16">
        <f t="shared" si="2"/>
        <v>-3.6900369003690561E-3</v>
      </c>
      <c r="M48" s="16">
        <f t="shared" si="3"/>
        <v>0.99630996309963094</v>
      </c>
    </row>
    <row r="49" spans="6:13" x14ac:dyDescent="0.3">
      <c r="F49" s="19">
        <v>37926</v>
      </c>
      <c r="G49" s="18">
        <v>184.5</v>
      </c>
      <c r="H49" s="17">
        <f t="shared" si="0"/>
        <v>-1.0840108401083395E-3</v>
      </c>
      <c r="I49" s="17">
        <f t="shared" si="1"/>
        <v>0.99891598915989166</v>
      </c>
      <c r="J49" s="20">
        <v>37926</v>
      </c>
      <c r="K49" s="21">
        <v>108</v>
      </c>
      <c r="L49" s="16">
        <f t="shared" si="2"/>
        <v>-1.8518518518518782E-3</v>
      </c>
      <c r="M49" s="16">
        <f t="shared" si="3"/>
        <v>0.99814814814814812</v>
      </c>
    </row>
    <row r="50" spans="6:13" x14ac:dyDescent="0.3">
      <c r="F50" s="19">
        <v>37956</v>
      </c>
      <c r="G50" s="18">
        <v>184.3</v>
      </c>
      <c r="H50" s="17">
        <f t="shared" si="0"/>
        <v>4.8833423765598325E-3</v>
      </c>
      <c r="I50" s="17">
        <f t="shared" si="1"/>
        <v>1.0048833423765597</v>
      </c>
      <c r="J50" s="20">
        <v>37956</v>
      </c>
      <c r="K50" s="21">
        <v>107.8</v>
      </c>
      <c r="L50" s="16">
        <f t="shared" si="2"/>
        <v>6.49350649350652E-3</v>
      </c>
      <c r="M50" s="16">
        <f t="shared" si="3"/>
        <v>1.0064935064935066</v>
      </c>
    </row>
    <row r="51" spans="6:13" x14ac:dyDescent="0.3">
      <c r="F51" s="19">
        <v>37987</v>
      </c>
      <c r="G51" s="18">
        <v>185.2</v>
      </c>
      <c r="H51" s="17">
        <f t="shared" si="0"/>
        <v>5.399568034557236E-3</v>
      </c>
      <c r="I51" s="17">
        <f t="shared" si="1"/>
        <v>1.0053995680345573</v>
      </c>
      <c r="J51" s="20">
        <v>37987</v>
      </c>
      <c r="K51" s="21">
        <v>108.5</v>
      </c>
      <c r="L51" s="16">
        <f t="shared" si="2"/>
        <v>5.5299539170506392E-3</v>
      </c>
      <c r="M51" s="16">
        <f t="shared" si="3"/>
        <v>1.0055299539170506</v>
      </c>
    </row>
    <row r="52" spans="6:13" x14ac:dyDescent="0.3">
      <c r="F52" s="19">
        <v>38018</v>
      </c>
      <c r="G52" s="18">
        <v>186.2</v>
      </c>
      <c r="H52" s="17">
        <f t="shared" si="0"/>
        <v>6.4446831364125519E-3</v>
      </c>
      <c r="I52" s="17">
        <f t="shared" si="1"/>
        <v>1.0064446831364124</v>
      </c>
      <c r="J52" s="20">
        <v>38018</v>
      </c>
      <c r="K52" s="21">
        <v>109.1</v>
      </c>
      <c r="L52" s="16">
        <f t="shared" si="2"/>
        <v>5.4995417048580072E-3</v>
      </c>
      <c r="M52" s="16">
        <f t="shared" si="3"/>
        <v>1.005499541704858</v>
      </c>
    </row>
    <row r="53" spans="6:13" x14ac:dyDescent="0.3">
      <c r="F53" s="19">
        <v>38047</v>
      </c>
      <c r="G53" s="18">
        <v>187.4</v>
      </c>
      <c r="H53" s="17">
        <f t="shared" si="0"/>
        <v>3.2017075773745694E-3</v>
      </c>
      <c r="I53" s="17">
        <f t="shared" si="1"/>
        <v>1.0032017075773745</v>
      </c>
      <c r="J53" s="20">
        <v>38047</v>
      </c>
      <c r="K53" s="21">
        <v>109.7</v>
      </c>
      <c r="L53" s="16">
        <f t="shared" si="2"/>
        <v>2.7347310847766378E-3</v>
      </c>
      <c r="M53" s="16">
        <f t="shared" si="3"/>
        <v>1.0027347310847767</v>
      </c>
    </row>
    <row r="54" spans="6:13" x14ac:dyDescent="0.3">
      <c r="F54" s="19">
        <v>38078</v>
      </c>
      <c r="G54" s="18">
        <v>188</v>
      </c>
      <c r="H54" s="17">
        <f t="shared" si="0"/>
        <v>5.8510638297872035E-3</v>
      </c>
      <c r="I54" s="17">
        <f t="shared" si="1"/>
        <v>1.0058510638297873</v>
      </c>
      <c r="J54" s="20">
        <v>38078</v>
      </c>
      <c r="K54" s="21">
        <v>110</v>
      </c>
      <c r="L54" s="16">
        <f t="shared" si="2"/>
        <v>5.4545454545454029E-3</v>
      </c>
      <c r="M54" s="16">
        <f t="shared" si="3"/>
        <v>1.0054545454545454</v>
      </c>
    </row>
    <row r="55" spans="6:13" x14ac:dyDescent="0.3">
      <c r="F55" s="19">
        <v>38108</v>
      </c>
      <c r="G55" s="18">
        <v>189.1</v>
      </c>
      <c r="H55" s="17">
        <f t="shared" si="0"/>
        <v>3.1729243786356126E-3</v>
      </c>
      <c r="I55" s="17">
        <f t="shared" si="1"/>
        <v>1.0031729243786356</v>
      </c>
      <c r="J55" s="20">
        <v>38108</v>
      </c>
      <c r="K55" s="21">
        <v>110.6</v>
      </c>
      <c r="L55" s="16">
        <f t="shared" si="2"/>
        <v>1.8083182640144923E-3</v>
      </c>
      <c r="M55" s="16">
        <f t="shared" si="3"/>
        <v>1.0018083182640145</v>
      </c>
    </row>
    <row r="56" spans="6:13" x14ac:dyDescent="0.3">
      <c r="F56" s="19">
        <v>38139</v>
      </c>
      <c r="G56" s="18">
        <v>189.7</v>
      </c>
      <c r="H56" s="17">
        <f t="shared" si="0"/>
        <v>-1.5814443858723404E-3</v>
      </c>
      <c r="I56" s="17">
        <f t="shared" si="1"/>
        <v>0.99841855561412762</v>
      </c>
      <c r="J56" s="20">
        <v>38139</v>
      </c>
      <c r="K56" s="21">
        <v>110.8</v>
      </c>
      <c r="L56" s="16">
        <f t="shared" si="2"/>
        <v>-9.0252707581222312E-4</v>
      </c>
      <c r="M56" s="16">
        <f t="shared" si="3"/>
        <v>0.99909747292418782</v>
      </c>
    </row>
    <row r="57" spans="6:13" x14ac:dyDescent="0.3">
      <c r="F57" s="19">
        <v>38169</v>
      </c>
      <c r="G57" s="18">
        <v>189.4</v>
      </c>
      <c r="H57" s="17">
        <f t="shared" si="0"/>
        <v>5.2798310454062463E-4</v>
      </c>
      <c r="I57" s="17">
        <f t="shared" si="1"/>
        <v>1.0005279831045406</v>
      </c>
      <c r="J57" s="20">
        <v>38169</v>
      </c>
      <c r="K57" s="21">
        <v>110.7</v>
      </c>
      <c r="L57" s="16">
        <f t="shared" si="2"/>
        <v>0</v>
      </c>
      <c r="M57" s="16">
        <f t="shared" si="3"/>
        <v>1</v>
      </c>
    </row>
    <row r="58" spans="6:13" x14ac:dyDescent="0.3">
      <c r="F58" s="19">
        <v>38200</v>
      </c>
      <c r="G58" s="18">
        <v>189.5</v>
      </c>
      <c r="H58" s="17">
        <f t="shared" si="0"/>
        <v>2.1108179419525364E-3</v>
      </c>
      <c r="I58" s="17">
        <f t="shared" si="1"/>
        <v>1.0021108179419524</v>
      </c>
      <c r="J58" s="20">
        <v>38200</v>
      </c>
      <c r="K58" s="21">
        <v>110.7</v>
      </c>
      <c r="L58" s="16">
        <f t="shared" si="2"/>
        <v>2.7100271002709771E-3</v>
      </c>
      <c r="M58" s="16">
        <f t="shared" si="3"/>
        <v>1.0027100271002709</v>
      </c>
    </row>
    <row r="59" spans="6:13" x14ac:dyDescent="0.3">
      <c r="F59" s="19">
        <v>38231</v>
      </c>
      <c r="G59" s="18">
        <v>189.9</v>
      </c>
      <c r="H59" s="17">
        <f t="shared" si="0"/>
        <v>5.2659294365455505E-3</v>
      </c>
      <c r="I59" s="17">
        <f t="shared" si="1"/>
        <v>1.0052659294365456</v>
      </c>
      <c r="J59" s="20">
        <v>38231</v>
      </c>
      <c r="K59" s="21">
        <v>111</v>
      </c>
      <c r="L59" s="16">
        <f t="shared" si="2"/>
        <v>5.4054054054053545E-3</v>
      </c>
      <c r="M59" s="16">
        <f t="shared" si="3"/>
        <v>1.0054054054054054</v>
      </c>
    </row>
    <row r="60" spans="6:13" x14ac:dyDescent="0.3">
      <c r="F60" s="19">
        <v>38261</v>
      </c>
      <c r="G60" s="18">
        <v>190.9</v>
      </c>
      <c r="H60" s="17">
        <f t="shared" si="0"/>
        <v>5.2383446830798488E-4</v>
      </c>
      <c r="I60" s="17">
        <f t="shared" si="1"/>
        <v>1.0005238344683081</v>
      </c>
      <c r="J60" s="20">
        <v>38261</v>
      </c>
      <c r="K60" s="21">
        <v>111.6</v>
      </c>
      <c r="L60" s="16">
        <f t="shared" si="2"/>
        <v>0</v>
      </c>
      <c r="M60" s="16">
        <f t="shared" si="3"/>
        <v>1</v>
      </c>
    </row>
    <row r="61" spans="6:13" x14ac:dyDescent="0.3">
      <c r="F61" s="19">
        <v>38292</v>
      </c>
      <c r="G61" s="18">
        <v>191</v>
      </c>
      <c r="H61" s="17">
        <f t="shared" si="0"/>
        <v>-3.664921465968527E-3</v>
      </c>
      <c r="I61" s="17">
        <f t="shared" si="1"/>
        <v>0.99633507853403147</v>
      </c>
      <c r="J61" s="20">
        <v>38292</v>
      </c>
      <c r="K61" s="21">
        <v>111.6</v>
      </c>
      <c r="L61" s="16">
        <f t="shared" si="2"/>
        <v>-3.5842293906809273E-3</v>
      </c>
      <c r="M61" s="16">
        <f t="shared" si="3"/>
        <v>0.99641577060931907</v>
      </c>
    </row>
    <row r="62" spans="6:13" x14ac:dyDescent="0.3">
      <c r="F62" s="19">
        <v>38322</v>
      </c>
      <c r="G62" s="18">
        <v>190.3</v>
      </c>
      <c r="H62" s="17">
        <f t="shared" si="0"/>
        <v>2.1019442984759706E-3</v>
      </c>
      <c r="I62" s="17">
        <f t="shared" si="1"/>
        <v>1.002101944298476</v>
      </c>
      <c r="J62" s="20">
        <v>38322</v>
      </c>
      <c r="K62" s="21">
        <v>111.2</v>
      </c>
      <c r="L62" s="16">
        <f t="shared" si="2"/>
        <v>8.9928057553951722E-4</v>
      </c>
      <c r="M62" s="16">
        <f t="shared" si="3"/>
        <v>1.0008992805755395</v>
      </c>
    </row>
    <row r="63" spans="6:13" x14ac:dyDescent="0.3">
      <c r="F63" s="19">
        <v>38353</v>
      </c>
      <c r="G63" s="18">
        <v>190.7</v>
      </c>
      <c r="H63" s="17">
        <f t="shared" si="0"/>
        <v>5.7682223387520862E-3</v>
      </c>
      <c r="I63" s="17">
        <f t="shared" si="1"/>
        <v>1.0057682223387521</v>
      </c>
      <c r="J63" s="20">
        <v>38353</v>
      </c>
      <c r="K63" s="21">
        <v>111.3</v>
      </c>
      <c r="L63" s="16">
        <f t="shared" si="2"/>
        <v>5.3908355795149014E-3</v>
      </c>
      <c r="M63" s="16">
        <f t="shared" si="3"/>
        <v>1.0053908355795149</v>
      </c>
    </row>
    <row r="64" spans="6:13" x14ac:dyDescent="0.3">
      <c r="F64" s="19">
        <v>38384</v>
      </c>
      <c r="G64" s="18">
        <v>191.8</v>
      </c>
      <c r="H64" s="17">
        <f t="shared" si="0"/>
        <v>7.8206465067778928E-3</v>
      </c>
      <c r="I64" s="17">
        <f t="shared" si="1"/>
        <v>1.0078206465067778</v>
      </c>
      <c r="J64" s="20">
        <v>38384</v>
      </c>
      <c r="K64" s="21">
        <v>111.9</v>
      </c>
      <c r="L64" s="16">
        <f t="shared" si="2"/>
        <v>6.255585344057092E-3</v>
      </c>
      <c r="M64" s="16">
        <f t="shared" si="3"/>
        <v>1.0062555853440571</v>
      </c>
    </row>
    <row r="65" spans="6:13" x14ac:dyDescent="0.3">
      <c r="F65" s="19">
        <v>38412</v>
      </c>
      <c r="G65" s="18">
        <v>193.3</v>
      </c>
      <c r="H65" s="17">
        <f t="shared" si="0"/>
        <v>6.7252974650800976E-3</v>
      </c>
      <c r="I65" s="17">
        <f t="shared" si="1"/>
        <v>1.00672529746508</v>
      </c>
      <c r="J65" s="20">
        <v>38412</v>
      </c>
      <c r="K65" s="21">
        <v>112.6</v>
      </c>
      <c r="L65" s="16">
        <f t="shared" si="2"/>
        <v>7.1047957371226595E-3</v>
      </c>
      <c r="M65" s="16">
        <f t="shared" si="3"/>
        <v>1.0071047957371226</v>
      </c>
    </row>
    <row r="66" spans="6:13" x14ac:dyDescent="0.3">
      <c r="F66" s="19">
        <v>38443</v>
      </c>
      <c r="G66" s="18">
        <v>194.6</v>
      </c>
      <c r="H66" s="17">
        <f t="shared" si="0"/>
        <v>-1.0277492291880198E-3</v>
      </c>
      <c r="I66" s="17">
        <f t="shared" si="1"/>
        <v>0.99897225077081198</v>
      </c>
      <c r="J66" s="20">
        <v>38443</v>
      </c>
      <c r="K66" s="21">
        <v>113.4</v>
      </c>
      <c r="L66" s="16">
        <f t="shared" si="2"/>
        <v>-8.818342151676237E-4</v>
      </c>
      <c r="M66" s="16">
        <f t="shared" si="3"/>
        <v>0.99911816578483237</v>
      </c>
    </row>
    <row r="67" spans="6:13" x14ac:dyDescent="0.3">
      <c r="F67" s="19">
        <v>38473</v>
      </c>
      <c r="G67" s="18">
        <v>194.4</v>
      </c>
      <c r="H67" s="17">
        <f t="shared" ref="H67:H130" si="8">(G68-G67)/G67</f>
        <v>5.1440329218104073E-4</v>
      </c>
      <c r="I67" s="17">
        <f t="shared" ref="I67:I130" si="9">H67+1</f>
        <v>1.0005144032921811</v>
      </c>
      <c r="J67" s="20">
        <v>38473</v>
      </c>
      <c r="K67" s="21">
        <v>113.3</v>
      </c>
      <c r="L67" s="16">
        <f t="shared" ref="L67:L130" si="10">(K68-K67)/K67</f>
        <v>-8.8261253309791982E-4</v>
      </c>
      <c r="M67" s="16">
        <f t="shared" ref="M67:M130" si="11">L67+1</f>
        <v>0.99911738746690204</v>
      </c>
    </row>
    <row r="68" spans="6:13" x14ac:dyDescent="0.3">
      <c r="F68" s="19">
        <v>38504</v>
      </c>
      <c r="G68" s="18">
        <v>194.5</v>
      </c>
      <c r="H68" s="17">
        <f t="shared" si="8"/>
        <v>4.6272493573265077E-3</v>
      </c>
      <c r="I68" s="17">
        <f t="shared" si="9"/>
        <v>1.0046272493573265</v>
      </c>
      <c r="J68" s="20">
        <v>38504</v>
      </c>
      <c r="K68" s="21">
        <v>113.2</v>
      </c>
      <c r="L68" s="16">
        <f t="shared" si="10"/>
        <v>4.4169611307420496E-3</v>
      </c>
      <c r="M68" s="16">
        <f t="shared" si="11"/>
        <v>1.0044169611307421</v>
      </c>
    </row>
    <row r="69" spans="6:13" x14ac:dyDescent="0.3">
      <c r="F69" s="19">
        <v>38534</v>
      </c>
      <c r="G69" s="18">
        <v>195.4</v>
      </c>
      <c r="H69" s="17">
        <f t="shared" si="8"/>
        <v>5.1177072671443188E-3</v>
      </c>
      <c r="I69" s="17">
        <f t="shared" si="9"/>
        <v>1.0051177072671442</v>
      </c>
      <c r="J69" s="20">
        <v>38534</v>
      </c>
      <c r="K69" s="21">
        <v>113.7</v>
      </c>
      <c r="L69" s="16">
        <f t="shared" si="10"/>
        <v>5.277044854881216E-3</v>
      </c>
      <c r="M69" s="16">
        <f t="shared" si="11"/>
        <v>1.0052770448548811</v>
      </c>
    </row>
    <row r="70" spans="6:13" x14ac:dyDescent="0.3">
      <c r="F70" s="19">
        <v>38565</v>
      </c>
      <c r="G70" s="18">
        <v>196.4</v>
      </c>
      <c r="H70" s="17">
        <f t="shared" si="8"/>
        <v>1.2219959266802473E-2</v>
      </c>
      <c r="I70" s="17">
        <f t="shared" si="9"/>
        <v>1.0122199592668024</v>
      </c>
      <c r="J70" s="20">
        <v>38565</v>
      </c>
      <c r="K70" s="21">
        <v>114.3</v>
      </c>
      <c r="L70" s="16">
        <f t="shared" si="10"/>
        <v>1.1373578302712137E-2</v>
      </c>
      <c r="M70" s="16">
        <f t="shared" si="11"/>
        <v>1.0113735783027122</v>
      </c>
    </row>
    <row r="71" spans="6:13" x14ac:dyDescent="0.3">
      <c r="F71" s="19">
        <v>38596</v>
      </c>
      <c r="G71" s="18">
        <v>198.8</v>
      </c>
      <c r="H71" s="17">
        <f t="shared" si="8"/>
        <v>2.0120724346075316E-3</v>
      </c>
      <c r="I71" s="17">
        <f t="shared" si="9"/>
        <v>1.0020120724346075</v>
      </c>
      <c r="J71" s="20">
        <v>38596</v>
      </c>
      <c r="K71" s="21">
        <v>115.6</v>
      </c>
      <c r="L71" s="16">
        <f t="shared" si="10"/>
        <v>8.650519031142606E-4</v>
      </c>
      <c r="M71" s="16">
        <f t="shared" si="11"/>
        <v>1.0008650519031144</v>
      </c>
    </row>
    <row r="72" spans="6:13" x14ac:dyDescent="0.3">
      <c r="F72" s="19">
        <v>38626</v>
      </c>
      <c r="G72" s="18">
        <v>199.2</v>
      </c>
      <c r="H72" s="17">
        <f t="shared" si="8"/>
        <v>-8.0321285140561964E-3</v>
      </c>
      <c r="I72" s="17">
        <f t="shared" si="9"/>
        <v>0.99196787148594379</v>
      </c>
      <c r="J72" s="20">
        <v>38626</v>
      </c>
      <c r="K72" s="21">
        <v>115.7</v>
      </c>
      <c r="L72" s="16">
        <f t="shared" si="10"/>
        <v>-6.9144338807259906E-3</v>
      </c>
      <c r="M72" s="16">
        <f t="shared" si="11"/>
        <v>0.99308556611927401</v>
      </c>
    </row>
    <row r="73" spans="6:13" x14ac:dyDescent="0.3">
      <c r="F73" s="19">
        <v>38657</v>
      </c>
      <c r="G73" s="18">
        <v>197.6</v>
      </c>
      <c r="H73" s="17">
        <f t="shared" si="8"/>
        <v>-4.0485829959513312E-3</v>
      </c>
      <c r="I73" s="17">
        <f t="shared" si="9"/>
        <v>0.99595141700404866</v>
      </c>
      <c r="J73" s="20">
        <v>38657</v>
      </c>
      <c r="K73" s="21">
        <v>114.9</v>
      </c>
      <c r="L73" s="16">
        <f t="shared" si="10"/>
        <v>-4.3516100957354219E-3</v>
      </c>
      <c r="M73" s="16">
        <f t="shared" si="11"/>
        <v>0.99564838990426463</v>
      </c>
    </row>
    <row r="74" spans="6:13" x14ac:dyDescent="0.3">
      <c r="F74" s="19">
        <v>38687</v>
      </c>
      <c r="G74" s="18">
        <v>196.8</v>
      </c>
      <c r="H74" s="17">
        <f t="shared" si="8"/>
        <v>7.621951219512195E-3</v>
      </c>
      <c r="I74" s="17">
        <f t="shared" si="9"/>
        <v>1.0076219512195121</v>
      </c>
      <c r="J74" s="20">
        <v>38687</v>
      </c>
      <c r="K74" s="21">
        <v>114.4</v>
      </c>
      <c r="L74" s="16">
        <f t="shared" si="10"/>
        <v>6.9930069930069678E-3</v>
      </c>
      <c r="M74" s="16">
        <f t="shared" si="11"/>
        <v>1.0069930069930069</v>
      </c>
    </row>
    <row r="75" spans="6:13" x14ac:dyDescent="0.3">
      <c r="F75" s="19">
        <v>38718</v>
      </c>
      <c r="G75" s="18">
        <v>198.3</v>
      </c>
      <c r="H75" s="17">
        <f t="shared" si="8"/>
        <v>2.0171457387795121E-3</v>
      </c>
      <c r="I75" s="17">
        <f t="shared" si="9"/>
        <v>1.0020171457387794</v>
      </c>
      <c r="J75" s="20">
        <v>38718</v>
      </c>
      <c r="K75" s="21">
        <v>115.2</v>
      </c>
      <c r="L75" s="16">
        <f t="shared" si="10"/>
        <v>1.7361111111111357E-3</v>
      </c>
      <c r="M75" s="16">
        <f t="shared" si="11"/>
        <v>1.0017361111111112</v>
      </c>
    </row>
    <row r="76" spans="6:13" x14ac:dyDescent="0.3">
      <c r="F76" s="19">
        <v>38749</v>
      </c>
      <c r="G76" s="18">
        <v>198.7</v>
      </c>
      <c r="H76" s="17">
        <f t="shared" si="8"/>
        <v>5.535983895319692E-3</v>
      </c>
      <c r="I76" s="17">
        <f t="shared" si="9"/>
        <v>1.0055359838953197</v>
      </c>
      <c r="J76" s="20">
        <v>38749</v>
      </c>
      <c r="K76" s="21">
        <v>115.4</v>
      </c>
      <c r="L76" s="16">
        <f t="shared" si="10"/>
        <v>5.1993067590987369E-3</v>
      </c>
      <c r="M76" s="16">
        <f t="shared" si="11"/>
        <v>1.0051993067590987</v>
      </c>
    </row>
    <row r="77" spans="6:13" x14ac:dyDescent="0.3">
      <c r="F77" s="19">
        <v>38777</v>
      </c>
      <c r="G77" s="18">
        <v>199.8</v>
      </c>
      <c r="H77" s="17">
        <f t="shared" si="8"/>
        <v>8.5085085085084503E-3</v>
      </c>
      <c r="I77" s="17">
        <f t="shared" si="9"/>
        <v>1.0085085085085084</v>
      </c>
      <c r="J77" s="20">
        <v>38777</v>
      </c>
      <c r="K77" s="21">
        <v>116</v>
      </c>
      <c r="L77" s="16">
        <f t="shared" si="10"/>
        <v>7.7586206896552217E-3</v>
      </c>
      <c r="M77" s="16">
        <f t="shared" si="11"/>
        <v>1.0077586206896552</v>
      </c>
    </row>
    <row r="78" spans="6:13" x14ac:dyDescent="0.3">
      <c r="F78" s="19">
        <v>38808</v>
      </c>
      <c r="G78" s="18">
        <v>201.5</v>
      </c>
      <c r="H78" s="17">
        <f t="shared" si="8"/>
        <v>4.9627791563275434E-3</v>
      </c>
      <c r="I78" s="17">
        <f t="shared" si="9"/>
        <v>1.0049627791563276</v>
      </c>
      <c r="J78" s="20">
        <v>38808</v>
      </c>
      <c r="K78" s="21">
        <v>116.9</v>
      </c>
      <c r="L78" s="16">
        <f t="shared" si="10"/>
        <v>5.1325919589392151E-3</v>
      </c>
      <c r="M78" s="16">
        <f t="shared" si="11"/>
        <v>1.0051325919589391</v>
      </c>
    </row>
    <row r="79" spans="6:13" x14ac:dyDescent="0.3">
      <c r="F79" s="19">
        <v>38838</v>
      </c>
      <c r="G79" s="18">
        <v>202.5</v>
      </c>
      <c r="H79" s="17">
        <f t="shared" si="8"/>
        <v>1.9753086419753369E-3</v>
      </c>
      <c r="I79" s="17">
        <f t="shared" si="9"/>
        <v>1.0019753086419754</v>
      </c>
      <c r="J79" s="20">
        <v>38838</v>
      </c>
      <c r="K79" s="21">
        <v>117.5</v>
      </c>
      <c r="L79" s="16">
        <f t="shared" si="10"/>
        <v>1.7021276595744924E-3</v>
      </c>
      <c r="M79" s="16">
        <f t="shared" si="11"/>
        <v>1.0017021276595746</v>
      </c>
    </row>
    <row r="80" spans="6:13" x14ac:dyDescent="0.3">
      <c r="F80" s="19">
        <v>38869</v>
      </c>
      <c r="G80" s="18">
        <v>202.9</v>
      </c>
      <c r="H80" s="17">
        <f t="shared" si="8"/>
        <v>2.9571217348447229E-3</v>
      </c>
      <c r="I80" s="17">
        <f t="shared" si="9"/>
        <v>1.0029571217348447</v>
      </c>
      <c r="J80" s="20">
        <v>38869</v>
      </c>
      <c r="K80" s="21">
        <v>117.7</v>
      </c>
      <c r="L80" s="16">
        <f t="shared" si="10"/>
        <v>3.398470688190242E-3</v>
      </c>
      <c r="M80" s="16">
        <f t="shared" si="11"/>
        <v>1.0033984706881902</v>
      </c>
    </row>
    <row r="81" spans="6:13" x14ac:dyDescent="0.3">
      <c r="F81" s="19">
        <v>38899</v>
      </c>
      <c r="G81" s="18">
        <v>203.5</v>
      </c>
      <c r="H81" s="17">
        <f t="shared" si="8"/>
        <v>1.9656019656019937E-3</v>
      </c>
      <c r="I81" s="17">
        <f t="shared" si="9"/>
        <v>1.001965601965602</v>
      </c>
      <c r="J81" s="20">
        <v>38899</v>
      </c>
      <c r="K81" s="21">
        <v>118.1</v>
      </c>
      <c r="L81" s="16">
        <f t="shared" si="10"/>
        <v>1.6934801016088303E-3</v>
      </c>
      <c r="M81" s="16">
        <f t="shared" si="11"/>
        <v>1.0016934801016089</v>
      </c>
    </row>
    <row r="82" spans="6:13" x14ac:dyDescent="0.3">
      <c r="F82" s="19">
        <v>38930</v>
      </c>
      <c r="G82" s="18">
        <v>203.9</v>
      </c>
      <c r="H82" s="17">
        <f t="shared" si="8"/>
        <v>-4.9043648847474251E-3</v>
      </c>
      <c r="I82" s="17">
        <f t="shared" si="9"/>
        <v>0.99509563511525256</v>
      </c>
      <c r="J82" s="20">
        <v>38930</v>
      </c>
      <c r="K82" s="21">
        <v>118.3</v>
      </c>
      <c r="L82" s="16">
        <f t="shared" si="10"/>
        <v>-4.22654268808115E-3</v>
      </c>
      <c r="M82" s="16">
        <f t="shared" si="11"/>
        <v>0.9957734573119188</v>
      </c>
    </row>
    <row r="83" spans="6:13" x14ac:dyDescent="0.3">
      <c r="F83" s="19">
        <v>38961</v>
      </c>
      <c r="G83" s="18">
        <v>202.9</v>
      </c>
      <c r="H83" s="17">
        <f t="shared" si="8"/>
        <v>-5.4213898472153486E-3</v>
      </c>
      <c r="I83" s="17">
        <f t="shared" si="9"/>
        <v>0.9945786101527847</v>
      </c>
      <c r="J83" s="20">
        <v>38961</v>
      </c>
      <c r="K83" s="21">
        <v>117.8</v>
      </c>
      <c r="L83" s="16">
        <f t="shared" si="10"/>
        <v>-5.9422750424448457E-3</v>
      </c>
      <c r="M83" s="16">
        <f t="shared" si="11"/>
        <v>0.99405772495755518</v>
      </c>
    </row>
    <row r="84" spans="6:13" x14ac:dyDescent="0.3">
      <c r="F84" s="19">
        <v>38991</v>
      </c>
      <c r="G84" s="18">
        <v>201.8</v>
      </c>
      <c r="H84" s="17">
        <f t="shared" si="8"/>
        <v>-1.4866204162537729E-3</v>
      </c>
      <c r="I84" s="17">
        <f t="shared" si="9"/>
        <v>0.9985133795837462</v>
      </c>
      <c r="J84" s="20">
        <v>38991</v>
      </c>
      <c r="K84" s="21">
        <v>117.1</v>
      </c>
      <c r="L84" s="16">
        <f t="shared" si="10"/>
        <v>-1.7079419299742839E-3</v>
      </c>
      <c r="M84" s="16">
        <f t="shared" si="11"/>
        <v>0.99829205807002575</v>
      </c>
    </row>
    <row r="85" spans="6:13" x14ac:dyDescent="0.3">
      <c r="F85" s="19">
        <v>39022</v>
      </c>
      <c r="G85" s="18">
        <v>201.5</v>
      </c>
      <c r="H85" s="17">
        <f t="shared" si="8"/>
        <v>1.4888337468983194E-3</v>
      </c>
      <c r="I85" s="17">
        <f t="shared" si="9"/>
        <v>1.0014888337468983</v>
      </c>
      <c r="J85" s="20">
        <v>39022</v>
      </c>
      <c r="K85" s="21">
        <v>116.9</v>
      </c>
      <c r="L85" s="16">
        <f t="shared" si="10"/>
        <v>8.5543199315649544E-4</v>
      </c>
      <c r="M85" s="16">
        <f t="shared" si="11"/>
        <v>1.0008554319931564</v>
      </c>
    </row>
    <row r="86" spans="6:13" x14ac:dyDescent="0.3">
      <c r="F86" s="19">
        <v>39052</v>
      </c>
      <c r="G86" s="18">
        <v>201.8</v>
      </c>
      <c r="H86" s="17">
        <f t="shared" si="8"/>
        <v>3.0525272547075591E-3</v>
      </c>
      <c r="I86" s="17">
        <f t="shared" si="9"/>
        <v>1.0030525272547075</v>
      </c>
      <c r="J86" s="20">
        <v>39052</v>
      </c>
      <c r="K86" s="21">
        <v>117</v>
      </c>
      <c r="L86" s="16">
        <f t="shared" si="10"/>
        <v>2.820512820512806E-3</v>
      </c>
      <c r="M86" s="16">
        <f t="shared" si="11"/>
        <v>1.0028205128205128</v>
      </c>
    </row>
    <row r="87" spans="6:13" x14ac:dyDescent="0.3">
      <c r="F87" s="19">
        <v>39083</v>
      </c>
      <c r="G87" s="18">
        <v>202.416</v>
      </c>
      <c r="H87" s="17">
        <f t="shared" si="8"/>
        <v>5.3503675598766814E-3</v>
      </c>
      <c r="I87" s="17">
        <f t="shared" si="9"/>
        <v>1.0053503675598767</v>
      </c>
      <c r="J87" s="20">
        <v>39083</v>
      </c>
      <c r="K87" s="21">
        <v>117.33</v>
      </c>
      <c r="L87" s="16">
        <f t="shared" si="10"/>
        <v>4.6620642631892703E-3</v>
      </c>
      <c r="M87" s="16">
        <f t="shared" si="11"/>
        <v>1.0046620642631894</v>
      </c>
    </row>
    <row r="88" spans="6:13" x14ac:dyDescent="0.3">
      <c r="F88" s="19">
        <v>39114</v>
      </c>
      <c r="G88" s="18">
        <v>203.499</v>
      </c>
      <c r="H88" s="17">
        <f t="shared" si="8"/>
        <v>9.1056958510853069E-3</v>
      </c>
      <c r="I88" s="17">
        <f t="shared" si="9"/>
        <v>1.0091056958510853</v>
      </c>
      <c r="J88" s="20">
        <v>39114</v>
      </c>
      <c r="K88" s="21">
        <v>117.877</v>
      </c>
      <c r="L88" s="16">
        <f t="shared" si="10"/>
        <v>8.7888222469184093E-3</v>
      </c>
      <c r="M88" s="16">
        <f t="shared" si="11"/>
        <v>1.0087888222469183</v>
      </c>
    </row>
    <row r="89" spans="6:13" x14ac:dyDescent="0.3">
      <c r="F89" s="19">
        <v>39142</v>
      </c>
      <c r="G89" s="18">
        <v>205.352</v>
      </c>
      <c r="H89" s="17">
        <f t="shared" si="8"/>
        <v>6.4961626865090343E-3</v>
      </c>
      <c r="I89" s="17">
        <f t="shared" si="9"/>
        <v>1.006496162686509</v>
      </c>
      <c r="J89" s="20">
        <v>39142</v>
      </c>
      <c r="K89" s="21">
        <v>118.913</v>
      </c>
      <c r="L89" s="16">
        <f t="shared" si="10"/>
        <v>6.3323606334042548E-3</v>
      </c>
      <c r="M89" s="16">
        <f t="shared" si="11"/>
        <v>1.0063323606334043</v>
      </c>
    </row>
    <row r="90" spans="6:13" x14ac:dyDescent="0.3">
      <c r="F90" s="19">
        <v>39173</v>
      </c>
      <c r="G90" s="18">
        <v>206.68600000000001</v>
      </c>
      <c r="H90" s="17">
        <f t="shared" si="8"/>
        <v>6.1107186747046491E-3</v>
      </c>
      <c r="I90" s="17">
        <f t="shared" si="9"/>
        <v>1.0061107186747047</v>
      </c>
      <c r="J90" s="20">
        <v>39173</v>
      </c>
      <c r="K90" s="21">
        <v>119.666</v>
      </c>
      <c r="L90" s="16">
        <f t="shared" si="10"/>
        <v>5.2312269149132149E-3</v>
      </c>
      <c r="M90" s="16">
        <f t="shared" si="11"/>
        <v>1.0052312269149133</v>
      </c>
    </row>
    <row r="91" spans="6:13" x14ac:dyDescent="0.3">
      <c r="F91" s="19">
        <v>39203</v>
      </c>
      <c r="G91" s="18">
        <v>207.94900000000001</v>
      </c>
      <c r="H91" s="17">
        <f t="shared" si="8"/>
        <v>1.9379751766057619E-3</v>
      </c>
      <c r="I91" s="17">
        <f t="shared" si="9"/>
        <v>1.0019379751766058</v>
      </c>
      <c r="J91" s="20">
        <v>39203</v>
      </c>
      <c r="K91" s="21">
        <v>120.292</v>
      </c>
      <c r="L91" s="16">
        <f t="shared" si="10"/>
        <v>1.2220264024207044E-3</v>
      </c>
      <c r="M91" s="16">
        <f t="shared" si="11"/>
        <v>1.0012220264024208</v>
      </c>
    </row>
    <row r="92" spans="6:13" x14ac:dyDescent="0.3">
      <c r="F92" s="19">
        <v>39234</v>
      </c>
      <c r="G92" s="18">
        <v>208.352</v>
      </c>
      <c r="H92" s="17">
        <f t="shared" si="8"/>
        <v>-2.543772078021678E-4</v>
      </c>
      <c r="I92" s="17">
        <f t="shared" si="9"/>
        <v>0.99974562279219781</v>
      </c>
      <c r="J92" s="20">
        <v>39234</v>
      </c>
      <c r="K92" s="21">
        <v>120.43899999999999</v>
      </c>
      <c r="L92" s="16">
        <f t="shared" si="10"/>
        <v>-5.1478341733157543E-4</v>
      </c>
      <c r="M92" s="16">
        <f t="shared" si="11"/>
        <v>0.99948521658266842</v>
      </c>
    </row>
    <row r="93" spans="6:13" x14ac:dyDescent="0.3">
      <c r="F93" s="19">
        <v>39264</v>
      </c>
      <c r="G93" s="18">
        <v>208.29900000000001</v>
      </c>
      <c r="H93" s="17">
        <f t="shared" si="8"/>
        <v>-1.8339022270870478E-3</v>
      </c>
      <c r="I93" s="17">
        <f t="shared" si="9"/>
        <v>0.99816609777291299</v>
      </c>
      <c r="J93" s="20">
        <v>39264</v>
      </c>
      <c r="K93" s="21">
        <v>120.377</v>
      </c>
      <c r="L93" s="16">
        <f t="shared" si="10"/>
        <v>-7.393438945977939E-4</v>
      </c>
      <c r="M93" s="16">
        <f t="shared" si="11"/>
        <v>0.99926065610540216</v>
      </c>
    </row>
    <row r="94" spans="6:13" x14ac:dyDescent="0.3">
      <c r="F94" s="19">
        <v>39295</v>
      </c>
      <c r="G94" s="18">
        <v>207.917</v>
      </c>
      <c r="H94" s="17">
        <f t="shared" si="8"/>
        <v>2.7559074053589054E-3</v>
      </c>
      <c r="I94" s="17">
        <f t="shared" si="9"/>
        <v>1.0027559074053589</v>
      </c>
      <c r="J94" s="20">
        <v>39295</v>
      </c>
      <c r="K94" s="21">
        <v>120.288</v>
      </c>
      <c r="L94" s="16">
        <f t="shared" si="10"/>
        <v>2.9096834264432741E-3</v>
      </c>
      <c r="M94" s="16">
        <f t="shared" si="11"/>
        <v>1.0029096834264433</v>
      </c>
    </row>
    <row r="95" spans="6:13" x14ac:dyDescent="0.3">
      <c r="F95" s="19">
        <v>39326</v>
      </c>
      <c r="G95" s="18">
        <v>208.49</v>
      </c>
      <c r="H95" s="17">
        <f t="shared" si="8"/>
        <v>2.1391913281212428E-3</v>
      </c>
      <c r="I95" s="17">
        <f t="shared" si="9"/>
        <v>1.0021391913281212</v>
      </c>
      <c r="J95" s="20">
        <v>39326</v>
      </c>
      <c r="K95" s="21">
        <v>120.63800000000001</v>
      </c>
      <c r="L95" s="16">
        <f t="shared" si="10"/>
        <v>2.0474477362025221E-3</v>
      </c>
      <c r="M95" s="16">
        <f t="shared" si="11"/>
        <v>1.0020474477362025</v>
      </c>
    </row>
    <row r="96" spans="6:13" x14ac:dyDescent="0.3">
      <c r="F96" s="19">
        <v>39356</v>
      </c>
      <c r="G96" s="18">
        <v>208.93600000000001</v>
      </c>
      <c r="H96" s="17">
        <f t="shared" si="8"/>
        <v>5.9396178734157134E-3</v>
      </c>
      <c r="I96" s="17">
        <f t="shared" si="9"/>
        <v>1.0059396178734157</v>
      </c>
      <c r="J96" s="20">
        <v>39356</v>
      </c>
      <c r="K96" s="21">
        <v>120.88500000000001</v>
      </c>
      <c r="L96" s="16">
        <f t="shared" si="10"/>
        <v>4.9303056624063315E-3</v>
      </c>
      <c r="M96" s="16">
        <f t="shared" si="11"/>
        <v>1.0049303056624064</v>
      </c>
    </row>
    <row r="97" spans="6:13" x14ac:dyDescent="0.3">
      <c r="F97" s="19">
        <v>39387</v>
      </c>
      <c r="G97" s="18">
        <v>210.17699999999999</v>
      </c>
      <c r="H97" s="17">
        <f t="shared" si="8"/>
        <v>-6.7086312964782606E-4</v>
      </c>
      <c r="I97" s="17">
        <f t="shared" si="9"/>
        <v>0.99932913687035219</v>
      </c>
      <c r="J97" s="20">
        <v>39387</v>
      </c>
      <c r="K97" s="21">
        <v>121.48099999999999</v>
      </c>
      <c r="L97" s="16">
        <f t="shared" si="10"/>
        <v>-1.531103629374082E-3</v>
      </c>
      <c r="M97" s="16">
        <f t="shared" si="11"/>
        <v>0.99846889637062597</v>
      </c>
    </row>
    <row r="98" spans="6:13" x14ac:dyDescent="0.3">
      <c r="F98" s="19">
        <v>39417</v>
      </c>
      <c r="G98" s="18">
        <v>210.036</v>
      </c>
      <c r="H98" s="17">
        <f t="shared" si="8"/>
        <v>4.9705764726047496E-3</v>
      </c>
      <c r="I98" s="17">
        <f t="shared" si="9"/>
        <v>1.0049705764726047</v>
      </c>
      <c r="J98" s="20">
        <v>39417</v>
      </c>
      <c r="K98" s="21">
        <v>121.295</v>
      </c>
      <c r="L98" s="16">
        <f t="shared" si="10"/>
        <v>4.715775588441426E-3</v>
      </c>
      <c r="M98" s="16">
        <f t="shared" si="11"/>
        <v>1.0047157755884415</v>
      </c>
    </row>
    <row r="99" spans="6:13" x14ac:dyDescent="0.3">
      <c r="F99" s="19">
        <v>39448</v>
      </c>
      <c r="G99" s="18">
        <v>211.08</v>
      </c>
      <c r="H99" s="17">
        <f t="shared" si="8"/>
        <v>2.9041121849535697E-3</v>
      </c>
      <c r="I99" s="17">
        <f t="shared" si="9"/>
        <v>1.0029041121849536</v>
      </c>
      <c r="J99" s="20">
        <v>39448</v>
      </c>
      <c r="K99" s="21">
        <v>121.867</v>
      </c>
      <c r="L99" s="16">
        <f t="shared" si="10"/>
        <v>3.1427703972362951E-3</v>
      </c>
      <c r="M99" s="16">
        <f t="shared" si="11"/>
        <v>1.0031427703972362</v>
      </c>
    </row>
    <row r="100" spans="6:13" x14ac:dyDescent="0.3">
      <c r="F100" s="19">
        <v>39479</v>
      </c>
      <c r="G100" s="18">
        <v>211.69300000000001</v>
      </c>
      <c r="H100" s="17">
        <f t="shared" si="8"/>
        <v>8.6682129309895908E-3</v>
      </c>
      <c r="I100" s="17">
        <f t="shared" si="9"/>
        <v>1.0086682129309896</v>
      </c>
      <c r="J100" s="20">
        <v>39479</v>
      </c>
      <c r="K100" s="21">
        <v>122.25</v>
      </c>
      <c r="L100" s="16">
        <f t="shared" si="10"/>
        <v>8.777096114519373E-3</v>
      </c>
      <c r="M100" s="16">
        <f t="shared" si="11"/>
        <v>1.0087770961145193</v>
      </c>
    </row>
    <row r="101" spans="6:13" x14ac:dyDescent="0.3">
      <c r="F101" s="19">
        <v>39508</v>
      </c>
      <c r="G101" s="18">
        <v>213.52799999999999</v>
      </c>
      <c r="H101" s="17">
        <f t="shared" si="8"/>
        <v>6.0647783897194562E-3</v>
      </c>
      <c r="I101" s="17">
        <f t="shared" si="9"/>
        <v>1.0060647783897194</v>
      </c>
      <c r="J101" s="20">
        <v>39508</v>
      </c>
      <c r="K101" s="21">
        <v>123.32299999999999</v>
      </c>
      <c r="L101" s="16">
        <f t="shared" si="10"/>
        <v>6.4302684819539458E-3</v>
      </c>
      <c r="M101" s="16">
        <f t="shared" si="11"/>
        <v>1.0064302684819539</v>
      </c>
    </row>
    <row r="102" spans="6:13" x14ac:dyDescent="0.3">
      <c r="F102" s="19">
        <v>39539</v>
      </c>
      <c r="G102" s="18">
        <v>214.82300000000001</v>
      </c>
      <c r="H102" s="17">
        <f t="shared" si="8"/>
        <v>8.4208860317563639E-3</v>
      </c>
      <c r="I102" s="17">
        <f t="shared" si="9"/>
        <v>1.0084208860317563</v>
      </c>
      <c r="J102" s="20">
        <v>39539</v>
      </c>
      <c r="K102" s="21">
        <v>124.116</v>
      </c>
      <c r="L102" s="16">
        <f t="shared" si="10"/>
        <v>8.5001127977054267E-3</v>
      </c>
      <c r="M102" s="16">
        <f t="shared" si="11"/>
        <v>1.0085001127977054</v>
      </c>
    </row>
    <row r="103" spans="6:13" x14ac:dyDescent="0.3">
      <c r="F103" s="19">
        <v>39569</v>
      </c>
      <c r="G103" s="18">
        <v>216.63200000000001</v>
      </c>
      <c r="H103" s="17">
        <f t="shared" si="8"/>
        <v>1.0076996934894165E-2</v>
      </c>
      <c r="I103" s="17">
        <f t="shared" si="9"/>
        <v>1.0100769969348942</v>
      </c>
      <c r="J103" s="20">
        <v>39569</v>
      </c>
      <c r="K103" s="21">
        <v>125.17100000000001</v>
      </c>
      <c r="L103" s="16">
        <f t="shared" si="10"/>
        <v>9.0755846002667992E-3</v>
      </c>
      <c r="M103" s="16">
        <f t="shared" si="11"/>
        <v>1.0090755846002668</v>
      </c>
    </row>
    <row r="104" spans="6:13" x14ac:dyDescent="0.3">
      <c r="F104" s="19">
        <v>39600</v>
      </c>
      <c r="G104" s="18">
        <v>218.815</v>
      </c>
      <c r="H104" s="17">
        <f t="shared" si="8"/>
        <v>5.2510111281219339E-3</v>
      </c>
      <c r="I104" s="17">
        <f t="shared" si="9"/>
        <v>1.0052510111281219</v>
      </c>
      <c r="J104" s="20">
        <v>39600</v>
      </c>
      <c r="K104" s="21">
        <v>126.307</v>
      </c>
      <c r="L104" s="16">
        <f t="shared" si="10"/>
        <v>4.837419937137326E-3</v>
      </c>
      <c r="M104" s="16">
        <f t="shared" si="11"/>
        <v>1.0048374199371373</v>
      </c>
    </row>
    <row r="105" spans="6:13" x14ac:dyDescent="0.3">
      <c r="F105" s="19">
        <v>39630</v>
      </c>
      <c r="G105" s="18">
        <v>219.964</v>
      </c>
      <c r="H105" s="17">
        <f t="shared" si="8"/>
        <v>-3.9915622556417679E-3</v>
      </c>
      <c r="I105" s="17">
        <f t="shared" si="9"/>
        <v>0.99600843774435821</v>
      </c>
      <c r="J105" s="20">
        <v>39630</v>
      </c>
      <c r="K105" s="21">
        <v>126.91800000000001</v>
      </c>
      <c r="L105" s="16">
        <f t="shared" si="10"/>
        <v>-2.5528293859028053E-3</v>
      </c>
      <c r="M105" s="16">
        <f t="shared" si="11"/>
        <v>0.99744717061409716</v>
      </c>
    </row>
    <row r="106" spans="6:13" x14ac:dyDescent="0.3">
      <c r="F106" s="19">
        <v>39661</v>
      </c>
      <c r="G106" s="18">
        <v>219.08600000000001</v>
      </c>
      <c r="H106" s="17">
        <f t="shared" si="8"/>
        <v>-1.3830185406645138E-3</v>
      </c>
      <c r="I106" s="17">
        <f t="shared" si="9"/>
        <v>0.99861698145933553</v>
      </c>
      <c r="J106" s="20">
        <v>39661</v>
      </c>
      <c r="K106" s="21">
        <v>126.59399999999999</v>
      </c>
      <c r="L106" s="16">
        <f t="shared" si="10"/>
        <v>-3.3966854669251434E-4</v>
      </c>
      <c r="M106" s="16">
        <f t="shared" si="11"/>
        <v>0.99966033145330746</v>
      </c>
    </row>
    <row r="107" spans="6:13" x14ac:dyDescent="0.3">
      <c r="F107" s="19">
        <v>39692</v>
      </c>
      <c r="G107" s="18">
        <v>218.78299999999999</v>
      </c>
      <c r="H107" s="17">
        <f t="shared" si="8"/>
        <v>-1.0101333284578691E-2</v>
      </c>
      <c r="I107" s="17">
        <f t="shared" si="9"/>
        <v>0.98989866671542126</v>
      </c>
      <c r="J107" s="20">
        <v>39692</v>
      </c>
      <c r="K107" s="21">
        <v>126.551</v>
      </c>
      <c r="L107" s="16">
        <f t="shared" si="10"/>
        <v>-8.3049521536771882E-3</v>
      </c>
      <c r="M107" s="16">
        <f t="shared" si="11"/>
        <v>0.99169504784632279</v>
      </c>
    </row>
    <row r="108" spans="6:13" x14ac:dyDescent="0.3">
      <c r="F108" s="19">
        <v>39722</v>
      </c>
      <c r="G108" s="18">
        <v>216.57300000000001</v>
      </c>
      <c r="H108" s="17">
        <f t="shared" si="8"/>
        <v>-1.9152895328595883E-2</v>
      </c>
      <c r="I108" s="17">
        <f t="shared" si="9"/>
        <v>0.98084710467140412</v>
      </c>
      <c r="J108" s="20">
        <v>39722</v>
      </c>
      <c r="K108" s="21">
        <v>125.5</v>
      </c>
      <c r="L108" s="16">
        <f t="shared" si="10"/>
        <v>-1.9569721115537873E-2</v>
      </c>
      <c r="M108" s="16">
        <f t="shared" si="11"/>
        <v>0.9804302788844621</v>
      </c>
    </row>
    <row r="109" spans="6:13" x14ac:dyDescent="0.3">
      <c r="F109" s="19">
        <v>39753</v>
      </c>
      <c r="G109" s="18">
        <v>212.42500000000001</v>
      </c>
      <c r="H109" s="17">
        <f t="shared" si="8"/>
        <v>-1.0342473814287408E-2</v>
      </c>
      <c r="I109" s="17">
        <f t="shared" si="9"/>
        <v>0.98965752618571257</v>
      </c>
      <c r="J109" s="20">
        <v>39753</v>
      </c>
      <c r="K109" s="21">
        <v>123.044</v>
      </c>
      <c r="L109" s="16">
        <f t="shared" si="10"/>
        <v>-1.2085107766327451E-2</v>
      </c>
      <c r="M109" s="16">
        <f t="shared" si="11"/>
        <v>0.98791489223367257</v>
      </c>
    </row>
    <row r="110" spans="6:13" x14ac:dyDescent="0.3">
      <c r="F110" s="19">
        <v>39783</v>
      </c>
      <c r="G110" s="18">
        <v>210.22800000000001</v>
      </c>
      <c r="H110" s="17">
        <f t="shared" si="8"/>
        <v>4.3524173754209338E-3</v>
      </c>
      <c r="I110" s="17">
        <f t="shared" si="9"/>
        <v>1.004352417375421</v>
      </c>
      <c r="J110" s="20">
        <v>39783</v>
      </c>
      <c r="K110" s="21">
        <v>121.557</v>
      </c>
      <c r="L110" s="16">
        <f t="shared" si="10"/>
        <v>4.425907187574526E-3</v>
      </c>
      <c r="M110" s="16">
        <f t="shared" si="11"/>
        <v>1.0044259071875745</v>
      </c>
    </row>
    <row r="111" spans="6:13" x14ac:dyDescent="0.3">
      <c r="F111" s="19">
        <v>39814</v>
      </c>
      <c r="G111" s="18">
        <v>211.143</v>
      </c>
      <c r="H111" s="17">
        <f t="shared" si="8"/>
        <v>4.9729330359046305E-3</v>
      </c>
      <c r="I111" s="17">
        <f t="shared" si="9"/>
        <v>1.0049729330359047</v>
      </c>
      <c r="J111" s="20">
        <v>39814</v>
      </c>
      <c r="K111" s="21">
        <v>122.095</v>
      </c>
      <c r="L111" s="16">
        <f t="shared" si="10"/>
        <v>4.1197428232114348E-3</v>
      </c>
      <c r="M111" s="16">
        <f t="shared" si="11"/>
        <v>1.0041197428232114</v>
      </c>
    </row>
    <row r="112" spans="6:13" x14ac:dyDescent="0.3">
      <c r="F112" s="19">
        <v>39845</v>
      </c>
      <c r="G112" s="18">
        <v>212.19300000000001</v>
      </c>
      <c r="H112" s="17">
        <f t="shared" si="8"/>
        <v>2.4317484554155469E-3</v>
      </c>
      <c r="I112" s="17">
        <f t="shared" si="9"/>
        <v>1.0024317484554155</v>
      </c>
      <c r="J112" s="20">
        <v>39845</v>
      </c>
      <c r="K112" s="21">
        <v>122.598</v>
      </c>
      <c r="L112" s="16">
        <f t="shared" si="10"/>
        <v>1.6721316824091607E-3</v>
      </c>
      <c r="M112" s="16">
        <f t="shared" si="11"/>
        <v>1.0016721316824091</v>
      </c>
    </row>
    <row r="113" spans="6:13" x14ac:dyDescent="0.3">
      <c r="F113" s="19">
        <v>39873</v>
      </c>
      <c r="G113" s="18">
        <v>212.709</v>
      </c>
      <c r="H113" s="17">
        <f t="shared" si="8"/>
        <v>2.4963682777879915E-3</v>
      </c>
      <c r="I113" s="17">
        <f t="shared" si="9"/>
        <v>1.0024963682777881</v>
      </c>
      <c r="J113" s="20">
        <v>39873</v>
      </c>
      <c r="K113" s="21">
        <v>122.803</v>
      </c>
      <c r="L113" s="16">
        <f t="shared" si="10"/>
        <v>2.0357808848318038E-3</v>
      </c>
      <c r="M113" s="16">
        <f t="shared" si="11"/>
        <v>1.0020357808848317</v>
      </c>
    </row>
    <row r="114" spans="6:13" x14ac:dyDescent="0.3">
      <c r="F114" s="19">
        <v>39904</v>
      </c>
      <c r="G114" s="18">
        <v>213.24</v>
      </c>
      <c r="H114" s="17">
        <f t="shared" si="8"/>
        <v>2.8887638341773842E-3</v>
      </c>
      <c r="I114" s="17">
        <f t="shared" si="9"/>
        <v>1.0028887638341775</v>
      </c>
      <c r="J114" s="20">
        <v>39904</v>
      </c>
      <c r="K114" s="21">
        <v>123.053</v>
      </c>
      <c r="L114" s="16">
        <f t="shared" si="10"/>
        <v>3.0393407718626074E-3</v>
      </c>
      <c r="M114" s="16">
        <f t="shared" si="11"/>
        <v>1.0030393407718625</v>
      </c>
    </row>
    <row r="115" spans="6:13" x14ac:dyDescent="0.3">
      <c r="F115" s="19">
        <v>39934</v>
      </c>
      <c r="G115" s="18">
        <v>213.85599999999999</v>
      </c>
      <c r="H115" s="17">
        <f t="shared" si="8"/>
        <v>8.5898922639533956E-3</v>
      </c>
      <c r="I115" s="17">
        <f t="shared" si="9"/>
        <v>1.0085898922639533</v>
      </c>
      <c r="J115" s="20">
        <v>39934</v>
      </c>
      <c r="K115" s="21">
        <v>123.42700000000001</v>
      </c>
      <c r="L115" s="16">
        <f t="shared" si="10"/>
        <v>8.5718683918428931E-3</v>
      </c>
      <c r="M115" s="16">
        <f t="shared" si="11"/>
        <v>1.008571868391843</v>
      </c>
    </row>
    <row r="116" spans="6:13" x14ac:dyDescent="0.3">
      <c r="F116" s="19">
        <v>39965</v>
      </c>
      <c r="G116" s="18">
        <v>215.69300000000001</v>
      </c>
      <c r="H116" s="17">
        <f t="shared" si="8"/>
        <v>-1.5855869221533055E-3</v>
      </c>
      <c r="I116" s="17">
        <f t="shared" si="9"/>
        <v>0.99841441307784673</v>
      </c>
      <c r="J116" s="20">
        <v>39965</v>
      </c>
      <c r="K116" s="21">
        <v>124.485</v>
      </c>
      <c r="L116" s="16">
        <f t="shared" si="10"/>
        <v>-1.5423545005421784E-3</v>
      </c>
      <c r="M116" s="16">
        <f t="shared" si="11"/>
        <v>0.99845764549945781</v>
      </c>
    </row>
    <row r="117" spans="6:13" x14ac:dyDescent="0.3">
      <c r="F117" s="19">
        <v>39995</v>
      </c>
      <c r="G117" s="18">
        <v>215.351</v>
      </c>
      <c r="H117" s="17">
        <f t="shared" si="8"/>
        <v>2.2428500448105843E-3</v>
      </c>
      <c r="I117" s="17">
        <f t="shared" si="9"/>
        <v>1.0022428500448106</v>
      </c>
      <c r="J117" s="20">
        <v>39995</v>
      </c>
      <c r="K117" s="21">
        <v>124.29300000000001</v>
      </c>
      <c r="L117" s="16">
        <f t="shared" si="10"/>
        <v>2.6308802587434381E-3</v>
      </c>
      <c r="M117" s="16">
        <f t="shared" si="11"/>
        <v>1.0026308802587434</v>
      </c>
    </row>
    <row r="118" spans="6:13" x14ac:dyDescent="0.3">
      <c r="F118" s="19">
        <v>40026</v>
      </c>
      <c r="G118" s="18">
        <v>215.834</v>
      </c>
      <c r="H118" s="17">
        <f t="shared" si="8"/>
        <v>6.2548069349588527E-4</v>
      </c>
      <c r="I118" s="17">
        <f t="shared" si="9"/>
        <v>1.000625480693496</v>
      </c>
      <c r="J118" s="20">
        <v>40026</v>
      </c>
      <c r="K118" s="21">
        <v>124.62</v>
      </c>
      <c r="L118" s="16">
        <f t="shared" si="10"/>
        <v>6.9009789760871867E-4</v>
      </c>
      <c r="M118" s="16">
        <f t="shared" si="11"/>
        <v>1.0006900978976088</v>
      </c>
    </row>
    <row r="119" spans="6:13" x14ac:dyDescent="0.3">
      <c r="F119" s="19">
        <v>40057</v>
      </c>
      <c r="G119" s="18">
        <v>215.96899999999999</v>
      </c>
      <c r="H119" s="17">
        <f t="shared" si="8"/>
        <v>9.6310118581832769E-4</v>
      </c>
      <c r="I119" s="17">
        <f t="shared" si="9"/>
        <v>1.0009631011858184</v>
      </c>
      <c r="J119" s="20">
        <v>40057</v>
      </c>
      <c r="K119" s="21">
        <v>124.706</v>
      </c>
      <c r="L119" s="16">
        <f t="shared" si="10"/>
        <v>6.8160313056303426E-4</v>
      </c>
      <c r="M119" s="16">
        <f t="shared" si="11"/>
        <v>1.000681603130563</v>
      </c>
    </row>
    <row r="120" spans="6:13" x14ac:dyDescent="0.3">
      <c r="F120" s="19">
        <v>40087</v>
      </c>
      <c r="G120" s="18">
        <v>216.17699999999999</v>
      </c>
      <c r="H120" s="17">
        <f t="shared" si="8"/>
        <v>7.0775336876735279E-4</v>
      </c>
      <c r="I120" s="17">
        <f t="shared" si="9"/>
        <v>1.0007077533687674</v>
      </c>
      <c r="J120" s="20">
        <v>40087</v>
      </c>
      <c r="K120" s="21">
        <v>124.791</v>
      </c>
      <c r="L120" s="16">
        <f t="shared" si="10"/>
        <v>-2.4040195206385988E-5</v>
      </c>
      <c r="M120" s="16">
        <f t="shared" si="11"/>
        <v>0.99997595980479359</v>
      </c>
    </row>
    <row r="121" spans="6:13" x14ac:dyDescent="0.3">
      <c r="F121" s="19">
        <v>40118</v>
      </c>
      <c r="G121" s="18">
        <v>216.33</v>
      </c>
      <c r="H121" s="17">
        <f t="shared" si="8"/>
        <v>-1.7611981694633208E-3</v>
      </c>
      <c r="I121" s="17">
        <f t="shared" si="9"/>
        <v>0.9982388018305367</v>
      </c>
      <c r="J121" s="20">
        <v>40118</v>
      </c>
      <c r="K121" s="21">
        <v>124.788</v>
      </c>
      <c r="L121" s="16">
        <f t="shared" si="10"/>
        <v>-1.9553162163028479E-3</v>
      </c>
      <c r="M121" s="16">
        <f t="shared" si="11"/>
        <v>0.99804468378369715</v>
      </c>
    </row>
    <row r="122" spans="6:13" x14ac:dyDescent="0.3">
      <c r="F122" s="19">
        <v>40148</v>
      </c>
      <c r="G122" s="18">
        <v>215.94900000000001</v>
      </c>
      <c r="H122" s="17">
        <f t="shared" si="8"/>
        <v>3.4174735701485051E-3</v>
      </c>
      <c r="I122" s="17">
        <f t="shared" si="9"/>
        <v>1.0034174735701484</v>
      </c>
      <c r="J122" s="20">
        <v>40148</v>
      </c>
      <c r="K122" s="21">
        <v>124.544</v>
      </c>
      <c r="L122" s="16">
        <f t="shared" si="10"/>
        <v>3.5569758478930969E-3</v>
      </c>
      <c r="M122" s="16">
        <f t="shared" si="11"/>
        <v>1.0035569758478931</v>
      </c>
    </row>
    <row r="123" spans="6:13" x14ac:dyDescent="0.3">
      <c r="F123" s="19">
        <v>40179</v>
      </c>
      <c r="G123" s="18">
        <v>216.68700000000001</v>
      </c>
      <c r="H123" s="17">
        <f t="shared" si="8"/>
        <v>2.4920738207646074E-4</v>
      </c>
      <c r="I123" s="17">
        <f t="shared" si="9"/>
        <v>1.0002492073820766</v>
      </c>
      <c r="J123" s="20">
        <v>40179</v>
      </c>
      <c r="K123" s="21">
        <v>124.98699999999999</v>
      </c>
      <c r="L123" s="16">
        <f t="shared" si="10"/>
        <v>-1.2001248129805956E-4</v>
      </c>
      <c r="M123" s="16">
        <f t="shared" si="11"/>
        <v>0.999879987518702</v>
      </c>
    </row>
    <row r="124" spans="6:13" x14ac:dyDescent="0.3">
      <c r="F124" s="19">
        <v>40210</v>
      </c>
      <c r="G124" s="18">
        <v>216.74100000000001</v>
      </c>
      <c r="H124" s="17">
        <f t="shared" si="8"/>
        <v>4.1062835365712359E-3</v>
      </c>
      <c r="I124" s="17">
        <f t="shared" si="9"/>
        <v>1.0041062835365713</v>
      </c>
      <c r="J124" s="20">
        <v>40210</v>
      </c>
      <c r="K124" s="21">
        <v>124.97199999999999</v>
      </c>
      <c r="L124" s="16">
        <f t="shared" si="10"/>
        <v>3.760842428704021E-3</v>
      </c>
      <c r="M124" s="16">
        <f t="shared" si="11"/>
        <v>1.0037608424287041</v>
      </c>
    </row>
    <row r="125" spans="6:13" x14ac:dyDescent="0.3">
      <c r="F125" s="19">
        <v>40238</v>
      </c>
      <c r="G125" s="18">
        <v>217.631</v>
      </c>
      <c r="H125" s="17">
        <f t="shared" si="8"/>
        <v>1.7368849106974003E-3</v>
      </c>
      <c r="I125" s="17">
        <f t="shared" si="9"/>
        <v>1.0017368849106973</v>
      </c>
      <c r="J125" s="20">
        <v>40238</v>
      </c>
      <c r="K125" s="21">
        <v>125.44199999999999</v>
      </c>
      <c r="L125" s="16">
        <f t="shared" si="10"/>
        <v>1.4189824779580324E-3</v>
      </c>
      <c r="M125" s="16">
        <f t="shared" si="11"/>
        <v>1.001418982477958</v>
      </c>
    </row>
    <row r="126" spans="6:13" x14ac:dyDescent="0.3">
      <c r="F126" s="19">
        <v>40269</v>
      </c>
      <c r="G126" s="18">
        <v>218.00899999999999</v>
      </c>
      <c r="H126" s="17">
        <f t="shared" si="8"/>
        <v>7.7519735423772025E-4</v>
      </c>
      <c r="I126" s="17">
        <f t="shared" si="9"/>
        <v>1.0007751973542378</v>
      </c>
      <c r="J126" s="20">
        <v>40269</v>
      </c>
      <c r="K126" s="21">
        <v>125.62</v>
      </c>
      <c r="L126" s="16">
        <f t="shared" si="10"/>
        <v>4.6170991880268046E-4</v>
      </c>
      <c r="M126" s="16">
        <f t="shared" si="11"/>
        <v>1.0004617099188027</v>
      </c>
    </row>
    <row r="127" spans="6:13" x14ac:dyDescent="0.3">
      <c r="F127" s="19">
        <v>40299</v>
      </c>
      <c r="G127" s="18">
        <v>218.178</v>
      </c>
      <c r="H127" s="17">
        <f t="shared" si="8"/>
        <v>-9.7626708467395368E-4</v>
      </c>
      <c r="I127" s="17">
        <f t="shared" si="9"/>
        <v>0.99902373291532609</v>
      </c>
      <c r="J127" s="20">
        <v>40299</v>
      </c>
      <c r="K127" s="21">
        <v>125.678</v>
      </c>
      <c r="L127" s="16">
        <f t="shared" si="10"/>
        <v>-1.249224207896342E-3</v>
      </c>
      <c r="M127" s="16">
        <f t="shared" si="11"/>
        <v>0.9987507757921037</v>
      </c>
    </row>
    <row r="128" spans="6:13" x14ac:dyDescent="0.3">
      <c r="F128" s="19">
        <v>40330</v>
      </c>
      <c r="G128" s="18">
        <v>217.965</v>
      </c>
      <c r="H128" s="17">
        <f t="shared" si="8"/>
        <v>2.1104305737156088E-4</v>
      </c>
      <c r="I128" s="17">
        <f t="shared" si="9"/>
        <v>1.0002110430573716</v>
      </c>
      <c r="J128" s="20">
        <v>40330</v>
      </c>
      <c r="K128" s="21">
        <v>125.521</v>
      </c>
      <c r="L128" s="16">
        <f t="shared" si="10"/>
        <v>1.1950191601405795E-4</v>
      </c>
      <c r="M128" s="16">
        <f t="shared" si="11"/>
        <v>1.0001195019160141</v>
      </c>
    </row>
    <row r="129" spans="6:13" x14ac:dyDescent="0.3">
      <c r="F129" s="19">
        <v>40360</v>
      </c>
      <c r="G129" s="18">
        <v>218.011</v>
      </c>
      <c r="H129" s="17">
        <f t="shared" si="8"/>
        <v>1.3806642784080442E-3</v>
      </c>
      <c r="I129" s="17">
        <f t="shared" si="9"/>
        <v>1.001380664278408</v>
      </c>
      <c r="J129" s="20">
        <v>40360</v>
      </c>
      <c r="K129" s="21">
        <v>125.536</v>
      </c>
      <c r="L129" s="16">
        <f t="shared" si="10"/>
        <v>1.7524853428498507E-3</v>
      </c>
      <c r="M129" s="16">
        <f t="shared" si="11"/>
        <v>1.0017524853428499</v>
      </c>
    </row>
    <row r="130" spans="6:13" x14ac:dyDescent="0.3">
      <c r="F130" s="19">
        <v>40391</v>
      </c>
      <c r="G130" s="18">
        <v>218.31200000000001</v>
      </c>
      <c r="H130" s="17">
        <f t="shared" si="8"/>
        <v>5.8173623071558652E-4</v>
      </c>
      <c r="I130" s="17">
        <f t="shared" si="9"/>
        <v>1.0005817362307157</v>
      </c>
      <c r="J130" s="20">
        <v>40391</v>
      </c>
      <c r="K130" s="21">
        <v>125.756</v>
      </c>
      <c r="L130" s="16">
        <f t="shared" si="10"/>
        <v>5.8844110817772566E-4</v>
      </c>
      <c r="M130" s="16">
        <f t="shared" si="11"/>
        <v>1.0005884411081778</v>
      </c>
    </row>
    <row r="131" spans="6:13" x14ac:dyDescent="0.3">
      <c r="F131" s="19">
        <v>40422</v>
      </c>
      <c r="G131" s="18">
        <v>218.43899999999999</v>
      </c>
      <c r="H131" s="17">
        <f t="shared" ref="H131:H194" si="12">(G132-G131)/G131</f>
        <v>1.2451988884769651E-3</v>
      </c>
      <c r="I131" s="17">
        <f t="shared" ref="I131:I194" si="13">H131+1</f>
        <v>1.001245198888477</v>
      </c>
      <c r="J131" s="20">
        <v>40422</v>
      </c>
      <c r="K131" s="21">
        <v>125.83</v>
      </c>
      <c r="L131" s="16">
        <f t="shared" ref="L131:L194" si="14">(K132-K131)/K131</f>
        <v>1.1046650242390193E-3</v>
      </c>
      <c r="M131" s="16">
        <f t="shared" ref="M131:M194" si="15">L131+1</f>
        <v>1.001104665024239</v>
      </c>
    </row>
    <row r="132" spans="6:13" x14ac:dyDescent="0.3">
      <c r="F132" s="19">
        <v>40452</v>
      </c>
      <c r="G132" s="18">
        <v>218.71100000000001</v>
      </c>
      <c r="H132" s="17">
        <f t="shared" si="12"/>
        <v>4.2064642381949024E-4</v>
      </c>
      <c r="I132" s="17">
        <f t="shared" si="13"/>
        <v>1.0004206464238194</v>
      </c>
      <c r="J132" s="20">
        <v>40452</v>
      </c>
      <c r="K132" s="21">
        <v>125.96899999999999</v>
      </c>
      <c r="L132" s="16">
        <f t="shared" si="14"/>
        <v>-3.8898459144704161E-4</v>
      </c>
      <c r="M132" s="16">
        <f t="shared" si="15"/>
        <v>0.99961101540855291</v>
      </c>
    </row>
    <row r="133" spans="6:13" x14ac:dyDescent="0.3">
      <c r="F133" s="19">
        <v>40483</v>
      </c>
      <c r="G133" s="18">
        <v>218.803</v>
      </c>
      <c r="H133" s="17">
        <f t="shared" si="12"/>
        <v>1.7184407892030949E-3</v>
      </c>
      <c r="I133" s="17">
        <f t="shared" si="13"/>
        <v>1.001718440789203</v>
      </c>
      <c r="J133" s="20">
        <v>40483</v>
      </c>
      <c r="K133" s="21">
        <v>125.92</v>
      </c>
      <c r="L133" s="16">
        <f t="shared" si="14"/>
        <v>1.7709656925031685E-3</v>
      </c>
      <c r="M133" s="16">
        <f t="shared" si="15"/>
        <v>1.0017709656925031</v>
      </c>
    </row>
    <row r="134" spans="6:13" x14ac:dyDescent="0.3">
      <c r="F134" s="19">
        <v>40513</v>
      </c>
      <c r="G134" s="18">
        <v>219.179</v>
      </c>
      <c r="H134" s="17">
        <f t="shared" si="12"/>
        <v>4.7632300539741995E-3</v>
      </c>
      <c r="I134" s="17">
        <f t="shared" si="13"/>
        <v>1.0047632300539742</v>
      </c>
      <c r="J134" s="20">
        <v>40513</v>
      </c>
      <c r="K134" s="21">
        <v>126.143</v>
      </c>
      <c r="L134" s="16">
        <f t="shared" si="14"/>
        <v>5.0339693839531732E-3</v>
      </c>
      <c r="M134" s="16">
        <f t="shared" si="15"/>
        <v>1.0050339693839532</v>
      </c>
    </row>
    <row r="135" spans="6:13" x14ac:dyDescent="0.3">
      <c r="F135" s="19">
        <v>40544</v>
      </c>
      <c r="G135" s="18">
        <v>220.22300000000001</v>
      </c>
      <c r="H135" s="17">
        <f t="shared" si="12"/>
        <v>4.9313650254514023E-3</v>
      </c>
      <c r="I135" s="17">
        <f t="shared" si="13"/>
        <v>1.0049313650254514</v>
      </c>
      <c r="J135" s="20">
        <v>40544</v>
      </c>
      <c r="K135" s="21">
        <v>126.77800000000001</v>
      </c>
      <c r="L135" s="16">
        <f t="shared" si="14"/>
        <v>4.6143652684219163E-3</v>
      </c>
      <c r="M135" s="16">
        <f t="shared" si="15"/>
        <v>1.0046143652684218</v>
      </c>
    </row>
    <row r="136" spans="6:13" x14ac:dyDescent="0.3">
      <c r="F136" s="19">
        <v>40575</v>
      </c>
      <c r="G136" s="18">
        <v>221.309</v>
      </c>
      <c r="H136" s="17">
        <f t="shared" si="12"/>
        <v>9.7510720305094487E-3</v>
      </c>
      <c r="I136" s="17">
        <f t="shared" si="13"/>
        <v>1.0097510720305094</v>
      </c>
      <c r="J136" s="20">
        <v>40575</v>
      </c>
      <c r="K136" s="21">
        <v>127.363</v>
      </c>
      <c r="L136" s="16">
        <f t="shared" si="14"/>
        <v>9.5946232422289713E-3</v>
      </c>
      <c r="M136" s="16">
        <f t="shared" si="15"/>
        <v>1.009594623242229</v>
      </c>
    </row>
    <row r="137" spans="6:13" x14ac:dyDescent="0.3">
      <c r="F137" s="19">
        <v>40603</v>
      </c>
      <c r="G137" s="18">
        <v>223.46700000000001</v>
      </c>
      <c r="H137" s="17">
        <f t="shared" si="12"/>
        <v>6.4394295354571049E-3</v>
      </c>
      <c r="I137" s="17">
        <f t="shared" si="13"/>
        <v>1.0064394295354571</v>
      </c>
      <c r="J137" s="20">
        <v>40603</v>
      </c>
      <c r="K137" s="21">
        <v>128.58500000000001</v>
      </c>
      <c r="L137" s="16">
        <f t="shared" si="14"/>
        <v>6.9837072753431281E-3</v>
      </c>
      <c r="M137" s="16">
        <f t="shared" si="15"/>
        <v>1.0069837072753431</v>
      </c>
    </row>
    <row r="138" spans="6:13" x14ac:dyDescent="0.3">
      <c r="F138" s="19">
        <v>40634</v>
      </c>
      <c r="G138" s="18">
        <v>224.90600000000001</v>
      </c>
      <c r="H138" s="17">
        <f t="shared" si="12"/>
        <v>4.704187527233567E-3</v>
      </c>
      <c r="I138" s="17">
        <f t="shared" si="13"/>
        <v>1.0047041875272336</v>
      </c>
      <c r="J138" s="20">
        <v>40634</v>
      </c>
      <c r="K138" s="21">
        <v>129.483</v>
      </c>
      <c r="L138" s="16">
        <f t="shared" si="14"/>
        <v>3.9850791223557617E-3</v>
      </c>
      <c r="M138" s="16">
        <f t="shared" si="15"/>
        <v>1.0039850791223557</v>
      </c>
    </row>
    <row r="139" spans="6:13" x14ac:dyDescent="0.3">
      <c r="F139" s="19">
        <v>40664</v>
      </c>
      <c r="G139" s="18">
        <v>225.964</v>
      </c>
      <c r="H139" s="17">
        <f t="shared" si="12"/>
        <v>-1.0709670566992539E-3</v>
      </c>
      <c r="I139" s="17">
        <f t="shared" si="13"/>
        <v>0.99892903294330071</v>
      </c>
      <c r="J139" s="20">
        <v>40664</v>
      </c>
      <c r="K139" s="21">
        <v>129.999</v>
      </c>
      <c r="L139" s="16">
        <f t="shared" si="14"/>
        <v>-1.176932130247091E-3</v>
      </c>
      <c r="M139" s="16">
        <f t="shared" si="15"/>
        <v>0.99882306786975295</v>
      </c>
    </row>
    <row r="140" spans="6:13" x14ac:dyDescent="0.3">
      <c r="F140" s="19">
        <v>40695</v>
      </c>
      <c r="G140" s="18">
        <v>225.72200000000001</v>
      </c>
      <c r="H140" s="17">
        <f t="shared" si="12"/>
        <v>8.8604566679361611E-4</v>
      </c>
      <c r="I140" s="17">
        <f t="shared" si="13"/>
        <v>1.0008860456667936</v>
      </c>
      <c r="J140" s="20">
        <v>40695</v>
      </c>
      <c r="K140" s="21">
        <v>129.846</v>
      </c>
      <c r="L140" s="16">
        <f t="shared" si="14"/>
        <v>1.055096036843649E-3</v>
      </c>
      <c r="M140" s="16">
        <f t="shared" si="15"/>
        <v>1.0010550960368436</v>
      </c>
    </row>
    <row r="141" spans="6:13" x14ac:dyDescent="0.3">
      <c r="F141" s="19">
        <v>40725</v>
      </c>
      <c r="G141" s="18">
        <v>225.922</v>
      </c>
      <c r="H141" s="17">
        <f t="shared" si="12"/>
        <v>2.7575889023644905E-3</v>
      </c>
      <c r="I141" s="17">
        <f t="shared" si="13"/>
        <v>1.0027575889023645</v>
      </c>
      <c r="J141" s="20">
        <v>40725</v>
      </c>
      <c r="K141" s="21">
        <v>129.983</v>
      </c>
      <c r="L141" s="16">
        <f t="shared" si="14"/>
        <v>2.8311394566981449E-3</v>
      </c>
      <c r="M141" s="16">
        <f t="shared" si="15"/>
        <v>1.0028311394566982</v>
      </c>
    </row>
    <row r="142" spans="6:13" x14ac:dyDescent="0.3">
      <c r="F142" s="19">
        <v>40756</v>
      </c>
      <c r="G142" s="18">
        <v>226.54499999999999</v>
      </c>
      <c r="H142" s="17">
        <f t="shared" si="12"/>
        <v>1.518462115694553E-3</v>
      </c>
      <c r="I142" s="17">
        <f t="shared" si="13"/>
        <v>1.0015184621156945</v>
      </c>
      <c r="J142" s="20">
        <v>40756</v>
      </c>
      <c r="K142" s="21">
        <v>130.351</v>
      </c>
      <c r="L142" s="16">
        <f t="shared" si="14"/>
        <v>2.1787328060390164E-3</v>
      </c>
      <c r="M142" s="16">
        <f t="shared" si="15"/>
        <v>1.002178732806039</v>
      </c>
    </row>
    <row r="143" spans="6:13" x14ac:dyDescent="0.3">
      <c r="F143" s="19">
        <v>40787</v>
      </c>
      <c r="G143" s="18">
        <v>226.88900000000001</v>
      </c>
      <c r="H143" s="17">
        <f t="shared" si="12"/>
        <v>-2.0626826333582401E-3</v>
      </c>
      <c r="I143" s="17">
        <f t="shared" si="13"/>
        <v>0.99793731736664171</v>
      </c>
      <c r="J143" s="20">
        <v>40787</v>
      </c>
      <c r="K143" s="21">
        <v>130.63499999999999</v>
      </c>
      <c r="L143" s="16">
        <f t="shared" si="14"/>
        <v>-2.005588088950132E-3</v>
      </c>
      <c r="M143" s="16">
        <f t="shared" si="15"/>
        <v>0.99799441191104987</v>
      </c>
    </row>
    <row r="144" spans="6:13" x14ac:dyDescent="0.3">
      <c r="F144" s="19">
        <v>40817</v>
      </c>
      <c r="G144" s="18">
        <v>226.42099999999999</v>
      </c>
      <c r="H144" s="17">
        <f t="shared" si="12"/>
        <v>-8.4356133044197537E-4</v>
      </c>
      <c r="I144" s="17">
        <f t="shared" si="13"/>
        <v>0.99915643866955806</v>
      </c>
      <c r="J144" s="20">
        <v>40817</v>
      </c>
      <c r="K144" s="21">
        <v>130.37299999999999</v>
      </c>
      <c r="L144" s="16">
        <f t="shared" si="14"/>
        <v>-1.3576430702675593E-3</v>
      </c>
      <c r="M144" s="16">
        <f t="shared" si="15"/>
        <v>0.99864235692973247</v>
      </c>
    </row>
    <row r="145" spans="6:13" x14ac:dyDescent="0.3">
      <c r="F145" s="19">
        <v>40848</v>
      </c>
      <c r="G145" s="18">
        <v>226.23</v>
      </c>
      <c r="H145" s="17">
        <f t="shared" si="12"/>
        <v>-2.4665163771382787E-3</v>
      </c>
      <c r="I145" s="17">
        <f t="shared" si="13"/>
        <v>0.99753348362286176</v>
      </c>
      <c r="J145" s="20">
        <v>40848</v>
      </c>
      <c r="K145" s="21">
        <v>130.196</v>
      </c>
      <c r="L145" s="16">
        <f t="shared" si="14"/>
        <v>-2.7036160865157445E-3</v>
      </c>
      <c r="M145" s="16">
        <f t="shared" si="15"/>
        <v>0.9972963839134843</v>
      </c>
    </row>
    <row r="146" spans="6:13" x14ac:dyDescent="0.3">
      <c r="F146" s="19">
        <v>40878</v>
      </c>
      <c r="G146" s="18">
        <v>225.672</v>
      </c>
      <c r="H146" s="17">
        <f t="shared" si="12"/>
        <v>4.400191428267552E-3</v>
      </c>
      <c r="I146" s="17">
        <f t="shared" si="13"/>
        <v>1.0044001914282676</v>
      </c>
      <c r="J146" s="20">
        <v>40878</v>
      </c>
      <c r="K146" s="21">
        <v>129.84399999999999</v>
      </c>
      <c r="L146" s="16">
        <f t="shared" si="14"/>
        <v>4.574720433751225E-3</v>
      </c>
      <c r="M146" s="16">
        <f t="shared" si="15"/>
        <v>1.0045747204337512</v>
      </c>
    </row>
    <row r="147" spans="6:13" x14ac:dyDescent="0.3">
      <c r="F147" s="19">
        <v>40909</v>
      </c>
      <c r="G147" s="18">
        <v>226.66499999999999</v>
      </c>
      <c r="H147" s="17">
        <f t="shared" si="12"/>
        <v>4.4029735512761958E-3</v>
      </c>
      <c r="I147" s="17">
        <f t="shared" si="13"/>
        <v>1.0044029735512763</v>
      </c>
      <c r="J147" s="20">
        <v>40909</v>
      </c>
      <c r="K147" s="21">
        <v>130.43799999999999</v>
      </c>
      <c r="L147" s="16">
        <f t="shared" si="14"/>
        <v>3.9482359435135074E-3</v>
      </c>
      <c r="M147" s="16">
        <f t="shared" si="15"/>
        <v>1.0039482359435135</v>
      </c>
    </row>
    <row r="148" spans="6:13" x14ac:dyDescent="0.3">
      <c r="F148" s="19">
        <v>40940</v>
      </c>
      <c r="G148" s="18">
        <v>227.66300000000001</v>
      </c>
      <c r="H148" s="17">
        <f t="shared" si="12"/>
        <v>7.5945586239309195E-3</v>
      </c>
      <c r="I148" s="17">
        <f t="shared" si="13"/>
        <v>1.007594558623931</v>
      </c>
      <c r="J148" s="20">
        <v>40940</v>
      </c>
      <c r="K148" s="21">
        <v>130.953</v>
      </c>
      <c r="L148" s="16">
        <f t="shared" si="14"/>
        <v>7.2697838155674037E-3</v>
      </c>
      <c r="M148" s="16">
        <f t="shared" si="15"/>
        <v>1.0072697838155673</v>
      </c>
    </row>
    <row r="149" spans="6:13" x14ac:dyDescent="0.3">
      <c r="F149" s="19">
        <v>40969</v>
      </c>
      <c r="G149" s="18">
        <v>229.392</v>
      </c>
      <c r="H149" s="17">
        <f t="shared" si="12"/>
        <v>3.0210295040804043E-3</v>
      </c>
      <c r="I149" s="17">
        <f t="shared" si="13"/>
        <v>1.0030210295040805</v>
      </c>
      <c r="J149" s="20">
        <v>40969</v>
      </c>
      <c r="K149" s="21">
        <v>131.905</v>
      </c>
      <c r="L149" s="16">
        <f t="shared" si="14"/>
        <v>2.8732800121298715E-3</v>
      </c>
      <c r="M149" s="16">
        <f t="shared" si="15"/>
        <v>1.0028732800121298</v>
      </c>
    </row>
    <row r="150" spans="6:13" x14ac:dyDescent="0.3">
      <c r="F150" s="19">
        <v>41000</v>
      </c>
      <c r="G150" s="18">
        <v>230.08500000000001</v>
      </c>
      <c r="H150" s="17">
        <f t="shared" si="12"/>
        <v>-1.1734793663211866E-3</v>
      </c>
      <c r="I150" s="17">
        <f t="shared" si="13"/>
        <v>0.99882652063367883</v>
      </c>
      <c r="J150" s="20">
        <v>41000</v>
      </c>
      <c r="K150" s="21">
        <v>132.28399999999999</v>
      </c>
      <c r="L150" s="16">
        <f t="shared" si="14"/>
        <v>-9.8273411750472825E-4</v>
      </c>
      <c r="M150" s="16">
        <f t="shared" si="15"/>
        <v>0.99901726588249529</v>
      </c>
    </row>
    <row r="151" spans="6:13" x14ac:dyDescent="0.3">
      <c r="F151" s="19">
        <v>41030</v>
      </c>
      <c r="G151" s="18">
        <v>229.815</v>
      </c>
      <c r="H151" s="17">
        <f t="shared" si="12"/>
        <v>-1.4663968844504888E-3</v>
      </c>
      <c r="I151" s="17">
        <f t="shared" si="13"/>
        <v>0.99853360311554951</v>
      </c>
      <c r="J151" s="20">
        <v>41030</v>
      </c>
      <c r="K151" s="21">
        <v>132.154</v>
      </c>
      <c r="L151" s="16">
        <f t="shared" si="14"/>
        <v>-1.4982520392875548E-3</v>
      </c>
      <c r="M151" s="16">
        <f t="shared" si="15"/>
        <v>0.99850174796071245</v>
      </c>
    </row>
    <row r="152" spans="6:13" x14ac:dyDescent="0.3">
      <c r="F152" s="19">
        <v>41061</v>
      </c>
      <c r="G152" s="18">
        <v>229.47800000000001</v>
      </c>
      <c r="H152" s="17">
        <f t="shared" si="12"/>
        <v>-1.6297858618255136E-3</v>
      </c>
      <c r="I152" s="17">
        <f t="shared" si="13"/>
        <v>0.99837021413817451</v>
      </c>
      <c r="J152" s="20">
        <v>41061</v>
      </c>
      <c r="K152" s="21">
        <v>131.95599999999999</v>
      </c>
      <c r="L152" s="16">
        <f t="shared" si="14"/>
        <v>-1.7051138258206851E-3</v>
      </c>
      <c r="M152" s="16">
        <f t="shared" si="15"/>
        <v>0.99829488617417927</v>
      </c>
    </row>
    <row r="153" spans="6:13" x14ac:dyDescent="0.3">
      <c r="F153" s="19">
        <v>41091</v>
      </c>
      <c r="G153" s="18">
        <v>229.10400000000001</v>
      </c>
      <c r="H153" s="17">
        <f t="shared" si="12"/>
        <v>5.5651581814371515E-3</v>
      </c>
      <c r="I153" s="17">
        <f t="shared" si="13"/>
        <v>1.0055651581814371</v>
      </c>
      <c r="J153" s="20">
        <v>41091</v>
      </c>
      <c r="K153" s="21">
        <v>131.73099999999999</v>
      </c>
      <c r="L153" s="16">
        <f t="shared" si="14"/>
        <v>5.3062680766107623E-3</v>
      </c>
      <c r="M153" s="16">
        <f t="shared" si="15"/>
        <v>1.0053062680766107</v>
      </c>
    </row>
    <row r="154" spans="6:13" x14ac:dyDescent="0.3">
      <c r="F154" s="19">
        <v>41122</v>
      </c>
      <c r="G154" s="18">
        <v>230.37899999999999</v>
      </c>
      <c r="H154" s="17">
        <f t="shared" si="12"/>
        <v>4.462212267611284E-3</v>
      </c>
      <c r="I154" s="17">
        <f t="shared" si="13"/>
        <v>1.0044622122676112</v>
      </c>
      <c r="J154" s="20">
        <v>41122</v>
      </c>
      <c r="K154" s="21">
        <v>132.43</v>
      </c>
      <c r="L154" s="16">
        <f t="shared" si="14"/>
        <v>4.2135467794305872E-3</v>
      </c>
      <c r="M154" s="16">
        <f t="shared" si="15"/>
        <v>1.0042135467794306</v>
      </c>
    </row>
    <row r="155" spans="6:13" x14ac:dyDescent="0.3">
      <c r="F155" s="19">
        <v>41153</v>
      </c>
      <c r="G155" s="18">
        <v>231.40700000000001</v>
      </c>
      <c r="H155" s="17">
        <f t="shared" si="12"/>
        <v>-3.8892514055323911E-4</v>
      </c>
      <c r="I155" s="17">
        <f t="shared" si="13"/>
        <v>0.99961107485944678</v>
      </c>
      <c r="J155" s="20">
        <v>41153</v>
      </c>
      <c r="K155" s="21">
        <v>132.988</v>
      </c>
      <c r="L155" s="16">
        <f t="shared" si="14"/>
        <v>-7.2186964237377536E-4</v>
      </c>
      <c r="M155" s="16">
        <f t="shared" si="15"/>
        <v>0.99927813035762625</v>
      </c>
    </row>
    <row r="156" spans="6:13" x14ac:dyDescent="0.3">
      <c r="F156" s="19">
        <v>41183</v>
      </c>
      <c r="G156" s="18">
        <v>231.31700000000001</v>
      </c>
      <c r="H156" s="17">
        <f t="shared" si="12"/>
        <v>-4.7380866948819305E-3</v>
      </c>
      <c r="I156" s="17">
        <f t="shared" si="13"/>
        <v>0.99526191330511804</v>
      </c>
      <c r="J156" s="20">
        <v>41183</v>
      </c>
      <c r="K156" s="21">
        <v>132.892</v>
      </c>
      <c r="L156" s="16">
        <f t="shared" si="14"/>
        <v>-5.1470366914486768E-3</v>
      </c>
      <c r="M156" s="16">
        <f t="shared" si="15"/>
        <v>0.99485296330855133</v>
      </c>
    </row>
    <row r="157" spans="6:13" x14ac:dyDescent="0.3">
      <c r="F157" s="19">
        <v>41214</v>
      </c>
      <c r="G157" s="18">
        <v>230.221</v>
      </c>
      <c r="H157" s="17">
        <f t="shared" si="12"/>
        <v>-2.6930644902072552E-3</v>
      </c>
      <c r="I157" s="17">
        <f t="shared" si="13"/>
        <v>0.99730693550979277</v>
      </c>
      <c r="J157" s="20">
        <v>41214</v>
      </c>
      <c r="K157" s="21">
        <v>132.208</v>
      </c>
      <c r="L157" s="16">
        <f t="shared" si="14"/>
        <v>-3.3129613941666781E-3</v>
      </c>
      <c r="M157" s="16">
        <f t="shared" si="15"/>
        <v>0.9966870386058333</v>
      </c>
    </row>
    <row r="158" spans="6:13" x14ac:dyDescent="0.3">
      <c r="F158" s="19">
        <v>41244</v>
      </c>
      <c r="G158" s="18">
        <v>229.601</v>
      </c>
      <c r="H158" s="17">
        <f t="shared" si="12"/>
        <v>2.9573041929259981E-3</v>
      </c>
      <c r="I158" s="17">
        <f t="shared" si="13"/>
        <v>1.0029573041929261</v>
      </c>
      <c r="J158" s="20">
        <v>41244</v>
      </c>
      <c r="K158" s="21">
        <v>131.77000000000001</v>
      </c>
      <c r="L158" s="16">
        <f t="shared" si="14"/>
        <v>2.7851559535553632E-3</v>
      </c>
      <c r="M158" s="16">
        <f t="shared" si="15"/>
        <v>1.0027851559535554</v>
      </c>
    </row>
    <row r="159" spans="6:13" x14ac:dyDescent="0.3">
      <c r="F159" s="19">
        <v>41275</v>
      </c>
      <c r="G159" s="18">
        <v>230.28</v>
      </c>
      <c r="H159" s="17">
        <f t="shared" si="12"/>
        <v>8.190029529268698E-3</v>
      </c>
      <c r="I159" s="17">
        <f t="shared" si="13"/>
        <v>1.0081900295292687</v>
      </c>
      <c r="J159" s="20">
        <v>41275</v>
      </c>
      <c r="K159" s="21">
        <v>132.137</v>
      </c>
      <c r="L159" s="16">
        <f t="shared" si="14"/>
        <v>8.0749525114086687E-3</v>
      </c>
      <c r="M159" s="16">
        <f t="shared" si="15"/>
        <v>1.0080749525114088</v>
      </c>
    </row>
    <row r="160" spans="6:13" x14ac:dyDescent="0.3">
      <c r="F160" s="19">
        <v>41306</v>
      </c>
      <c r="G160" s="18">
        <v>232.166</v>
      </c>
      <c r="H160" s="17">
        <f t="shared" si="12"/>
        <v>2.6145085843749701E-3</v>
      </c>
      <c r="I160" s="17">
        <f t="shared" si="13"/>
        <v>1.002614508584375</v>
      </c>
      <c r="J160" s="20">
        <v>41306</v>
      </c>
      <c r="K160" s="21">
        <v>133.20400000000001</v>
      </c>
      <c r="L160" s="16">
        <f t="shared" si="14"/>
        <v>2.6575778505148868E-3</v>
      </c>
      <c r="M160" s="16">
        <f t="shared" si="15"/>
        <v>1.0026575778505149</v>
      </c>
    </row>
    <row r="161" spans="6:13" x14ac:dyDescent="0.3">
      <c r="F161" s="19">
        <v>41334</v>
      </c>
      <c r="G161" s="18">
        <v>232.773</v>
      </c>
      <c r="H161" s="17">
        <f t="shared" si="12"/>
        <v>-1.0396394770870773E-3</v>
      </c>
      <c r="I161" s="17">
        <f t="shared" si="13"/>
        <v>0.99896036052291293</v>
      </c>
      <c r="J161" s="20">
        <v>41334</v>
      </c>
      <c r="K161" s="21">
        <v>133.55799999999999</v>
      </c>
      <c r="L161" s="16">
        <f t="shared" si="14"/>
        <v>-1.0257715748963033E-3</v>
      </c>
      <c r="M161" s="16">
        <f t="shared" si="15"/>
        <v>0.99897422842510375</v>
      </c>
    </row>
    <row r="162" spans="6:13" x14ac:dyDescent="0.3">
      <c r="F162" s="19">
        <v>41365</v>
      </c>
      <c r="G162" s="18">
        <v>232.53100000000001</v>
      </c>
      <c r="H162" s="17">
        <f t="shared" si="12"/>
        <v>1.7804077735871229E-3</v>
      </c>
      <c r="I162" s="17">
        <f t="shared" si="13"/>
        <v>1.0017804077735872</v>
      </c>
      <c r="J162" s="20">
        <v>41365</v>
      </c>
      <c r="K162" s="21">
        <v>133.42099999999999</v>
      </c>
      <c r="L162" s="16">
        <f t="shared" si="14"/>
        <v>1.5364897579842193E-3</v>
      </c>
      <c r="M162" s="16">
        <f t="shared" si="15"/>
        <v>1.0015364897579841</v>
      </c>
    </row>
    <row r="163" spans="6:13" x14ac:dyDescent="0.3">
      <c r="F163" s="19">
        <v>41395</v>
      </c>
      <c r="G163" s="18">
        <v>232.94499999999999</v>
      </c>
      <c r="H163" s="17">
        <f t="shared" si="12"/>
        <v>2.3997080855995942E-3</v>
      </c>
      <c r="I163" s="17">
        <f t="shared" si="13"/>
        <v>1.0023997080855995</v>
      </c>
      <c r="J163" s="20">
        <v>41395</v>
      </c>
      <c r="K163" s="21">
        <v>133.626</v>
      </c>
      <c r="L163" s="16">
        <f t="shared" si="14"/>
        <v>2.0504991543561948E-3</v>
      </c>
      <c r="M163" s="16">
        <f t="shared" si="15"/>
        <v>1.0020504991543562</v>
      </c>
    </row>
    <row r="164" spans="6:13" x14ac:dyDescent="0.3">
      <c r="F164" s="19">
        <v>41426</v>
      </c>
      <c r="G164" s="18">
        <v>233.50399999999999</v>
      </c>
      <c r="H164" s="17">
        <f t="shared" si="12"/>
        <v>3.9399753323289094E-4</v>
      </c>
      <c r="I164" s="17">
        <f t="shared" si="13"/>
        <v>1.000393997533233</v>
      </c>
      <c r="J164" s="20">
        <v>41426</v>
      </c>
      <c r="K164" s="21">
        <v>133.9</v>
      </c>
      <c r="L164" s="16">
        <f t="shared" si="14"/>
        <v>1.4189693801348362E-4</v>
      </c>
      <c r="M164" s="16">
        <f t="shared" si="15"/>
        <v>1.0001418969380136</v>
      </c>
    </row>
    <row r="165" spans="6:13" x14ac:dyDescent="0.3">
      <c r="F165" s="19">
        <v>41456</v>
      </c>
      <c r="G165" s="18">
        <v>233.596</v>
      </c>
      <c r="H165" s="17">
        <f t="shared" si="12"/>
        <v>1.2029315570472349E-3</v>
      </c>
      <c r="I165" s="17">
        <f t="shared" si="13"/>
        <v>1.0012029315570472</v>
      </c>
      <c r="J165" s="20">
        <v>41456</v>
      </c>
      <c r="K165" s="21">
        <v>133.91900000000001</v>
      </c>
      <c r="L165" s="16">
        <f t="shared" si="14"/>
        <v>1.3366288577423818E-3</v>
      </c>
      <c r="M165" s="16">
        <f t="shared" si="15"/>
        <v>1.0013366288577423</v>
      </c>
    </row>
    <row r="166" spans="6:13" x14ac:dyDescent="0.3">
      <c r="F166" s="19">
        <v>41487</v>
      </c>
      <c r="G166" s="18">
        <v>233.87700000000001</v>
      </c>
      <c r="H166" s="17">
        <f t="shared" si="12"/>
        <v>1.1630044852635846E-3</v>
      </c>
      <c r="I166" s="17">
        <f t="shared" si="13"/>
        <v>1.0011630044852635</v>
      </c>
      <c r="J166" s="20">
        <v>41487</v>
      </c>
      <c r="K166" s="21">
        <v>134.09800000000001</v>
      </c>
      <c r="L166" s="16">
        <f t="shared" si="14"/>
        <v>1.170785544899866E-3</v>
      </c>
      <c r="M166" s="16">
        <f t="shared" si="15"/>
        <v>1.0011707855448999</v>
      </c>
    </row>
    <row r="167" spans="6:13" x14ac:dyDescent="0.3">
      <c r="F167" s="19">
        <v>41518</v>
      </c>
      <c r="G167" s="18">
        <v>234.149</v>
      </c>
      <c r="H167" s="17">
        <f t="shared" si="12"/>
        <v>-2.575283259804691E-3</v>
      </c>
      <c r="I167" s="17">
        <f t="shared" si="13"/>
        <v>0.99742471674019528</v>
      </c>
      <c r="J167" s="20">
        <v>41518</v>
      </c>
      <c r="K167" s="21">
        <v>134.255</v>
      </c>
      <c r="L167" s="16">
        <f t="shared" si="14"/>
        <v>-2.822986108524753E-3</v>
      </c>
      <c r="M167" s="16">
        <f t="shared" si="15"/>
        <v>0.99717701389147528</v>
      </c>
    </row>
    <row r="168" spans="6:13" x14ac:dyDescent="0.3">
      <c r="F168" s="19">
        <v>41548</v>
      </c>
      <c r="G168" s="18">
        <v>233.54599999999999</v>
      </c>
      <c r="H168" s="17">
        <f t="shared" si="12"/>
        <v>-2.0424241905235107E-3</v>
      </c>
      <c r="I168" s="17">
        <f t="shared" si="13"/>
        <v>0.99795757580947653</v>
      </c>
      <c r="J168" s="20">
        <v>41548</v>
      </c>
      <c r="K168" s="21">
        <v>133.876</v>
      </c>
      <c r="L168" s="16">
        <f t="shared" si="14"/>
        <v>-2.0914876452837036E-3</v>
      </c>
      <c r="M168" s="16">
        <f t="shared" si="15"/>
        <v>0.99790851235471634</v>
      </c>
    </row>
    <row r="169" spans="6:13" x14ac:dyDescent="0.3">
      <c r="F169" s="19">
        <v>41579</v>
      </c>
      <c r="G169" s="18">
        <v>233.06899999999999</v>
      </c>
      <c r="H169" s="17">
        <f t="shared" si="12"/>
        <v>-8.581149788252325E-5</v>
      </c>
      <c r="I169" s="17">
        <f t="shared" si="13"/>
        <v>0.99991418850211744</v>
      </c>
      <c r="J169" s="20">
        <v>41579</v>
      </c>
      <c r="K169" s="21">
        <v>133.596</v>
      </c>
      <c r="L169" s="16">
        <f t="shared" si="14"/>
        <v>-6.5121710230858342E-4</v>
      </c>
      <c r="M169" s="16">
        <f t="shared" si="15"/>
        <v>0.99934878289769147</v>
      </c>
    </row>
    <row r="170" spans="6:13" x14ac:dyDescent="0.3">
      <c r="F170" s="19">
        <v>41609</v>
      </c>
      <c r="G170" s="18">
        <v>233.04900000000001</v>
      </c>
      <c r="H170" s="17">
        <f t="shared" si="12"/>
        <v>3.7202476732360584E-3</v>
      </c>
      <c r="I170" s="17">
        <f t="shared" si="13"/>
        <v>1.0037202476732361</v>
      </c>
      <c r="J170" s="20">
        <v>41609</v>
      </c>
      <c r="K170" s="21">
        <v>133.50899999999999</v>
      </c>
      <c r="L170" s="16">
        <f t="shared" si="14"/>
        <v>3.8049869297201674E-3</v>
      </c>
      <c r="M170" s="16">
        <f t="shared" si="15"/>
        <v>1.0038049869297201</v>
      </c>
    </row>
    <row r="171" spans="6:13" x14ac:dyDescent="0.3">
      <c r="F171" s="19">
        <v>41640</v>
      </c>
      <c r="G171" s="18">
        <v>233.916</v>
      </c>
      <c r="H171" s="17">
        <f t="shared" si="12"/>
        <v>3.6979086509687626E-3</v>
      </c>
      <c r="I171" s="17">
        <f t="shared" si="13"/>
        <v>1.0036979086509688</v>
      </c>
      <c r="J171" s="20">
        <v>41640</v>
      </c>
      <c r="K171" s="21">
        <v>134.017</v>
      </c>
      <c r="L171" s="16">
        <f t="shared" si="14"/>
        <v>3.9174134624712217E-3</v>
      </c>
      <c r="M171" s="16">
        <f t="shared" si="15"/>
        <v>1.0039174134624713</v>
      </c>
    </row>
    <row r="172" spans="6:13" x14ac:dyDescent="0.3">
      <c r="F172" s="19">
        <v>41671</v>
      </c>
      <c r="G172" s="18">
        <v>234.78100000000001</v>
      </c>
      <c r="H172" s="17">
        <f t="shared" si="12"/>
        <v>6.4400441262282742E-3</v>
      </c>
      <c r="I172" s="17">
        <f t="shared" si="13"/>
        <v>1.0064400441262282</v>
      </c>
      <c r="J172" s="20">
        <v>41671</v>
      </c>
      <c r="K172" s="21">
        <v>134.542</v>
      </c>
      <c r="L172" s="16">
        <f t="shared" si="14"/>
        <v>6.1913751839574142E-3</v>
      </c>
      <c r="M172" s="16">
        <f t="shared" si="15"/>
        <v>1.0061913751839575</v>
      </c>
    </row>
    <row r="173" spans="6:13" x14ac:dyDescent="0.3">
      <c r="F173" s="19">
        <v>41699</v>
      </c>
      <c r="G173" s="18">
        <v>236.29300000000001</v>
      </c>
      <c r="H173" s="17">
        <f t="shared" si="12"/>
        <v>3.2967544531577165E-3</v>
      </c>
      <c r="I173" s="17">
        <f t="shared" si="13"/>
        <v>1.0032967544531577</v>
      </c>
      <c r="J173" s="20">
        <v>41699</v>
      </c>
      <c r="K173" s="21">
        <v>135.375</v>
      </c>
      <c r="L173" s="16">
        <f t="shared" si="14"/>
        <v>2.9252077562325878E-3</v>
      </c>
      <c r="M173" s="16">
        <f t="shared" si="15"/>
        <v>1.0029252077562325</v>
      </c>
    </row>
    <row r="174" spans="6:13" x14ac:dyDescent="0.3">
      <c r="F174" s="19">
        <v>41730</v>
      </c>
      <c r="G174" s="18">
        <v>237.072</v>
      </c>
      <c r="H174" s="17">
        <f t="shared" si="12"/>
        <v>3.4926098400486051E-3</v>
      </c>
      <c r="I174" s="17">
        <f t="shared" si="13"/>
        <v>1.0034926098400485</v>
      </c>
      <c r="J174" s="20">
        <v>41730</v>
      </c>
      <c r="K174" s="21">
        <v>135.77099999999999</v>
      </c>
      <c r="L174" s="16">
        <f t="shared" si="14"/>
        <v>3.2775776859566598E-3</v>
      </c>
      <c r="M174" s="16">
        <f t="shared" si="15"/>
        <v>1.0032775776859566</v>
      </c>
    </row>
    <row r="175" spans="6:13" x14ac:dyDescent="0.3">
      <c r="F175" s="19">
        <v>41760</v>
      </c>
      <c r="G175" s="18">
        <v>237.9</v>
      </c>
      <c r="H175" s="17">
        <f t="shared" si="12"/>
        <v>1.8621269440940883E-3</v>
      </c>
      <c r="I175" s="17">
        <f t="shared" si="13"/>
        <v>1.0018621269440942</v>
      </c>
      <c r="J175" s="20">
        <v>41760</v>
      </c>
      <c r="K175" s="21">
        <v>136.21600000000001</v>
      </c>
      <c r="L175" s="16">
        <f t="shared" si="14"/>
        <v>1.5930580842190678E-3</v>
      </c>
      <c r="M175" s="16">
        <f t="shared" si="15"/>
        <v>1.0015930580842192</v>
      </c>
    </row>
    <row r="176" spans="6:13" x14ac:dyDescent="0.3">
      <c r="F176" s="19">
        <v>41791</v>
      </c>
      <c r="G176" s="18">
        <v>238.34299999999999</v>
      </c>
      <c r="H176" s="17">
        <f t="shared" si="12"/>
        <v>-3.9019396416084935E-4</v>
      </c>
      <c r="I176" s="17">
        <f t="shared" si="13"/>
        <v>0.99960980603583915</v>
      </c>
      <c r="J176" s="20">
        <v>41791</v>
      </c>
      <c r="K176" s="21">
        <v>136.43299999999999</v>
      </c>
      <c r="L176" s="16">
        <f t="shared" si="14"/>
        <v>-3.005138053110085E-4</v>
      </c>
      <c r="M176" s="16">
        <f t="shared" si="15"/>
        <v>0.99969948619468896</v>
      </c>
    </row>
    <row r="177" spans="6:13" x14ac:dyDescent="0.3">
      <c r="F177" s="19">
        <v>41821</v>
      </c>
      <c r="G177" s="18">
        <v>238.25</v>
      </c>
      <c r="H177" s="17">
        <f t="shared" si="12"/>
        <v>-1.6705141657922188E-3</v>
      </c>
      <c r="I177" s="17">
        <f t="shared" si="13"/>
        <v>0.99832948583420777</v>
      </c>
      <c r="J177" s="20">
        <v>41821</v>
      </c>
      <c r="K177" s="21">
        <v>136.392</v>
      </c>
      <c r="L177" s="16">
        <f t="shared" si="14"/>
        <v>-1.9429292040587891E-3</v>
      </c>
      <c r="M177" s="16">
        <f t="shared" si="15"/>
        <v>0.99805707079594119</v>
      </c>
    </row>
    <row r="178" spans="6:13" x14ac:dyDescent="0.3">
      <c r="F178" s="19">
        <v>41852</v>
      </c>
      <c r="G178" s="18">
        <v>237.852</v>
      </c>
      <c r="H178" s="17">
        <f t="shared" si="12"/>
        <v>7.5256882431092465E-4</v>
      </c>
      <c r="I178" s="17">
        <f t="shared" si="13"/>
        <v>1.0007525688243109</v>
      </c>
      <c r="J178" s="20">
        <v>41852</v>
      </c>
      <c r="K178" s="21">
        <v>136.12700000000001</v>
      </c>
      <c r="L178" s="16">
        <f t="shared" si="14"/>
        <v>6.1707082356919033E-4</v>
      </c>
      <c r="M178" s="16">
        <f t="shared" si="15"/>
        <v>1.0006170708235691</v>
      </c>
    </row>
    <row r="179" spans="6:13" x14ac:dyDescent="0.3">
      <c r="F179" s="19">
        <v>41883</v>
      </c>
      <c r="G179" s="18">
        <v>238.03100000000001</v>
      </c>
      <c r="H179" s="17">
        <f t="shared" si="12"/>
        <v>-2.5122778125538825E-3</v>
      </c>
      <c r="I179" s="17">
        <f t="shared" si="13"/>
        <v>0.99748772218744608</v>
      </c>
      <c r="J179" s="20">
        <v>41883</v>
      </c>
      <c r="K179" s="21">
        <v>136.21100000000001</v>
      </c>
      <c r="L179" s="16">
        <f t="shared" si="14"/>
        <v>-2.3492963123391032E-3</v>
      </c>
      <c r="M179" s="16">
        <f t="shared" si="15"/>
        <v>0.99765070368766084</v>
      </c>
    </row>
    <row r="180" spans="6:13" x14ac:dyDescent="0.3">
      <c r="F180" s="19">
        <v>41913</v>
      </c>
      <c r="G180" s="18">
        <v>237.43299999999999</v>
      </c>
      <c r="H180" s="17">
        <f t="shared" si="12"/>
        <v>-5.3994179410611935E-3</v>
      </c>
      <c r="I180" s="17">
        <f t="shared" si="13"/>
        <v>0.99460058205893875</v>
      </c>
      <c r="J180" s="20">
        <v>41913</v>
      </c>
      <c r="K180" s="21">
        <v>135.89099999999999</v>
      </c>
      <c r="L180" s="16">
        <f t="shared" si="14"/>
        <v>-5.7693298305258765E-3</v>
      </c>
      <c r="M180" s="16">
        <f t="shared" si="15"/>
        <v>0.99423067016947408</v>
      </c>
    </row>
    <row r="181" spans="6:13" x14ac:dyDescent="0.3">
      <c r="F181" s="19">
        <v>41944</v>
      </c>
      <c r="G181" s="18">
        <v>236.15100000000001</v>
      </c>
      <c r="H181" s="17">
        <f t="shared" si="12"/>
        <v>-5.6701009100109615E-3</v>
      </c>
      <c r="I181" s="17">
        <f t="shared" si="13"/>
        <v>0.99432989908998903</v>
      </c>
      <c r="J181" s="20">
        <v>41944</v>
      </c>
      <c r="K181" s="21">
        <v>135.107</v>
      </c>
      <c r="L181" s="16">
        <f t="shared" si="14"/>
        <v>-6.6613869007527788E-3</v>
      </c>
      <c r="M181" s="16">
        <f t="shared" si="15"/>
        <v>0.9933386130992472</v>
      </c>
    </row>
    <row r="182" spans="6:13" x14ac:dyDescent="0.3">
      <c r="F182" s="19">
        <v>41974</v>
      </c>
      <c r="G182" s="18">
        <v>234.81200000000001</v>
      </c>
      <c r="H182" s="17">
        <f t="shared" si="12"/>
        <v>-4.705892373473324E-3</v>
      </c>
      <c r="I182" s="17">
        <f t="shared" si="13"/>
        <v>0.9952941076265267</v>
      </c>
      <c r="J182" s="20">
        <v>41974</v>
      </c>
      <c r="K182" s="21">
        <v>134.20699999999999</v>
      </c>
      <c r="L182" s="16">
        <f t="shared" si="14"/>
        <v>-5.364846841073855E-3</v>
      </c>
      <c r="M182" s="16">
        <f t="shared" si="15"/>
        <v>0.99463515315892614</v>
      </c>
    </row>
    <row r="183" spans="6:13" x14ac:dyDescent="0.3">
      <c r="F183" s="19">
        <v>42005</v>
      </c>
      <c r="G183" s="18">
        <v>233.70699999999999</v>
      </c>
      <c r="H183" s="17">
        <f t="shared" si="12"/>
        <v>4.3430449237721368E-3</v>
      </c>
      <c r="I183" s="17">
        <f t="shared" si="13"/>
        <v>1.0043430449237722</v>
      </c>
      <c r="J183" s="20">
        <v>42005</v>
      </c>
      <c r="K183" s="21">
        <v>133.48699999999999</v>
      </c>
      <c r="L183" s="16">
        <f t="shared" si="14"/>
        <v>4.24011326945697E-3</v>
      </c>
      <c r="M183" s="16">
        <f t="shared" si="15"/>
        <v>1.0042401132694569</v>
      </c>
    </row>
    <row r="184" spans="6:13" x14ac:dyDescent="0.3">
      <c r="F184" s="19">
        <v>42036</v>
      </c>
      <c r="G184" s="18">
        <v>234.72200000000001</v>
      </c>
      <c r="H184" s="17">
        <f t="shared" si="12"/>
        <v>5.9517216110973464E-3</v>
      </c>
      <c r="I184" s="17">
        <f t="shared" si="13"/>
        <v>1.0059517216110974</v>
      </c>
      <c r="J184" s="20">
        <v>42036</v>
      </c>
      <c r="K184" s="21">
        <v>134.053</v>
      </c>
      <c r="L184" s="16">
        <f t="shared" si="14"/>
        <v>6.833118244276494E-3</v>
      </c>
      <c r="M184" s="16">
        <f t="shared" si="15"/>
        <v>1.0068331182442765</v>
      </c>
    </row>
    <row r="185" spans="6:13" x14ac:dyDescent="0.3">
      <c r="F185" s="19">
        <v>42064</v>
      </c>
      <c r="G185" s="18">
        <v>236.119</v>
      </c>
      <c r="H185" s="17">
        <f t="shared" si="12"/>
        <v>2.0328732545876857E-3</v>
      </c>
      <c r="I185" s="17">
        <f t="shared" si="13"/>
        <v>1.0020328732545878</v>
      </c>
      <c r="J185" s="20">
        <v>42064</v>
      </c>
      <c r="K185" s="21">
        <v>134.96899999999999</v>
      </c>
      <c r="L185" s="16">
        <f t="shared" si="14"/>
        <v>1.8745045158518943E-3</v>
      </c>
      <c r="M185" s="16">
        <f t="shared" si="15"/>
        <v>1.0018745045158519</v>
      </c>
    </row>
    <row r="186" spans="6:13" x14ac:dyDescent="0.3">
      <c r="F186" s="19">
        <v>42095</v>
      </c>
      <c r="G186" s="18">
        <v>236.59899999999999</v>
      </c>
      <c r="H186" s="17">
        <f t="shared" si="12"/>
        <v>5.0972320254946864E-3</v>
      </c>
      <c r="I186" s="17">
        <f t="shared" si="13"/>
        <v>1.0050972320254947</v>
      </c>
      <c r="J186" s="20">
        <v>42095</v>
      </c>
      <c r="K186" s="21">
        <v>135.22200000000001</v>
      </c>
      <c r="L186" s="16">
        <f t="shared" si="14"/>
        <v>5.5834109834198235E-3</v>
      </c>
      <c r="M186" s="16">
        <f t="shared" si="15"/>
        <v>1.0055834109834199</v>
      </c>
    </row>
    <row r="187" spans="6:13" x14ac:dyDescent="0.3">
      <c r="F187" s="19">
        <v>42125</v>
      </c>
      <c r="G187" s="18">
        <v>237.80500000000001</v>
      </c>
      <c r="H187" s="17">
        <f t="shared" si="12"/>
        <v>3.502869998528199E-3</v>
      </c>
      <c r="I187" s="17">
        <f t="shared" si="13"/>
        <v>1.0035028699985282</v>
      </c>
      <c r="J187" s="20">
        <v>42125</v>
      </c>
      <c r="K187" s="21">
        <v>135.977</v>
      </c>
      <c r="L187" s="16">
        <f t="shared" si="14"/>
        <v>3.044632548151432E-3</v>
      </c>
      <c r="M187" s="16">
        <f t="shared" si="15"/>
        <v>1.0030446325481515</v>
      </c>
    </row>
    <row r="188" spans="6:13" x14ac:dyDescent="0.3">
      <c r="F188" s="19">
        <v>42156</v>
      </c>
      <c r="G188" s="18">
        <v>238.63800000000001</v>
      </c>
      <c r="H188" s="17">
        <f t="shared" si="12"/>
        <v>6.7047159295632427E-5</v>
      </c>
      <c r="I188" s="17">
        <f t="shared" si="13"/>
        <v>1.0000670471592956</v>
      </c>
      <c r="J188" s="20">
        <v>42156</v>
      </c>
      <c r="K188" s="21">
        <v>136.39099999999999</v>
      </c>
      <c r="L188" s="16">
        <f t="shared" si="14"/>
        <v>-1.4663724146008028E-4</v>
      </c>
      <c r="M188" s="16">
        <f t="shared" si="15"/>
        <v>0.99985336275853987</v>
      </c>
    </row>
    <row r="189" spans="6:13" x14ac:dyDescent="0.3">
      <c r="F189" s="19">
        <v>42186</v>
      </c>
      <c r="G189" s="18">
        <v>238.654</v>
      </c>
      <c r="H189" s="17">
        <f t="shared" si="12"/>
        <v>-1.4162762828194536E-3</v>
      </c>
      <c r="I189" s="17">
        <f t="shared" si="13"/>
        <v>0.99858372371718052</v>
      </c>
      <c r="J189" s="20">
        <v>42186</v>
      </c>
      <c r="K189" s="21">
        <v>136.37100000000001</v>
      </c>
      <c r="L189" s="16">
        <f t="shared" si="14"/>
        <v>-1.8039025892602483E-3</v>
      </c>
      <c r="M189" s="16">
        <f t="shared" si="15"/>
        <v>0.99819609741073978</v>
      </c>
    </row>
    <row r="190" spans="6:13" x14ac:dyDescent="0.3">
      <c r="F190" s="19">
        <v>42217</v>
      </c>
      <c r="G190" s="18">
        <v>238.316</v>
      </c>
      <c r="H190" s="17">
        <f t="shared" si="12"/>
        <v>-1.5567565753034178E-3</v>
      </c>
      <c r="I190" s="17">
        <f t="shared" si="13"/>
        <v>0.99844324342469659</v>
      </c>
      <c r="J190" s="20">
        <v>42217</v>
      </c>
      <c r="K190" s="21">
        <v>136.125</v>
      </c>
      <c r="L190" s="16">
        <f t="shared" si="14"/>
        <v>-2.1157024793389233E-3</v>
      </c>
      <c r="M190" s="16">
        <f t="shared" si="15"/>
        <v>0.9978842975206611</v>
      </c>
    </row>
    <row r="191" spans="6:13" x14ac:dyDescent="0.3">
      <c r="F191" s="19">
        <v>42248</v>
      </c>
      <c r="G191" s="18">
        <v>237.94499999999999</v>
      </c>
      <c r="H191" s="17">
        <f t="shared" si="12"/>
        <v>-4.496837504465289E-4</v>
      </c>
      <c r="I191" s="17">
        <f t="shared" si="13"/>
        <v>0.99955031624955348</v>
      </c>
      <c r="J191" s="20">
        <v>42248</v>
      </c>
      <c r="K191" s="21">
        <v>135.83699999999999</v>
      </c>
      <c r="L191" s="16">
        <f t="shared" si="14"/>
        <v>-7.5089997570599654E-4</v>
      </c>
      <c r="M191" s="16">
        <f t="shared" si="15"/>
        <v>0.99924910002429401</v>
      </c>
    </row>
    <row r="192" spans="6:13" x14ac:dyDescent="0.3">
      <c r="F192" s="19">
        <v>42278</v>
      </c>
      <c r="G192" s="18">
        <v>237.83799999999999</v>
      </c>
      <c r="H192" s="17">
        <f t="shared" si="12"/>
        <v>-2.1106803790814804E-3</v>
      </c>
      <c r="I192" s="17">
        <f t="shared" si="13"/>
        <v>0.99788931962091854</v>
      </c>
      <c r="J192" s="20">
        <v>42278</v>
      </c>
      <c r="K192" s="21">
        <v>135.73500000000001</v>
      </c>
      <c r="L192" s="16">
        <f t="shared" si="14"/>
        <v>-2.5196154271191137E-3</v>
      </c>
      <c r="M192" s="16">
        <f t="shared" si="15"/>
        <v>0.99748038457288091</v>
      </c>
    </row>
    <row r="193" spans="6:13" x14ac:dyDescent="0.3">
      <c r="F193" s="19">
        <v>42309</v>
      </c>
      <c r="G193" s="18">
        <v>237.33600000000001</v>
      </c>
      <c r="H193" s="17">
        <f t="shared" si="12"/>
        <v>-3.4170964371187137E-3</v>
      </c>
      <c r="I193" s="17">
        <f t="shared" si="13"/>
        <v>0.99658290356288126</v>
      </c>
      <c r="J193" s="20">
        <v>42309</v>
      </c>
      <c r="K193" s="21">
        <v>135.393</v>
      </c>
      <c r="L193" s="16">
        <f t="shared" si="14"/>
        <v>-4.4684732593264775E-3</v>
      </c>
      <c r="M193" s="16">
        <f t="shared" si="15"/>
        <v>0.99553152674067347</v>
      </c>
    </row>
    <row r="194" spans="6:13" x14ac:dyDescent="0.3">
      <c r="F194" s="19">
        <v>42339</v>
      </c>
      <c r="G194" s="18">
        <v>236.52500000000001</v>
      </c>
      <c r="H194" s="17">
        <f t="shared" si="12"/>
        <v>1.6531022090687712E-3</v>
      </c>
      <c r="I194" s="17">
        <f t="shared" si="13"/>
        <v>1.0016531022090687</v>
      </c>
      <c r="J194" s="20">
        <v>42339</v>
      </c>
      <c r="K194" s="21">
        <v>134.78800000000001</v>
      </c>
      <c r="L194" s="16">
        <f t="shared" si="14"/>
        <v>1.3205923375967984E-3</v>
      </c>
      <c r="M194" s="16">
        <f t="shared" si="15"/>
        <v>1.0013205923375967</v>
      </c>
    </row>
    <row r="195" spans="6:13" x14ac:dyDescent="0.3">
      <c r="F195" s="19">
        <v>42370</v>
      </c>
      <c r="G195" s="18">
        <v>236.916</v>
      </c>
      <c r="H195" s="17">
        <f t="shared" ref="H195:H258" si="16">(G196-G195)/G195</f>
        <v>8.230765334548666E-4</v>
      </c>
      <c r="I195" s="17">
        <f t="shared" ref="I195:I258" si="17">H195+1</f>
        <v>1.0008230765334549</v>
      </c>
      <c r="J195" s="20">
        <v>42370</v>
      </c>
      <c r="K195" s="21">
        <v>134.96600000000001</v>
      </c>
      <c r="L195" s="16">
        <f t="shared" ref="L195:L258" si="18">(K196-K195)/K195</f>
        <v>-9.6320554806434422E-5</v>
      </c>
      <c r="M195" s="16">
        <f t="shared" ref="M195:M258" si="19">L195+1</f>
        <v>0.99990367944519354</v>
      </c>
    </row>
    <row r="196" spans="6:13" x14ac:dyDescent="0.3">
      <c r="F196" s="19">
        <v>42401</v>
      </c>
      <c r="G196" s="18">
        <v>237.11099999999999</v>
      </c>
      <c r="H196" s="17">
        <f t="shared" si="16"/>
        <v>4.3060001433928201E-3</v>
      </c>
      <c r="I196" s="17">
        <f t="shared" si="17"/>
        <v>1.0043060001433928</v>
      </c>
      <c r="J196" s="20">
        <v>42401</v>
      </c>
      <c r="K196" s="21">
        <v>134.953</v>
      </c>
      <c r="L196" s="16">
        <f t="shared" si="18"/>
        <v>5.2018110008669547E-3</v>
      </c>
      <c r="M196" s="16">
        <f t="shared" si="19"/>
        <v>1.0052018110008669</v>
      </c>
    </row>
    <row r="197" spans="6:13" x14ac:dyDescent="0.3">
      <c r="F197" s="19">
        <v>42430</v>
      </c>
      <c r="G197" s="18">
        <v>238.13200000000001</v>
      </c>
      <c r="H197" s="17">
        <f t="shared" si="16"/>
        <v>4.741067979103987E-3</v>
      </c>
      <c r="I197" s="17">
        <f t="shared" si="17"/>
        <v>1.004741067979104</v>
      </c>
      <c r="J197" s="20">
        <v>42430</v>
      </c>
      <c r="K197" s="21">
        <v>135.655</v>
      </c>
      <c r="L197" s="16">
        <f t="shared" si="18"/>
        <v>4.9906011573476279E-3</v>
      </c>
      <c r="M197" s="16">
        <f t="shared" si="19"/>
        <v>1.0049906011573477</v>
      </c>
    </row>
    <row r="198" spans="6:13" x14ac:dyDescent="0.3">
      <c r="F198" s="19">
        <v>42461</v>
      </c>
      <c r="G198" s="18">
        <v>239.261</v>
      </c>
      <c r="H198" s="17">
        <f t="shared" si="16"/>
        <v>4.0457909981151032E-3</v>
      </c>
      <c r="I198" s="17">
        <f t="shared" si="17"/>
        <v>1.0040457909981151</v>
      </c>
      <c r="J198" s="20">
        <v>42461</v>
      </c>
      <c r="K198" s="21">
        <v>136.33199999999999</v>
      </c>
      <c r="L198" s="16">
        <f t="shared" si="18"/>
        <v>4.1296247396063772E-3</v>
      </c>
      <c r="M198" s="16">
        <f t="shared" si="19"/>
        <v>1.0041296247396063</v>
      </c>
    </row>
    <row r="199" spans="6:13" x14ac:dyDescent="0.3">
      <c r="F199" s="19">
        <v>42491</v>
      </c>
      <c r="G199" s="18">
        <v>240.22900000000001</v>
      </c>
      <c r="H199" s="17">
        <f t="shared" si="16"/>
        <v>3.2843661672819985E-3</v>
      </c>
      <c r="I199" s="17">
        <f t="shared" si="17"/>
        <v>1.0032843661672819</v>
      </c>
      <c r="J199" s="20">
        <v>42491</v>
      </c>
      <c r="K199" s="21">
        <v>136.89500000000001</v>
      </c>
      <c r="L199" s="16">
        <f t="shared" si="18"/>
        <v>3.1703130136235616E-3</v>
      </c>
      <c r="M199" s="16">
        <f t="shared" si="19"/>
        <v>1.0031703130136236</v>
      </c>
    </row>
    <row r="200" spans="6:13" x14ac:dyDescent="0.3">
      <c r="F200" s="19">
        <v>42522</v>
      </c>
      <c r="G200" s="18">
        <v>241.018</v>
      </c>
      <c r="H200" s="17">
        <f t="shared" si="16"/>
        <v>-1.618136404749914E-3</v>
      </c>
      <c r="I200" s="17">
        <f t="shared" si="17"/>
        <v>0.99838186359525005</v>
      </c>
      <c r="J200" s="20">
        <v>42522</v>
      </c>
      <c r="K200" s="21">
        <v>137.32900000000001</v>
      </c>
      <c r="L200" s="16">
        <f t="shared" si="18"/>
        <v>-2.3447341785056523E-3</v>
      </c>
      <c r="M200" s="16">
        <f t="shared" si="19"/>
        <v>0.99765526582149433</v>
      </c>
    </row>
    <row r="201" spans="6:13" x14ac:dyDescent="0.3">
      <c r="F201" s="19">
        <v>42552</v>
      </c>
      <c r="G201" s="18">
        <v>240.62799999999999</v>
      </c>
      <c r="H201" s="17">
        <f t="shared" si="16"/>
        <v>9.184301078843844E-4</v>
      </c>
      <c r="I201" s="17">
        <f t="shared" si="17"/>
        <v>1.0009184301078844</v>
      </c>
      <c r="J201" s="20">
        <v>42552</v>
      </c>
      <c r="K201" s="21">
        <v>137.00700000000001</v>
      </c>
      <c r="L201" s="16">
        <f t="shared" si="18"/>
        <v>1.3867904559625025E-4</v>
      </c>
      <c r="M201" s="16">
        <f t="shared" si="19"/>
        <v>1.0001386790455962</v>
      </c>
    </row>
    <row r="202" spans="6:13" x14ac:dyDescent="0.3">
      <c r="F202" s="19">
        <v>42583</v>
      </c>
      <c r="G202" s="18">
        <v>240.84899999999999</v>
      </c>
      <c r="H202" s="17">
        <f t="shared" si="16"/>
        <v>2.4039958646289075E-3</v>
      </c>
      <c r="I202" s="17">
        <f t="shared" si="17"/>
        <v>1.0024039958646289</v>
      </c>
      <c r="J202" s="20">
        <v>42583</v>
      </c>
      <c r="K202" s="21">
        <v>137.02600000000001</v>
      </c>
      <c r="L202" s="16">
        <f t="shared" si="18"/>
        <v>2.2039612920175182E-3</v>
      </c>
      <c r="M202" s="16">
        <f t="shared" si="19"/>
        <v>1.0022039612920175</v>
      </c>
    </row>
    <row r="203" spans="6:13" x14ac:dyDescent="0.3">
      <c r="F203" s="19">
        <v>42614</v>
      </c>
      <c r="G203" s="18">
        <v>241.428</v>
      </c>
      <c r="H203" s="17">
        <f t="shared" si="16"/>
        <v>1.2467485130142988E-3</v>
      </c>
      <c r="I203" s="17">
        <f t="shared" si="17"/>
        <v>1.0012467485130143</v>
      </c>
      <c r="J203" s="20">
        <v>42614</v>
      </c>
      <c r="K203" s="21">
        <v>137.328</v>
      </c>
      <c r="L203" s="16">
        <f t="shared" si="18"/>
        <v>1.514621927065117E-3</v>
      </c>
      <c r="M203" s="16">
        <f t="shared" si="19"/>
        <v>1.0015146219270652</v>
      </c>
    </row>
    <row r="204" spans="6:13" x14ac:dyDescent="0.3">
      <c r="F204" s="19">
        <v>42644</v>
      </c>
      <c r="G204" s="18">
        <v>241.72900000000001</v>
      </c>
      <c r="H204" s="17">
        <f t="shared" si="16"/>
        <v>-1.5554608673349277E-3</v>
      </c>
      <c r="I204" s="17">
        <f t="shared" si="17"/>
        <v>0.99844453913266507</v>
      </c>
      <c r="J204" s="20">
        <v>42644</v>
      </c>
      <c r="K204" s="21">
        <v>137.536</v>
      </c>
      <c r="L204" s="16">
        <f t="shared" si="18"/>
        <v>-2.0576430898093258E-3</v>
      </c>
      <c r="M204" s="16">
        <f t="shared" si="19"/>
        <v>0.99794235691019062</v>
      </c>
    </row>
    <row r="205" spans="6:13" x14ac:dyDescent="0.3">
      <c r="F205" s="19">
        <v>42675</v>
      </c>
      <c r="G205" s="18">
        <v>241.35300000000001</v>
      </c>
      <c r="H205" s="17">
        <f t="shared" si="16"/>
        <v>3.2732139231739113E-4</v>
      </c>
      <c r="I205" s="17">
        <f t="shared" si="17"/>
        <v>1.0003273213923174</v>
      </c>
      <c r="J205" s="20">
        <v>42675</v>
      </c>
      <c r="K205" s="21">
        <v>137.25299999999999</v>
      </c>
      <c r="L205" s="16">
        <f t="shared" si="18"/>
        <v>-2.3314608788137432E-4</v>
      </c>
      <c r="M205" s="16">
        <f t="shared" si="19"/>
        <v>0.99976685391211861</v>
      </c>
    </row>
    <row r="206" spans="6:13" x14ac:dyDescent="0.3">
      <c r="F206" s="19">
        <v>42705</v>
      </c>
      <c r="G206" s="18">
        <v>241.43199999999999</v>
      </c>
      <c r="H206" s="17">
        <f t="shared" si="16"/>
        <v>5.8277278902548572E-3</v>
      </c>
      <c r="I206" s="17">
        <f t="shared" si="17"/>
        <v>1.0058277278902548</v>
      </c>
      <c r="J206" s="20">
        <v>42705</v>
      </c>
      <c r="K206" s="21">
        <v>137.221</v>
      </c>
      <c r="L206" s="16">
        <f t="shared" si="18"/>
        <v>5.932036641621858E-3</v>
      </c>
      <c r="M206" s="16">
        <f t="shared" si="19"/>
        <v>1.0059320366416218</v>
      </c>
    </row>
    <row r="207" spans="6:13" x14ac:dyDescent="0.3">
      <c r="F207" s="19">
        <v>42736</v>
      </c>
      <c r="G207" s="18">
        <v>242.839</v>
      </c>
      <c r="H207" s="17">
        <f t="shared" si="16"/>
        <v>3.1461173864165558E-3</v>
      </c>
      <c r="I207" s="17">
        <f t="shared" si="17"/>
        <v>1.0031461173864165</v>
      </c>
      <c r="J207" s="20">
        <v>42736</v>
      </c>
      <c r="K207" s="21">
        <v>138.035</v>
      </c>
      <c r="L207" s="16">
        <f t="shared" si="18"/>
        <v>2.6659905096533126E-3</v>
      </c>
      <c r="M207" s="16">
        <f t="shared" si="19"/>
        <v>1.0026659905096533</v>
      </c>
    </row>
    <row r="208" spans="6:13" x14ac:dyDescent="0.3">
      <c r="F208" s="19">
        <v>42767</v>
      </c>
      <c r="G208" s="18">
        <v>243.60300000000001</v>
      </c>
      <c r="H208" s="17">
        <f t="shared" si="16"/>
        <v>8.1279787194730394E-4</v>
      </c>
      <c r="I208" s="17">
        <f t="shared" si="17"/>
        <v>1.0008127978719472</v>
      </c>
      <c r="J208" s="20">
        <v>42767</v>
      </c>
      <c r="K208" s="21">
        <v>138.40299999999999</v>
      </c>
      <c r="L208" s="16">
        <f t="shared" si="18"/>
        <v>4.1906606070692939E-4</v>
      </c>
      <c r="M208" s="16">
        <f t="shared" si="19"/>
        <v>1.0004190660607069</v>
      </c>
    </row>
    <row r="209" spans="6:13" x14ac:dyDescent="0.3">
      <c r="F209" s="19">
        <v>42795</v>
      </c>
      <c r="G209" s="18">
        <v>243.80099999999999</v>
      </c>
      <c r="H209" s="17">
        <f t="shared" si="16"/>
        <v>2.9655333653266936E-3</v>
      </c>
      <c r="I209" s="17">
        <f t="shared" si="17"/>
        <v>1.0029655333653267</v>
      </c>
      <c r="J209" s="20">
        <v>42795</v>
      </c>
      <c r="K209" s="21">
        <v>138.46100000000001</v>
      </c>
      <c r="L209" s="16">
        <f t="shared" si="18"/>
        <v>2.5205653577540931E-3</v>
      </c>
      <c r="M209" s="16">
        <f t="shared" si="19"/>
        <v>1.002520565357754</v>
      </c>
    </row>
    <row r="210" spans="6:13" x14ac:dyDescent="0.3">
      <c r="F210" s="19">
        <v>42826</v>
      </c>
      <c r="G210" s="18">
        <v>244.524</v>
      </c>
      <c r="H210" s="17">
        <f t="shared" si="16"/>
        <v>8.5472182689635035E-4</v>
      </c>
      <c r="I210" s="17">
        <f t="shared" si="17"/>
        <v>1.0008547218268964</v>
      </c>
      <c r="J210" s="20">
        <v>42826</v>
      </c>
      <c r="K210" s="21">
        <v>138.81</v>
      </c>
      <c r="L210" s="16">
        <f t="shared" si="18"/>
        <v>8.0685829551181308E-4</v>
      </c>
      <c r="M210" s="16">
        <f t="shared" si="19"/>
        <v>1.0008068582955119</v>
      </c>
    </row>
    <row r="211" spans="6:13" x14ac:dyDescent="0.3">
      <c r="F211" s="19">
        <v>42856</v>
      </c>
      <c r="G211" s="18">
        <v>244.733</v>
      </c>
      <c r="H211" s="17">
        <f t="shared" si="16"/>
        <v>9.0711101486112789E-4</v>
      </c>
      <c r="I211" s="17">
        <f t="shared" si="17"/>
        <v>1.0009071110148611</v>
      </c>
      <c r="J211" s="20">
        <v>42856</v>
      </c>
      <c r="K211" s="21">
        <v>138.922</v>
      </c>
      <c r="L211" s="16">
        <f t="shared" si="18"/>
        <v>4.8228502325050948E-4</v>
      </c>
      <c r="M211" s="16">
        <f t="shared" si="19"/>
        <v>1.0004822850232504</v>
      </c>
    </row>
    <row r="212" spans="6:13" x14ac:dyDescent="0.3">
      <c r="F212" s="19">
        <v>42887</v>
      </c>
      <c r="G212" s="18">
        <v>244.95500000000001</v>
      </c>
      <c r="H212" s="17">
        <f t="shared" si="16"/>
        <v>-6.8992263885207946E-4</v>
      </c>
      <c r="I212" s="17">
        <f t="shared" si="17"/>
        <v>0.99931007736114796</v>
      </c>
      <c r="J212" s="20">
        <v>42887</v>
      </c>
      <c r="K212" s="21">
        <v>138.989</v>
      </c>
      <c r="L212" s="16">
        <f t="shared" si="18"/>
        <v>-1.6835864708718595E-3</v>
      </c>
      <c r="M212" s="16">
        <f t="shared" si="19"/>
        <v>0.99831641352912814</v>
      </c>
    </row>
    <row r="213" spans="6:13" x14ac:dyDescent="0.3">
      <c r="F213" s="19">
        <v>42917</v>
      </c>
      <c r="G213" s="18">
        <v>244.786</v>
      </c>
      <c r="H213" s="17">
        <f t="shared" si="16"/>
        <v>2.9944522971085113E-3</v>
      </c>
      <c r="I213" s="17">
        <f t="shared" si="17"/>
        <v>1.0029944522971086</v>
      </c>
      <c r="J213" s="20">
        <v>42917</v>
      </c>
      <c r="K213" s="21">
        <v>138.755</v>
      </c>
      <c r="L213" s="16">
        <f t="shared" si="18"/>
        <v>2.6881914165254621E-3</v>
      </c>
      <c r="M213" s="16">
        <f t="shared" si="19"/>
        <v>1.0026881914165255</v>
      </c>
    </row>
    <row r="214" spans="6:13" x14ac:dyDescent="0.3">
      <c r="F214" s="19">
        <v>42948</v>
      </c>
      <c r="G214" s="18">
        <v>245.51900000000001</v>
      </c>
      <c r="H214" s="17">
        <f t="shared" si="16"/>
        <v>5.2949058932301894E-3</v>
      </c>
      <c r="I214" s="17">
        <f t="shared" si="17"/>
        <v>1.0052949058932301</v>
      </c>
      <c r="J214" s="20">
        <v>42948</v>
      </c>
      <c r="K214" s="21">
        <v>139.12799999999999</v>
      </c>
      <c r="L214" s="16">
        <f t="shared" si="18"/>
        <v>5.3907193375884082E-3</v>
      </c>
      <c r="M214" s="16">
        <f t="shared" si="19"/>
        <v>1.0053907193375884</v>
      </c>
    </row>
    <row r="215" spans="6:13" x14ac:dyDescent="0.3">
      <c r="F215" s="19">
        <v>42979</v>
      </c>
      <c r="G215" s="18">
        <v>246.81899999999999</v>
      </c>
      <c r="H215" s="17">
        <f t="shared" si="16"/>
        <v>-6.3204210372774176E-4</v>
      </c>
      <c r="I215" s="17">
        <f t="shared" si="17"/>
        <v>0.99936795789627231</v>
      </c>
      <c r="J215" s="20">
        <v>42979</v>
      </c>
      <c r="K215" s="21">
        <v>139.87799999999999</v>
      </c>
      <c r="L215" s="16">
        <f t="shared" si="18"/>
        <v>-6.8631235791171753E-4</v>
      </c>
      <c r="M215" s="16">
        <f t="shared" si="19"/>
        <v>0.99931368764208828</v>
      </c>
    </row>
    <row r="216" spans="6:13" x14ac:dyDescent="0.3">
      <c r="F216" s="19">
        <v>43009</v>
      </c>
      <c r="G216" s="18">
        <v>246.66300000000001</v>
      </c>
      <c r="H216" s="17">
        <f t="shared" si="16"/>
        <v>2.4324685907494139E-5</v>
      </c>
      <c r="I216" s="17">
        <f t="shared" si="17"/>
        <v>1.0000243246859075</v>
      </c>
      <c r="J216" s="20">
        <v>43009</v>
      </c>
      <c r="K216" s="21">
        <v>139.78200000000001</v>
      </c>
      <c r="L216" s="16">
        <f t="shared" si="18"/>
        <v>-4.4354781016162179E-4</v>
      </c>
      <c r="M216" s="16">
        <f t="shared" si="19"/>
        <v>0.99955645218983835</v>
      </c>
    </row>
    <row r="217" spans="6:13" x14ac:dyDescent="0.3">
      <c r="F217" s="19">
        <v>43040</v>
      </c>
      <c r="G217" s="18">
        <v>246.66900000000001</v>
      </c>
      <c r="H217" s="17">
        <f t="shared" si="16"/>
        <v>-5.878322772622836E-4</v>
      </c>
      <c r="I217" s="17">
        <f t="shared" si="17"/>
        <v>0.99941216772273767</v>
      </c>
      <c r="J217" s="20">
        <v>43040</v>
      </c>
      <c r="K217" s="21">
        <v>139.72</v>
      </c>
      <c r="L217" s="16">
        <f t="shared" si="18"/>
        <v>-1.2453478385342585E-3</v>
      </c>
      <c r="M217" s="16">
        <f t="shared" si="19"/>
        <v>0.99875465216146575</v>
      </c>
    </row>
    <row r="218" spans="6:13" x14ac:dyDescent="0.3">
      <c r="F218" s="19">
        <v>43070</v>
      </c>
      <c r="G218" s="18">
        <v>246.524</v>
      </c>
      <c r="H218" s="17">
        <f t="shared" si="16"/>
        <v>5.4477454527753454E-3</v>
      </c>
      <c r="I218" s="17">
        <f t="shared" si="17"/>
        <v>1.0054477454527753</v>
      </c>
      <c r="J218" s="20">
        <v>43070</v>
      </c>
      <c r="K218" s="21">
        <v>139.54599999999999</v>
      </c>
      <c r="L218" s="16">
        <f t="shared" si="18"/>
        <v>4.9661043670188474E-3</v>
      </c>
      <c r="M218" s="16">
        <f t="shared" si="19"/>
        <v>1.0049661043670188</v>
      </c>
    </row>
    <row r="219" spans="6:13" x14ac:dyDescent="0.3">
      <c r="F219" s="19">
        <v>43101</v>
      </c>
      <c r="G219" s="18">
        <v>247.86699999999999</v>
      </c>
      <c r="H219" s="17">
        <f t="shared" si="16"/>
        <v>4.5346899748656489E-3</v>
      </c>
      <c r="I219" s="17">
        <f t="shared" si="17"/>
        <v>1.0045346899748657</v>
      </c>
      <c r="J219" s="20">
        <v>43101</v>
      </c>
      <c r="K219" s="21">
        <v>140.239</v>
      </c>
      <c r="L219" s="16">
        <f t="shared" si="18"/>
        <v>4.0359671703306677E-3</v>
      </c>
      <c r="M219" s="16">
        <f t="shared" si="19"/>
        <v>1.0040359671703307</v>
      </c>
    </row>
    <row r="220" spans="6:13" x14ac:dyDescent="0.3">
      <c r="F220" s="19">
        <v>43132</v>
      </c>
      <c r="G220" s="18">
        <v>248.99100000000001</v>
      </c>
      <c r="H220" s="17">
        <f t="shared" si="16"/>
        <v>2.2611259041490982E-3</v>
      </c>
      <c r="I220" s="17">
        <f t="shared" si="17"/>
        <v>1.0022611259041492</v>
      </c>
      <c r="J220" s="20">
        <v>43132</v>
      </c>
      <c r="K220" s="21">
        <v>140.80500000000001</v>
      </c>
      <c r="L220" s="16">
        <f t="shared" si="18"/>
        <v>2.3933809168707721E-3</v>
      </c>
      <c r="M220" s="16">
        <f t="shared" si="19"/>
        <v>1.0023933809168708</v>
      </c>
    </row>
    <row r="221" spans="6:13" x14ac:dyDescent="0.3">
      <c r="F221" s="19">
        <v>43160</v>
      </c>
      <c r="G221" s="18">
        <v>249.554</v>
      </c>
      <c r="H221" s="17">
        <f t="shared" si="16"/>
        <v>3.9750915633489751E-3</v>
      </c>
      <c r="I221" s="17">
        <f t="shared" si="17"/>
        <v>1.003975091563349</v>
      </c>
      <c r="J221" s="20">
        <v>43160</v>
      </c>
      <c r="K221" s="21">
        <v>141.142</v>
      </c>
      <c r="L221" s="16">
        <f t="shared" si="18"/>
        <v>3.6842329001998712E-3</v>
      </c>
      <c r="M221" s="16">
        <f t="shared" si="19"/>
        <v>1.0036842329001998</v>
      </c>
    </row>
    <row r="222" spans="6:13" x14ac:dyDescent="0.3">
      <c r="F222" s="19">
        <v>43191</v>
      </c>
      <c r="G222" s="18">
        <v>250.54599999999999</v>
      </c>
      <c r="H222" s="17">
        <f t="shared" si="16"/>
        <v>4.1589169254348567E-3</v>
      </c>
      <c r="I222" s="17">
        <f t="shared" si="17"/>
        <v>1.0041589169254348</v>
      </c>
      <c r="J222" s="20">
        <v>43191</v>
      </c>
      <c r="K222" s="21">
        <v>141.66200000000001</v>
      </c>
      <c r="L222" s="16">
        <f t="shared" si="18"/>
        <v>3.4165831345031161E-3</v>
      </c>
      <c r="M222" s="16">
        <f t="shared" si="19"/>
        <v>1.0034165831345032</v>
      </c>
    </row>
    <row r="223" spans="6:13" x14ac:dyDescent="0.3">
      <c r="F223" s="19">
        <v>43221</v>
      </c>
      <c r="G223" s="18">
        <v>251.58799999999999</v>
      </c>
      <c r="H223" s="17">
        <f t="shared" si="16"/>
        <v>1.5938757015438354E-3</v>
      </c>
      <c r="I223" s="17">
        <f t="shared" si="17"/>
        <v>1.0015938757015439</v>
      </c>
      <c r="J223" s="20">
        <v>43221</v>
      </c>
      <c r="K223" s="21">
        <v>142.14599999999999</v>
      </c>
      <c r="L223" s="16">
        <f t="shared" si="18"/>
        <v>1.4281091272353985E-3</v>
      </c>
      <c r="M223" s="16">
        <f t="shared" si="19"/>
        <v>1.0014281091272355</v>
      </c>
    </row>
    <row r="224" spans="6:13" x14ac:dyDescent="0.3">
      <c r="F224" s="19">
        <v>43252</v>
      </c>
      <c r="G224" s="18">
        <v>251.989</v>
      </c>
      <c r="H224" s="17">
        <f t="shared" si="16"/>
        <v>6.7463262285242246E-5</v>
      </c>
      <c r="I224" s="17">
        <f t="shared" si="17"/>
        <v>1.0000674632622852</v>
      </c>
      <c r="J224" s="20">
        <v>43252</v>
      </c>
      <c r="K224" s="21">
        <v>142.34899999999999</v>
      </c>
      <c r="L224" s="16">
        <f t="shared" si="18"/>
        <v>-2.2479961222054433E-4</v>
      </c>
      <c r="M224" s="16">
        <f t="shared" si="19"/>
        <v>0.99977520038777945</v>
      </c>
    </row>
    <row r="225" spans="6:13" x14ac:dyDescent="0.3">
      <c r="F225" s="19">
        <v>43282</v>
      </c>
      <c r="G225" s="18">
        <v>252.006</v>
      </c>
      <c r="H225" s="17">
        <f t="shared" si="16"/>
        <v>5.5554232835720722E-4</v>
      </c>
      <c r="I225" s="17">
        <f t="shared" si="17"/>
        <v>1.0005555423283572</v>
      </c>
      <c r="J225" s="20">
        <v>43282</v>
      </c>
      <c r="K225" s="21">
        <v>142.31700000000001</v>
      </c>
      <c r="L225" s="16">
        <f t="shared" si="18"/>
        <v>0</v>
      </c>
      <c r="M225" s="16">
        <f t="shared" si="19"/>
        <v>1</v>
      </c>
    </row>
    <row r="226" spans="6:13" x14ac:dyDescent="0.3">
      <c r="F226" s="19">
        <v>43313</v>
      </c>
      <c r="G226" s="18">
        <v>252.14599999999999</v>
      </c>
      <c r="H226" s="17">
        <f t="shared" si="16"/>
        <v>1.1620251758901843E-3</v>
      </c>
      <c r="I226" s="17">
        <f t="shared" si="17"/>
        <v>1.0011620251758901</v>
      </c>
      <c r="J226" s="20">
        <v>43313</v>
      </c>
      <c r="K226" s="21">
        <v>142.31700000000001</v>
      </c>
      <c r="L226" s="16">
        <f t="shared" si="18"/>
        <v>1.2085696016638703E-3</v>
      </c>
      <c r="M226" s="16">
        <f t="shared" si="19"/>
        <v>1.0012085696016639</v>
      </c>
    </row>
    <row r="227" spans="6:13" x14ac:dyDescent="0.3">
      <c r="F227" s="19">
        <v>43344</v>
      </c>
      <c r="G227" s="18">
        <v>252.43899999999999</v>
      </c>
      <c r="H227" s="17">
        <f t="shared" si="16"/>
        <v>1.7667634557259296E-3</v>
      </c>
      <c r="I227" s="17">
        <f t="shared" si="17"/>
        <v>1.0017667634557259</v>
      </c>
      <c r="J227" s="20">
        <v>43344</v>
      </c>
      <c r="K227" s="21">
        <v>142.489</v>
      </c>
      <c r="L227" s="16">
        <f t="shared" si="18"/>
        <v>1.4808160629942262E-3</v>
      </c>
      <c r="M227" s="16">
        <f t="shared" si="19"/>
        <v>1.0014808160629942</v>
      </c>
    </row>
    <row r="228" spans="6:13" x14ac:dyDescent="0.3">
      <c r="F228" s="19">
        <v>43374</v>
      </c>
      <c r="G228" s="18">
        <v>252.88499999999999</v>
      </c>
      <c r="H228" s="17">
        <f t="shared" si="16"/>
        <v>-3.3493485181010341E-3</v>
      </c>
      <c r="I228" s="17">
        <f t="shared" si="17"/>
        <v>0.99665065148189902</v>
      </c>
      <c r="J228" s="20">
        <v>43374</v>
      </c>
      <c r="K228" s="21">
        <v>142.69999999999999</v>
      </c>
      <c r="L228" s="16">
        <f t="shared" si="18"/>
        <v>-3.2375613174491177E-3</v>
      </c>
      <c r="M228" s="16">
        <f t="shared" si="19"/>
        <v>0.99676243868255088</v>
      </c>
    </row>
    <row r="229" spans="6:13" x14ac:dyDescent="0.3">
      <c r="F229" s="19">
        <v>43405</v>
      </c>
      <c r="G229" s="18">
        <v>252.03800000000001</v>
      </c>
      <c r="H229" s="17">
        <f t="shared" si="16"/>
        <v>-3.1939628151310788E-3</v>
      </c>
      <c r="I229" s="17">
        <f t="shared" si="17"/>
        <v>0.99680603718486893</v>
      </c>
      <c r="J229" s="20">
        <v>43405</v>
      </c>
      <c r="K229" s="21">
        <v>142.238</v>
      </c>
      <c r="L229" s="16">
        <f t="shared" si="18"/>
        <v>-3.7894233608458169E-3</v>
      </c>
      <c r="M229" s="16">
        <f t="shared" si="19"/>
        <v>0.99621057663915413</v>
      </c>
    </row>
    <row r="230" spans="6:13" x14ac:dyDescent="0.3">
      <c r="F230" s="19">
        <v>43435</v>
      </c>
      <c r="G230" s="18">
        <v>251.233</v>
      </c>
      <c r="H230" s="17">
        <f t="shared" si="16"/>
        <v>1.9065966652469419E-3</v>
      </c>
      <c r="I230" s="17">
        <f t="shared" si="17"/>
        <v>1.001906596665247</v>
      </c>
      <c r="J230" s="20">
        <v>43435</v>
      </c>
      <c r="K230" s="21">
        <v>141.69900000000001</v>
      </c>
      <c r="L230" s="16">
        <f t="shared" si="18"/>
        <v>2.1312782729588243E-3</v>
      </c>
      <c r="M230" s="16">
        <f t="shared" si="19"/>
        <v>1.0021312782729588</v>
      </c>
    </row>
    <row r="231" spans="6:13" x14ac:dyDescent="0.3">
      <c r="F231" s="19">
        <v>43466</v>
      </c>
      <c r="G231" s="18">
        <v>251.71199999999999</v>
      </c>
      <c r="H231" s="17">
        <f t="shared" si="16"/>
        <v>4.227053140096703E-3</v>
      </c>
      <c r="I231" s="17">
        <f t="shared" si="17"/>
        <v>1.0042270531400967</v>
      </c>
      <c r="J231" s="20">
        <v>43466</v>
      </c>
      <c r="K231" s="21">
        <v>142.001</v>
      </c>
      <c r="L231" s="16">
        <f t="shared" si="18"/>
        <v>4.014056239040522E-3</v>
      </c>
      <c r="M231" s="16">
        <f t="shared" si="19"/>
        <v>1.0040140562390405</v>
      </c>
    </row>
    <row r="232" spans="6:13" x14ac:dyDescent="0.3">
      <c r="F232" s="19">
        <v>43497</v>
      </c>
      <c r="G232" s="18">
        <v>252.77600000000001</v>
      </c>
      <c r="H232" s="17">
        <f t="shared" si="16"/>
        <v>5.6413583568059771E-3</v>
      </c>
      <c r="I232" s="17">
        <f t="shared" si="17"/>
        <v>1.005641358356806</v>
      </c>
      <c r="J232" s="20">
        <v>43497</v>
      </c>
      <c r="K232" s="21">
        <v>142.571</v>
      </c>
      <c r="L232" s="16">
        <f t="shared" si="18"/>
        <v>5.0921996759509232E-3</v>
      </c>
      <c r="M232" s="16">
        <f t="shared" si="19"/>
        <v>1.005092199675951</v>
      </c>
    </row>
    <row r="233" spans="6:13" x14ac:dyDescent="0.3">
      <c r="F233" s="19">
        <v>43525</v>
      </c>
      <c r="G233" s="18">
        <v>254.202</v>
      </c>
      <c r="H233" s="17">
        <f t="shared" si="16"/>
        <v>5.2950016128905505E-3</v>
      </c>
      <c r="I233" s="17">
        <f t="shared" si="17"/>
        <v>1.0052950016128905</v>
      </c>
      <c r="J233" s="20">
        <v>43525</v>
      </c>
      <c r="K233" s="21">
        <v>143.297</v>
      </c>
      <c r="L233" s="16">
        <f t="shared" si="18"/>
        <v>4.389484776373481E-3</v>
      </c>
      <c r="M233" s="16">
        <f t="shared" si="19"/>
        <v>1.0043894847763735</v>
      </c>
    </row>
    <row r="234" spans="6:13" x14ac:dyDescent="0.3">
      <c r="F234" s="19">
        <v>43556</v>
      </c>
      <c r="G234" s="18">
        <v>255.548</v>
      </c>
      <c r="H234" s="17">
        <f t="shared" si="16"/>
        <v>2.128758589384314E-3</v>
      </c>
      <c r="I234" s="17">
        <f t="shared" si="17"/>
        <v>1.0021287585893843</v>
      </c>
      <c r="J234" s="20">
        <v>43556</v>
      </c>
      <c r="K234" s="21">
        <v>143.92599999999999</v>
      </c>
      <c r="L234" s="16">
        <f t="shared" si="18"/>
        <v>1.7856398426969763E-3</v>
      </c>
      <c r="M234" s="16">
        <f t="shared" si="19"/>
        <v>1.001785639842697</v>
      </c>
    </row>
    <row r="235" spans="6:13" x14ac:dyDescent="0.3">
      <c r="F235" s="19">
        <v>43586</v>
      </c>
      <c r="G235" s="18">
        <v>256.09199999999998</v>
      </c>
      <c r="H235" s="17">
        <f t="shared" si="16"/>
        <v>1.9914718148160711E-4</v>
      </c>
      <c r="I235" s="17">
        <f t="shared" si="17"/>
        <v>1.0001991471814815</v>
      </c>
      <c r="J235" s="20">
        <v>43586</v>
      </c>
      <c r="K235" s="21">
        <v>144.18299999999999</v>
      </c>
      <c r="L235" s="16">
        <f t="shared" si="18"/>
        <v>4.1613782484760533E-4</v>
      </c>
      <c r="M235" s="16">
        <f t="shared" si="19"/>
        <v>1.0004161378248475</v>
      </c>
    </row>
    <row r="236" spans="6:13" x14ac:dyDescent="0.3">
      <c r="F236" s="19">
        <v>43617</v>
      </c>
      <c r="G236" s="18">
        <v>256.14299999999997</v>
      </c>
      <c r="H236" s="17">
        <f t="shared" si="16"/>
        <v>1.6709416224532942E-3</v>
      </c>
      <c r="I236" s="17">
        <f t="shared" si="17"/>
        <v>1.0016709416224534</v>
      </c>
      <c r="J236" s="20">
        <v>43617</v>
      </c>
      <c r="K236" s="21">
        <v>144.24299999999999</v>
      </c>
      <c r="L236" s="16">
        <f t="shared" si="18"/>
        <v>1.1508357424623505E-3</v>
      </c>
      <c r="M236" s="16">
        <f t="shared" si="19"/>
        <v>1.0011508357424623</v>
      </c>
    </row>
    <row r="237" spans="6:13" x14ac:dyDescent="0.3">
      <c r="F237" s="19">
        <v>43647</v>
      </c>
      <c r="G237" s="18">
        <v>256.57100000000003</v>
      </c>
      <c r="H237" s="17">
        <f t="shared" si="16"/>
        <v>-5.0668236082930843E-5</v>
      </c>
      <c r="I237" s="17">
        <f t="shared" si="17"/>
        <v>0.99994933176391709</v>
      </c>
      <c r="J237" s="20">
        <v>43647</v>
      </c>
      <c r="K237" s="21">
        <v>144.40899999999999</v>
      </c>
      <c r="L237" s="16">
        <f t="shared" si="18"/>
        <v>-1.454202992887326E-4</v>
      </c>
      <c r="M237" s="16">
        <f t="shared" si="19"/>
        <v>0.99985457970071123</v>
      </c>
    </row>
    <row r="238" spans="6:13" x14ac:dyDescent="0.3">
      <c r="F238" s="19">
        <v>43678</v>
      </c>
      <c r="G238" s="18">
        <v>256.55799999999999</v>
      </c>
      <c r="H238" s="17">
        <f t="shared" si="16"/>
        <v>7.8344857693005805E-4</v>
      </c>
      <c r="I238" s="17">
        <f t="shared" si="17"/>
        <v>1.00078344857693</v>
      </c>
      <c r="J238" s="20">
        <v>43678</v>
      </c>
      <c r="K238" s="21">
        <v>144.38800000000001</v>
      </c>
      <c r="L238" s="16">
        <f t="shared" si="18"/>
        <v>2.7703133224362162E-4</v>
      </c>
      <c r="M238" s="16">
        <f t="shared" si="19"/>
        <v>1.0002770313322435</v>
      </c>
    </row>
    <row r="239" spans="6:13" x14ac:dyDescent="0.3">
      <c r="F239" s="19">
        <v>43709</v>
      </c>
      <c r="G239" s="18">
        <v>256.75900000000001</v>
      </c>
      <c r="H239" s="17">
        <f t="shared" si="16"/>
        <v>2.2861905522298695E-3</v>
      </c>
      <c r="I239" s="17">
        <f t="shared" si="17"/>
        <v>1.0022861905522298</v>
      </c>
      <c r="J239" s="20">
        <v>43709</v>
      </c>
      <c r="K239" s="21">
        <v>144.428</v>
      </c>
      <c r="L239" s="16">
        <f t="shared" si="18"/>
        <v>1.3916969008779005E-3</v>
      </c>
      <c r="M239" s="16">
        <f t="shared" si="19"/>
        <v>1.0013916969008778</v>
      </c>
    </row>
    <row r="240" spans="6:13" x14ac:dyDescent="0.3">
      <c r="F240" s="19">
        <v>43739</v>
      </c>
      <c r="G240" s="18">
        <v>257.346</v>
      </c>
      <c r="H240" s="17">
        <f t="shared" si="16"/>
        <v>-5.3624303466918782E-4</v>
      </c>
      <c r="I240" s="17">
        <f t="shared" si="17"/>
        <v>0.99946375696533085</v>
      </c>
      <c r="J240" s="20">
        <v>43739</v>
      </c>
      <c r="K240" s="21">
        <v>144.62899999999999</v>
      </c>
      <c r="L240" s="16">
        <f t="shared" si="18"/>
        <v>-7.6748093397582785E-4</v>
      </c>
      <c r="M240" s="16">
        <f t="shared" si="19"/>
        <v>0.99923251906602417</v>
      </c>
    </row>
    <row r="241" spans="6:13" x14ac:dyDescent="0.3">
      <c r="F241" s="19">
        <v>43770</v>
      </c>
      <c r="G241" s="18">
        <v>257.20800000000003</v>
      </c>
      <c r="H241" s="17">
        <f t="shared" si="16"/>
        <v>-9.0976952505379791E-4</v>
      </c>
      <c r="I241" s="17">
        <f t="shared" si="17"/>
        <v>0.99909023047494616</v>
      </c>
      <c r="J241" s="20">
        <v>43770</v>
      </c>
      <c r="K241" s="21">
        <v>144.518</v>
      </c>
      <c r="L241" s="16">
        <f t="shared" si="18"/>
        <v>-1.8475207240620263E-3</v>
      </c>
      <c r="M241" s="16">
        <f t="shared" si="19"/>
        <v>0.99815247927593798</v>
      </c>
    </row>
    <row r="242" spans="6:13" x14ac:dyDescent="0.3">
      <c r="F242" s="19">
        <v>43800</v>
      </c>
      <c r="G242" s="18">
        <v>256.97399999999999</v>
      </c>
      <c r="H242" s="17">
        <f t="shared" si="16"/>
        <v>3.8797699378147754E-3</v>
      </c>
      <c r="I242" s="17">
        <f t="shared" si="17"/>
        <v>1.0038797699378148</v>
      </c>
      <c r="J242" s="20">
        <v>43800</v>
      </c>
      <c r="K242" s="21">
        <v>144.251</v>
      </c>
      <c r="L242" s="16">
        <f t="shared" si="18"/>
        <v>3.8959868562435159E-3</v>
      </c>
      <c r="M242" s="16">
        <f t="shared" si="19"/>
        <v>1.0038959868562436</v>
      </c>
    </row>
    <row r="243" spans="6:13" x14ac:dyDescent="0.3">
      <c r="F243" s="19">
        <v>43831</v>
      </c>
      <c r="G243" s="18">
        <v>257.971</v>
      </c>
      <c r="H243" s="17">
        <f t="shared" si="16"/>
        <v>2.740618131495376E-3</v>
      </c>
      <c r="I243" s="17">
        <f t="shared" si="17"/>
        <v>1.0027406181314953</v>
      </c>
      <c r="J243" s="20">
        <v>43831</v>
      </c>
      <c r="K243" s="21">
        <v>144.81299999999999</v>
      </c>
      <c r="L243" s="16">
        <f t="shared" si="18"/>
        <v>2.6240738055286743E-3</v>
      </c>
      <c r="M243" s="16">
        <f t="shared" si="19"/>
        <v>1.0026240738055288</v>
      </c>
    </row>
    <row r="244" spans="6:13" x14ac:dyDescent="0.3">
      <c r="F244" s="19">
        <v>43862</v>
      </c>
      <c r="G244" s="18">
        <v>258.678</v>
      </c>
      <c r="H244" s="17">
        <f t="shared" si="16"/>
        <v>-2.1764510317846442E-3</v>
      </c>
      <c r="I244" s="17">
        <f t="shared" si="17"/>
        <v>0.99782354896821535</v>
      </c>
      <c r="J244" s="20">
        <v>43862</v>
      </c>
      <c r="K244" s="21">
        <v>145.19300000000001</v>
      </c>
      <c r="L244" s="16">
        <f t="shared" si="18"/>
        <v>-1.9284676258497387E-3</v>
      </c>
      <c r="M244" s="16">
        <f t="shared" si="19"/>
        <v>0.99807153237415025</v>
      </c>
    </row>
    <row r="245" spans="6:13" x14ac:dyDescent="0.3">
      <c r="F245" s="19">
        <v>43891</v>
      </c>
      <c r="G245" s="18">
        <v>258.11500000000001</v>
      </c>
      <c r="H245" s="17">
        <f t="shared" si="16"/>
        <v>-6.6869418669972648E-3</v>
      </c>
      <c r="I245" s="17">
        <f t="shared" si="17"/>
        <v>0.99331305813300275</v>
      </c>
      <c r="J245" s="20">
        <v>43891</v>
      </c>
      <c r="K245" s="21">
        <v>144.91300000000001</v>
      </c>
      <c r="L245" s="16">
        <f t="shared" si="18"/>
        <v>-5.3204336394941446E-3</v>
      </c>
      <c r="M245" s="16">
        <f t="shared" si="19"/>
        <v>0.99467956636050581</v>
      </c>
    </row>
    <row r="246" spans="6:13" x14ac:dyDescent="0.3">
      <c r="F246" s="19">
        <v>43922</v>
      </c>
      <c r="G246" s="18">
        <v>256.38900000000001</v>
      </c>
      <c r="H246" s="17">
        <f t="shared" si="16"/>
        <v>1.9501616684005367E-5</v>
      </c>
      <c r="I246" s="17">
        <f t="shared" si="17"/>
        <v>1.000019501616684</v>
      </c>
      <c r="J246" s="20">
        <v>43922</v>
      </c>
      <c r="K246" s="21">
        <v>144.142</v>
      </c>
      <c r="L246" s="16">
        <f t="shared" si="18"/>
        <v>-8.6026279640906346E-4</v>
      </c>
      <c r="M246" s="16">
        <f t="shared" si="19"/>
        <v>0.99913973720359095</v>
      </c>
    </row>
    <row r="247" spans="6:13" x14ac:dyDescent="0.3">
      <c r="F247" s="19">
        <v>43952</v>
      </c>
      <c r="G247" s="18">
        <v>256.39400000000001</v>
      </c>
      <c r="H247" s="17">
        <f t="shared" si="16"/>
        <v>5.4720469277752988E-3</v>
      </c>
      <c r="I247" s="17">
        <f t="shared" si="17"/>
        <v>1.0054720469277754</v>
      </c>
      <c r="J247" s="20">
        <v>43952</v>
      </c>
      <c r="K247" s="21">
        <v>144.018</v>
      </c>
      <c r="L247" s="16">
        <f t="shared" si="18"/>
        <v>5.7562249163299571E-3</v>
      </c>
      <c r="M247" s="16">
        <f t="shared" si="19"/>
        <v>1.0057562249163299</v>
      </c>
    </row>
    <row r="248" spans="6:13" x14ac:dyDescent="0.3">
      <c r="F248" s="19">
        <v>43983</v>
      </c>
      <c r="G248" s="18">
        <v>257.79700000000003</v>
      </c>
      <c r="H248" s="17">
        <f t="shared" si="16"/>
        <v>5.0582435016698155E-3</v>
      </c>
      <c r="I248" s="17">
        <f t="shared" si="17"/>
        <v>1.0050582435016697</v>
      </c>
      <c r="J248" s="20">
        <v>43983</v>
      </c>
      <c r="K248" s="21">
        <v>144.84700000000001</v>
      </c>
      <c r="L248" s="16">
        <f t="shared" si="18"/>
        <v>6.2134528157297402E-3</v>
      </c>
      <c r="M248" s="16">
        <f t="shared" si="19"/>
        <v>1.0062134528157298</v>
      </c>
    </row>
    <row r="249" spans="6:13" x14ac:dyDescent="0.3">
      <c r="F249" s="19">
        <v>44013</v>
      </c>
      <c r="G249" s="18">
        <v>259.101</v>
      </c>
      <c r="H249" s="17">
        <f t="shared" si="16"/>
        <v>3.1532105240813708E-3</v>
      </c>
      <c r="I249" s="17">
        <f t="shared" si="17"/>
        <v>1.0031532105240815</v>
      </c>
      <c r="J249" s="20">
        <v>44013</v>
      </c>
      <c r="K249" s="21">
        <v>145.74700000000001</v>
      </c>
      <c r="L249" s="16">
        <f t="shared" si="18"/>
        <v>3.5884100530370854E-3</v>
      </c>
      <c r="M249" s="16">
        <f t="shared" si="19"/>
        <v>1.003588410053037</v>
      </c>
    </row>
    <row r="250" spans="6:13" x14ac:dyDescent="0.3">
      <c r="F250" s="19">
        <v>44044</v>
      </c>
      <c r="G250" s="18">
        <v>259.91800000000001</v>
      </c>
      <c r="H250" s="17">
        <f t="shared" si="16"/>
        <v>1.3927469432665931E-3</v>
      </c>
      <c r="I250" s="17">
        <f t="shared" si="17"/>
        <v>1.0013927469432666</v>
      </c>
      <c r="J250" s="20">
        <v>44044</v>
      </c>
      <c r="K250" s="21">
        <v>146.27000000000001</v>
      </c>
      <c r="L250" s="16">
        <f t="shared" si="18"/>
        <v>1.0049907704928649E-3</v>
      </c>
      <c r="M250" s="16">
        <f t="shared" si="19"/>
        <v>1.0010049907704928</v>
      </c>
    </row>
    <row r="251" spans="6:13" x14ac:dyDescent="0.3">
      <c r="F251" s="19">
        <v>44075</v>
      </c>
      <c r="G251" s="18">
        <v>260.27999999999997</v>
      </c>
      <c r="H251" s="17">
        <f t="shared" si="16"/>
        <v>4.1493775933611535E-4</v>
      </c>
      <c r="I251" s="17">
        <f t="shared" si="17"/>
        <v>1.0004149377593361</v>
      </c>
      <c r="J251" s="20">
        <v>44075</v>
      </c>
      <c r="K251" s="21">
        <v>146.417</v>
      </c>
      <c r="L251" s="16">
        <f t="shared" si="18"/>
        <v>-2.3904328049336203E-4</v>
      </c>
      <c r="M251" s="16">
        <f t="shared" si="19"/>
        <v>0.9997609567195066</v>
      </c>
    </row>
    <row r="252" spans="6:13" x14ac:dyDescent="0.3">
      <c r="F252" s="19">
        <v>44105</v>
      </c>
      <c r="G252" s="18">
        <v>260.38799999999998</v>
      </c>
      <c r="H252" s="17">
        <f t="shared" si="16"/>
        <v>-6.1062721784410894E-4</v>
      </c>
      <c r="I252" s="17">
        <f t="shared" si="17"/>
        <v>0.99938937278215589</v>
      </c>
      <c r="J252" s="20">
        <v>44105</v>
      </c>
      <c r="K252" s="21">
        <v>146.38200000000001</v>
      </c>
      <c r="L252" s="16">
        <f t="shared" si="18"/>
        <v>-9.5640174338385031E-4</v>
      </c>
      <c r="M252" s="16">
        <f t="shared" si="19"/>
        <v>0.99904359825661615</v>
      </c>
    </row>
    <row r="253" spans="6:13" x14ac:dyDescent="0.3">
      <c r="F253" s="19">
        <v>44136</v>
      </c>
      <c r="G253" s="18">
        <v>260.22899999999998</v>
      </c>
      <c r="H253" s="17">
        <f t="shared" si="16"/>
        <v>9.4147846704250703E-4</v>
      </c>
      <c r="I253" s="17">
        <f t="shared" si="17"/>
        <v>1.0009414784670425</v>
      </c>
      <c r="J253" s="20">
        <v>44136</v>
      </c>
      <c r="K253" s="21">
        <v>146.24199999999999</v>
      </c>
      <c r="L253" s="16">
        <f t="shared" si="18"/>
        <v>1.1351048262468841E-3</v>
      </c>
      <c r="M253" s="16">
        <f t="shared" si="19"/>
        <v>1.0011351048262469</v>
      </c>
    </row>
    <row r="254" spans="6:13" x14ac:dyDescent="0.3">
      <c r="F254" s="19">
        <v>44166</v>
      </c>
      <c r="G254" s="18">
        <v>260.47399999999999</v>
      </c>
      <c r="H254" s="17">
        <f t="shared" si="16"/>
        <v>4.2537834870275118E-3</v>
      </c>
      <c r="I254" s="17">
        <f t="shared" si="17"/>
        <v>1.0042537834870275</v>
      </c>
      <c r="J254" s="20">
        <v>44166</v>
      </c>
      <c r="K254" s="21">
        <v>146.40799999999999</v>
      </c>
      <c r="L254" s="16">
        <f t="shared" si="18"/>
        <v>4.8972733730398132E-3</v>
      </c>
      <c r="M254" s="16">
        <f t="shared" si="19"/>
        <v>1.0048972733730399</v>
      </c>
    </row>
    <row r="255" spans="6:13" x14ac:dyDescent="0.3">
      <c r="F255" s="19">
        <v>44197</v>
      </c>
      <c r="G255" s="18">
        <v>261.58199999999999</v>
      </c>
      <c r="H255" s="17">
        <f t="shared" si="16"/>
        <v>5.4743827939231918E-3</v>
      </c>
      <c r="I255" s="17">
        <f t="shared" si="17"/>
        <v>1.0054743827939232</v>
      </c>
      <c r="J255" s="20">
        <v>44197</v>
      </c>
      <c r="K255" s="21">
        <v>147.125</v>
      </c>
      <c r="L255" s="16">
        <f t="shared" si="18"/>
        <v>4.8937977909940446E-3</v>
      </c>
      <c r="M255" s="16">
        <f t="shared" si="19"/>
        <v>1.004893797790994</v>
      </c>
    </row>
    <row r="256" spans="6:13" x14ac:dyDescent="0.3">
      <c r="F256" s="19">
        <v>44228</v>
      </c>
      <c r="G256" s="18">
        <v>263.01400000000001</v>
      </c>
      <c r="H256" s="17">
        <f t="shared" si="16"/>
        <v>7.0832731337495325E-3</v>
      </c>
      <c r="I256" s="17">
        <f t="shared" si="17"/>
        <v>1.0070832731337496</v>
      </c>
      <c r="J256" s="20">
        <v>44228</v>
      </c>
      <c r="K256" s="21">
        <v>147.845</v>
      </c>
      <c r="L256" s="16">
        <f t="shared" si="18"/>
        <v>6.0942202982854372E-3</v>
      </c>
      <c r="M256" s="16">
        <f t="shared" si="19"/>
        <v>1.0060942202982854</v>
      </c>
    </row>
    <row r="257" spans="6:13" x14ac:dyDescent="0.3">
      <c r="F257" s="19">
        <v>44256</v>
      </c>
      <c r="G257" s="18">
        <v>264.87700000000001</v>
      </c>
      <c r="H257" s="17">
        <f t="shared" si="16"/>
        <v>8.2189091540600511E-3</v>
      </c>
      <c r="I257" s="17">
        <f t="shared" si="17"/>
        <v>1.0082189091540601</v>
      </c>
      <c r="J257" s="20">
        <v>44256</v>
      </c>
      <c r="K257" s="21">
        <v>148.74600000000001</v>
      </c>
      <c r="L257" s="16">
        <f t="shared" si="18"/>
        <v>7.7783604264987441E-3</v>
      </c>
      <c r="M257" s="16">
        <f t="shared" si="19"/>
        <v>1.0077783604264987</v>
      </c>
    </row>
    <row r="258" spans="6:13" x14ac:dyDescent="0.3">
      <c r="F258" s="19">
        <v>44287</v>
      </c>
      <c r="G258" s="18">
        <v>267.05399999999997</v>
      </c>
      <c r="H258" s="17">
        <f t="shared" si="16"/>
        <v>8.0171051547627808E-3</v>
      </c>
      <c r="I258" s="17">
        <f t="shared" si="17"/>
        <v>1.0080171051547628</v>
      </c>
      <c r="J258" s="20">
        <v>44287</v>
      </c>
      <c r="K258" s="21">
        <v>149.90299999999999</v>
      </c>
      <c r="L258" s="16">
        <f t="shared" si="18"/>
        <v>7.464827254958205E-3</v>
      </c>
      <c r="M258" s="16">
        <f t="shared" si="19"/>
        <v>1.0074648272549582</v>
      </c>
    </row>
    <row r="259" spans="6:13" x14ac:dyDescent="0.3">
      <c r="F259" s="19">
        <v>44317</v>
      </c>
      <c r="G259" s="18">
        <v>269.19499999999999</v>
      </c>
      <c r="H259" s="17">
        <f t="shared" ref="H259:H309" si="20">(G260-G259)/G259</f>
        <v>9.2906629023571507E-3</v>
      </c>
      <c r="I259" s="17">
        <f t="shared" ref="I259:I317" si="21">H259+1</f>
        <v>1.0092906629023572</v>
      </c>
      <c r="J259" s="20">
        <v>44317</v>
      </c>
      <c r="K259" s="21">
        <v>151.02199999999999</v>
      </c>
      <c r="L259" s="16">
        <f t="shared" ref="L259:L309" si="22">(K260-K259)/K259</f>
        <v>8.4292354756260422E-3</v>
      </c>
      <c r="M259" s="16">
        <f t="shared" ref="M259:M317" si="23">L259+1</f>
        <v>1.0084292354756261</v>
      </c>
    </row>
    <row r="260" spans="6:13" x14ac:dyDescent="0.3">
      <c r="F260" s="19">
        <v>44348</v>
      </c>
      <c r="G260" s="18">
        <v>271.69600000000003</v>
      </c>
      <c r="H260" s="17">
        <f t="shared" si="20"/>
        <v>4.8105235262939439E-3</v>
      </c>
      <c r="I260" s="17">
        <f t="shared" si="21"/>
        <v>1.0048105235262939</v>
      </c>
      <c r="J260" s="20">
        <v>44348</v>
      </c>
      <c r="K260" s="21">
        <v>152.29499999999999</v>
      </c>
      <c r="L260" s="16">
        <f t="shared" si="22"/>
        <v>5.1282051282051672E-3</v>
      </c>
      <c r="M260" s="16">
        <f t="shared" si="23"/>
        <v>1.0051282051282051</v>
      </c>
    </row>
    <row r="261" spans="6:13" x14ac:dyDescent="0.3">
      <c r="F261" s="19">
        <v>44378</v>
      </c>
      <c r="G261" s="18">
        <v>273.00299999999999</v>
      </c>
      <c r="H261" s="17">
        <f t="shared" si="20"/>
        <v>2.0659113636114675E-3</v>
      </c>
      <c r="I261" s="17">
        <f t="shared" si="21"/>
        <v>1.0020659113636115</v>
      </c>
      <c r="J261" s="20">
        <v>44378</v>
      </c>
      <c r="K261" s="21">
        <v>153.07599999999999</v>
      </c>
      <c r="L261" s="16">
        <f t="shared" si="22"/>
        <v>1.4698581096971068E-3</v>
      </c>
      <c r="M261" s="16">
        <f t="shared" si="23"/>
        <v>1.001469858109697</v>
      </c>
    </row>
    <row r="262" spans="6:13" x14ac:dyDescent="0.3">
      <c r="F262" s="19">
        <v>44409</v>
      </c>
      <c r="G262" s="18">
        <v>273.56700000000001</v>
      </c>
      <c r="H262" s="17">
        <f t="shared" si="20"/>
        <v>2.7159708590582744E-3</v>
      </c>
      <c r="I262" s="17">
        <f t="shared" si="21"/>
        <v>1.0027159708590583</v>
      </c>
      <c r="J262" s="20">
        <v>44409</v>
      </c>
      <c r="K262" s="21">
        <v>153.30099999999999</v>
      </c>
      <c r="L262" s="16">
        <f t="shared" si="22"/>
        <v>2.8245086463886157E-3</v>
      </c>
      <c r="M262" s="16">
        <f t="shared" si="23"/>
        <v>1.0028245086463887</v>
      </c>
    </row>
    <row r="263" spans="6:13" x14ac:dyDescent="0.3">
      <c r="F263" s="19">
        <v>44440</v>
      </c>
      <c r="G263" s="18">
        <v>274.31</v>
      </c>
      <c r="H263" s="17">
        <f t="shared" si="20"/>
        <v>8.3081185520031946E-3</v>
      </c>
      <c r="I263" s="17">
        <f t="shared" si="21"/>
        <v>1.0083081185520031</v>
      </c>
      <c r="J263" s="20">
        <v>44440</v>
      </c>
      <c r="K263" s="21">
        <v>153.73400000000001</v>
      </c>
      <c r="L263" s="16">
        <f t="shared" si="22"/>
        <v>7.4804532504194072E-3</v>
      </c>
      <c r="M263" s="16">
        <f t="shared" si="23"/>
        <v>1.0074804532504193</v>
      </c>
    </row>
    <row r="264" spans="6:13" x14ac:dyDescent="0.3">
      <c r="F264" s="19">
        <v>44470</v>
      </c>
      <c r="G264" s="18">
        <v>276.589</v>
      </c>
      <c r="H264" s="17">
        <f t="shared" si="20"/>
        <v>4.9134275043475357E-3</v>
      </c>
      <c r="I264" s="17">
        <f t="shared" si="21"/>
        <v>1.0049134275043476</v>
      </c>
      <c r="J264" s="20">
        <v>44470</v>
      </c>
      <c r="K264" s="21">
        <v>154.88399999999999</v>
      </c>
      <c r="L264" s="16">
        <f t="shared" si="22"/>
        <v>4.222514914387702E-3</v>
      </c>
      <c r="M264" s="16">
        <f t="shared" si="23"/>
        <v>1.0042225149143877</v>
      </c>
    </row>
    <row r="265" spans="6:13" x14ac:dyDescent="0.3">
      <c r="F265" s="19">
        <v>44501</v>
      </c>
      <c r="G265" s="18">
        <v>277.94799999999998</v>
      </c>
      <c r="H265" s="17">
        <f t="shared" si="20"/>
        <v>3.0725171614835937E-3</v>
      </c>
      <c r="I265" s="17">
        <f t="shared" si="21"/>
        <v>1.0030725171614836</v>
      </c>
      <c r="J265" s="20">
        <v>44501</v>
      </c>
      <c r="K265" s="21">
        <v>155.53800000000001</v>
      </c>
      <c r="L265" s="16">
        <f t="shared" si="22"/>
        <v>2.4945672440173897E-3</v>
      </c>
      <c r="M265" s="16">
        <f t="shared" si="23"/>
        <v>1.0024945672440173</v>
      </c>
    </row>
    <row r="266" spans="6:13" x14ac:dyDescent="0.3">
      <c r="F266" s="19">
        <v>44531</v>
      </c>
      <c r="G266" s="18">
        <v>278.80200000000002</v>
      </c>
      <c r="H266" s="17">
        <f t="shared" si="20"/>
        <v>8.414573783545324E-3</v>
      </c>
      <c r="I266" s="17">
        <f t="shared" si="21"/>
        <v>1.0084145737835453</v>
      </c>
      <c r="J266" s="20">
        <v>44531</v>
      </c>
      <c r="K266" s="21">
        <v>155.92599999999999</v>
      </c>
      <c r="L266" s="16">
        <f t="shared" si="22"/>
        <v>8.0294498672447805E-3</v>
      </c>
      <c r="M266" s="16">
        <f t="shared" si="23"/>
        <v>1.0080294498672449</v>
      </c>
    </row>
    <row r="267" spans="6:13" x14ac:dyDescent="0.3">
      <c r="F267" s="19">
        <v>44562</v>
      </c>
      <c r="G267" s="18">
        <v>281.14800000000002</v>
      </c>
      <c r="H267" s="17">
        <f t="shared" si="20"/>
        <v>9.1339792564769564E-3</v>
      </c>
      <c r="I267" s="17">
        <f t="shared" si="21"/>
        <v>1.0091339792564769</v>
      </c>
      <c r="J267" s="20">
        <v>44562</v>
      </c>
      <c r="K267" s="21">
        <v>157.178</v>
      </c>
      <c r="L267" s="16">
        <f t="shared" si="22"/>
        <v>9.1552252859814533E-3</v>
      </c>
      <c r="M267" s="16">
        <f t="shared" si="23"/>
        <v>1.0091552252859814</v>
      </c>
    </row>
    <row r="268" spans="6:13" x14ac:dyDescent="0.3">
      <c r="F268" s="19">
        <v>44593</v>
      </c>
      <c r="G268" s="18">
        <v>283.71600000000001</v>
      </c>
      <c r="H268" s="17">
        <f t="shared" si="20"/>
        <v>1.3351379548562685E-2</v>
      </c>
      <c r="I268" s="17">
        <f t="shared" si="21"/>
        <v>1.0133513795485627</v>
      </c>
      <c r="J268" s="20">
        <v>44593</v>
      </c>
      <c r="K268" s="21">
        <v>158.61699999999999</v>
      </c>
      <c r="L268" s="16">
        <f t="shared" si="22"/>
        <v>1.3983368743577409E-2</v>
      </c>
      <c r="M268" s="16">
        <f t="shared" si="23"/>
        <v>1.0139833687435773</v>
      </c>
    </row>
    <row r="269" spans="6:13" x14ac:dyDescent="0.3">
      <c r="F269" s="19">
        <v>44621</v>
      </c>
      <c r="G269" s="18">
        <v>287.50400000000002</v>
      </c>
      <c r="H269" s="17">
        <f t="shared" si="20"/>
        <v>5.5825310256551602E-3</v>
      </c>
      <c r="I269" s="17">
        <f t="shared" si="21"/>
        <v>1.0055825310256552</v>
      </c>
      <c r="J269" s="20">
        <v>44621</v>
      </c>
      <c r="K269" s="21">
        <v>160.83500000000001</v>
      </c>
      <c r="L269" s="16">
        <f t="shared" si="22"/>
        <v>5.9191096465321487E-3</v>
      </c>
      <c r="M269" s="16">
        <f t="shared" si="23"/>
        <v>1.0059191096465321</v>
      </c>
    </row>
    <row r="270" spans="6:13" x14ac:dyDescent="0.3">
      <c r="F270" s="19">
        <v>44652</v>
      </c>
      <c r="G270" s="18">
        <v>289.10899999999998</v>
      </c>
      <c r="H270" s="17">
        <f t="shared" si="20"/>
        <v>1.1023523999598809E-2</v>
      </c>
      <c r="I270" s="17">
        <f t="shared" si="21"/>
        <v>1.0110235239995988</v>
      </c>
      <c r="J270" s="20">
        <v>44652</v>
      </c>
      <c r="K270" s="21">
        <v>161.78700000000001</v>
      </c>
      <c r="L270" s="16">
        <f t="shared" si="22"/>
        <v>1.1298806455401255E-2</v>
      </c>
      <c r="M270" s="16">
        <f t="shared" si="23"/>
        <v>1.0112988064554012</v>
      </c>
    </row>
    <row r="271" spans="6:13" x14ac:dyDescent="0.3">
      <c r="F271" s="19">
        <v>44682</v>
      </c>
      <c r="G271" s="18">
        <v>292.29599999999999</v>
      </c>
      <c r="H271" s="17">
        <f t="shared" si="20"/>
        <v>1.373607575881978E-2</v>
      </c>
      <c r="I271" s="17">
        <f t="shared" si="21"/>
        <v>1.0137360757588199</v>
      </c>
      <c r="J271" s="20">
        <v>44682</v>
      </c>
      <c r="K271" s="21">
        <v>163.61500000000001</v>
      </c>
      <c r="L271" s="16">
        <f t="shared" si="22"/>
        <v>1.1844879748189274E-2</v>
      </c>
      <c r="M271" s="16">
        <f t="shared" si="23"/>
        <v>1.0118448797481894</v>
      </c>
    </row>
    <row r="272" spans="6:13" x14ac:dyDescent="0.3">
      <c r="F272" s="19">
        <v>44713</v>
      </c>
      <c r="G272" s="18">
        <v>296.31099999999998</v>
      </c>
      <c r="H272" s="17">
        <f t="shared" si="20"/>
        <v>-1.1811913833765257E-4</v>
      </c>
      <c r="I272" s="17">
        <f t="shared" si="21"/>
        <v>0.9998818808616623</v>
      </c>
      <c r="J272" s="20">
        <v>44713</v>
      </c>
      <c r="K272" s="21">
        <v>165.553</v>
      </c>
      <c r="L272" s="16">
        <f t="shared" si="22"/>
        <v>-3.5034097841774373E-4</v>
      </c>
      <c r="M272" s="16">
        <f t="shared" si="23"/>
        <v>0.9996496590215822</v>
      </c>
    </row>
    <row r="273" spans="6:13" x14ac:dyDescent="0.3">
      <c r="F273" s="19">
        <v>44743</v>
      </c>
      <c r="G273" s="18">
        <v>296.27600000000001</v>
      </c>
      <c r="H273" s="17">
        <f t="shared" si="20"/>
        <v>-3.5439927635049141E-4</v>
      </c>
      <c r="I273" s="17">
        <f t="shared" si="21"/>
        <v>0.9996456007236495</v>
      </c>
      <c r="J273" s="20">
        <v>44743</v>
      </c>
      <c r="K273" s="21">
        <v>165.495</v>
      </c>
      <c r="L273" s="16">
        <f t="shared" si="22"/>
        <v>-6.4050273422154472E-4</v>
      </c>
      <c r="M273" s="16">
        <f t="shared" si="23"/>
        <v>0.99935949726577844</v>
      </c>
    </row>
    <row r="274" spans="6:13" x14ac:dyDescent="0.3">
      <c r="F274" s="19">
        <v>44774</v>
      </c>
      <c r="G274" s="18">
        <v>296.17099999999999</v>
      </c>
      <c r="H274" s="17">
        <f t="shared" si="20"/>
        <v>2.1507845130009371E-3</v>
      </c>
      <c r="I274" s="17">
        <f t="shared" si="21"/>
        <v>1.0021507845130009</v>
      </c>
      <c r="J274" s="20">
        <v>44774</v>
      </c>
      <c r="K274" s="21">
        <v>165.38900000000001</v>
      </c>
      <c r="L274" s="16">
        <f t="shared" si="22"/>
        <v>2.7571362061563276E-3</v>
      </c>
      <c r="M274" s="16">
        <f t="shared" si="23"/>
        <v>1.0027571362061563</v>
      </c>
    </row>
    <row r="275" spans="6:13" x14ac:dyDescent="0.3">
      <c r="F275" s="19">
        <v>44805</v>
      </c>
      <c r="G275" s="18">
        <v>296.80799999999999</v>
      </c>
      <c r="H275" s="17">
        <f t="shared" si="20"/>
        <v>4.0564944341123146E-3</v>
      </c>
      <c r="I275" s="17">
        <f t="shared" si="21"/>
        <v>1.0040564944341124</v>
      </c>
      <c r="J275" s="20">
        <v>44805</v>
      </c>
      <c r="K275" s="21">
        <v>165.845</v>
      </c>
      <c r="L275" s="16">
        <f t="shared" si="22"/>
        <v>4.6067110856523258E-3</v>
      </c>
      <c r="M275" s="16">
        <f t="shared" si="23"/>
        <v>1.0046067110856522</v>
      </c>
    </row>
    <row r="276" spans="6:13" x14ac:dyDescent="0.3">
      <c r="F276" s="19">
        <v>44835</v>
      </c>
      <c r="G276" s="18">
        <v>298.012</v>
      </c>
      <c r="H276" s="17">
        <f t="shared" si="20"/>
        <v>-1.0100264418882049E-3</v>
      </c>
      <c r="I276" s="17">
        <f t="shared" si="21"/>
        <v>0.99898997355811181</v>
      </c>
      <c r="J276" s="20">
        <v>44835</v>
      </c>
      <c r="K276" s="21">
        <v>166.60900000000001</v>
      </c>
      <c r="L276" s="16">
        <f t="shared" si="22"/>
        <v>-6.6623051575856289E-4</v>
      </c>
      <c r="M276" s="16">
        <f t="shared" si="23"/>
        <v>0.99933376948424146</v>
      </c>
    </row>
    <row r="277" spans="6:13" x14ac:dyDescent="0.3">
      <c r="F277" s="19">
        <v>44866</v>
      </c>
      <c r="G277" s="18">
        <v>297.71100000000001</v>
      </c>
      <c r="H277" s="17">
        <f t="shared" si="20"/>
        <v>-3.0700914645410723E-3</v>
      </c>
      <c r="I277" s="17">
        <f t="shared" si="21"/>
        <v>0.99692990853545893</v>
      </c>
      <c r="J277" s="20">
        <v>44866</v>
      </c>
      <c r="K277" s="21">
        <v>166.49799999999999</v>
      </c>
      <c r="L277" s="16">
        <f t="shared" si="22"/>
        <v>-3.1471849511705901E-3</v>
      </c>
      <c r="M277" s="16">
        <f t="shared" si="23"/>
        <v>0.99685281504882939</v>
      </c>
    </row>
    <row r="278" spans="6:13" x14ac:dyDescent="0.3">
      <c r="F278" s="19">
        <v>44896</v>
      </c>
      <c r="G278" s="18">
        <v>296.79700000000003</v>
      </c>
      <c r="H278" s="17">
        <f t="shared" si="20"/>
        <v>7.9953638345400743E-3</v>
      </c>
      <c r="I278" s="17">
        <f t="shared" si="21"/>
        <v>1.00799536383454</v>
      </c>
      <c r="J278" s="20">
        <v>44896</v>
      </c>
      <c r="K278" s="21">
        <v>165.97399999999999</v>
      </c>
      <c r="L278" s="16">
        <f t="shared" si="22"/>
        <v>7.7903768060057985E-3</v>
      </c>
      <c r="M278" s="16">
        <f t="shared" si="23"/>
        <v>1.0077903768060057</v>
      </c>
    </row>
    <row r="279" spans="6:13" x14ac:dyDescent="0.3">
      <c r="F279" s="19">
        <v>44927</v>
      </c>
      <c r="G279" s="18">
        <v>299.17</v>
      </c>
      <c r="H279" s="17">
        <f t="shared" si="20"/>
        <v>5.5821105057323895E-3</v>
      </c>
      <c r="I279" s="17">
        <f t="shared" si="21"/>
        <v>1.0055821105057323</v>
      </c>
      <c r="J279" s="20">
        <v>44927</v>
      </c>
      <c r="K279" s="21">
        <v>167.267</v>
      </c>
      <c r="L279" s="16">
        <f t="shared" si="22"/>
        <v>4.794729384756064E-3</v>
      </c>
      <c r="M279" s="16">
        <f t="shared" si="23"/>
        <v>1.0047947293847561</v>
      </c>
    </row>
    <row r="280" spans="6:13" x14ac:dyDescent="0.3">
      <c r="F280" s="19">
        <v>44958</v>
      </c>
      <c r="G280" s="18">
        <v>300.83999999999997</v>
      </c>
      <c r="H280" s="17">
        <f t="shared" si="20"/>
        <v>3.3107299561229817E-3</v>
      </c>
      <c r="I280" s="17">
        <f t="shared" si="21"/>
        <v>1.003310729956123</v>
      </c>
      <c r="J280" s="20">
        <v>44958</v>
      </c>
      <c r="K280" s="21">
        <v>168.06899999999999</v>
      </c>
      <c r="L280" s="16">
        <f t="shared" si="22"/>
        <v>2.5703728825661864E-3</v>
      </c>
      <c r="M280" s="16">
        <f t="shared" si="23"/>
        <v>1.0025703728825661</v>
      </c>
    </row>
    <row r="281" spans="6:13" x14ac:dyDescent="0.3">
      <c r="F281" s="19">
        <v>44986</v>
      </c>
      <c r="G281" s="18">
        <v>301.83600000000001</v>
      </c>
      <c r="H281" s="17">
        <f t="shared" si="20"/>
        <v>5.0590386832584143E-3</v>
      </c>
      <c r="I281" s="17">
        <f t="shared" si="21"/>
        <v>1.0050590386832585</v>
      </c>
      <c r="J281" s="20">
        <v>44986</v>
      </c>
      <c r="K281" s="21">
        <v>168.501</v>
      </c>
      <c r="L281" s="16">
        <f t="shared" si="22"/>
        <v>5.1928475201927582E-3</v>
      </c>
      <c r="M281" s="16">
        <f t="shared" si="23"/>
        <v>1.0051928475201928</v>
      </c>
    </row>
    <row r="282" spans="6:13" x14ac:dyDescent="0.3">
      <c r="F282" s="19">
        <v>45017</v>
      </c>
      <c r="G282" s="18">
        <v>303.363</v>
      </c>
      <c r="H282" s="17">
        <f t="shared" si="20"/>
        <v>2.5184350102023319E-3</v>
      </c>
      <c r="I282" s="17">
        <f t="shared" si="21"/>
        <v>1.0025184350102023</v>
      </c>
      <c r="J282" s="20">
        <v>45017</v>
      </c>
      <c r="K282" s="21">
        <v>169.376</v>
      </c>
      <c r="L282" s="16">
        <f t="shared" si="22"/>
        <v>2.3498016247874322E-3</v>
      </c>
      <c r="M282" s="16">
        <f t="shared" si="23"/>
        <v>1.0023498016247874</v>
      </c>
    </row>
    <row r="283" spans="6:13" x14ac:dyDescent="0.3">
      <c r="F283" s="19">
        <v>45047</v>
      </c>
      <c r="G283" s="18">
        <v>304.12700000000001</v>
      </c>
      <c r="H283" s="17">
        <f t="shared" si="20"/>
        <v>3.2289142364866352E-3</v>
      </c>
      <c r="I283" s="17">
        <f t="shared" si="21"/>
        <v>1.0032289142364865</v>
      </c>
      <c r="J283" s="20">
        <v>45047</v>
      </c>
      <c r="K283" s="21">
        <v>169.774</v>
      </c>
      <c r="L283" s="16">
        <f t="shared" si="22"/>
        <v>3.1159070293448722E-3</v>
      </c>
      <c r="M283" s="16">
        <f t="shared" si="23"/>
        <v>1.0031159070293449</v>
      </c>
    </row>
    <row r="284" spans="6:13" x14ac:dyDescent="0.3">
      <c r="F284" s="19">
        <v>45078</v>
      </c>
      <c r="G284" s="18">
        <v>305.10899999999998</v>
      </c>
      <c r="H284" s="17">
        <f t="shared" si="20"/>
        <v>1.9075150192226177E-3</v>
      </c>
      <c r="I284" s="17">
        <f t="shared" si="21"/>
        <v>1.0019075150192227</v>
      </c>
      <c r="J284" s="20">
        <v>45078</v>
      </c>
      <c r="K284" s="21">
        <v>170.303</v>
      </c>
      <c r="L284" s="16">
        <f t="shared" si="22"/>
        <v>9.2775817219905383E-4</v>
      </c>
      <c r="M284" s="16">
        <f t="shared" si="23"/>
        <v>1.0009277581721991</v>
      </c>
    </row>
    <row r="285" spans="6:13" x14ac:dyDescent="0.3">
      <c r="F285" s="19">
        <v>45108</v>
      </c>
      <c r="G285" s="18">
        <v>305.69099999999997</v>
      </c>
      <c r="H285" s="17">
        <f t="shared" si="20"/>
        <v>4.3671550683534567E-3</v>
      </c>
      <c r="I285" s="17">
        <f t="shared" si="21"/>
        <v>1.0043671550683535</v>
      </c>
      <c r="J285" s="20">
        <v>45108</v>
      </c>
      <c r="K285" s="21">
        <v>170.46100000000001</v>
      </c>
      <c r="L285" s="16">
        <f t="shared" si="22"/>
        <v>3.912918497486071E-3</v>
      </c>
      <c r="M285" s="16">
        <f t="shared" si="23"/>
        <v>1.003912918497486</v>
      </c>
    </row>
    <row r="286" spans="6:13" x14ac:dyDescent="0.3">
      <c r="F286" s="19">
        <v>45139</v>
      </c>
      <c r="G286" s="18">
        <v>307.02600000000001</v>
      </c>
      <c r="H286" s="17">
        <f t="shared" si="20"/>
        <v>2.4851315523765961E-3</v>
      </c>
      <c r="I286" s="17">
        <f t="shared" si="21"/>
        <v>1.0024851315523766</v>
      </c>
      <c r="J286" s="20">
        <v>45139</v>
      </c>
      <c r="K286" s="21">
        <v>171.12799999999999</v>
      </c>
      <c r="L286" s="16">
        <f t="shared" si="22"/>
        <v>2.1153756252630966E-3</v>
      </c>
      <c r="M286" s="16">
        <f t="shared" si="23"/>
        <v>1.0021153756252632</v>
      </c>
    </row>
    <row r="287" spans="6:13" x14ac:dyDescent="0.3">
      <c r="F287" s="19">
        <v>45170</v>
      </c>
      <c r="G287" s="18">
        <v>307.78899999999999</v>
      </c>
      <c r="H287" s="17">
        <f t="shared" si="20"/>
        <v>-3.8337952298488575E-4</v>
      </c>
      <c r="I287" s="17">
        <f t="shared" si="21"/>
        <v>0.99961662047701516</v>
      </c>
      <c r="J287" s="20">
        <v>45170</v>
      </c>
      <c r="K287" s="21">
        <v>171.49</v>
      </c>
      <c r="L287" s="16">
        <f t="shared" si="22"/>
        <v>-4.023558224970367E-4</v>
      </c>
      <c r="M287" s="16">
        <f t="shared" si="23"/>
        <v>0.99959764417750296</v>
      </c>
    </row>
    <row r="288" spans="6:13" x14ac:dyDescent="0.3">
      <c r="F288" s="19">
        <v>45200</v>
      </c>
      <c r="G288" s="18">
        <v>307.67099999999999</v>
      </c>
      <c r="H288" s="17">
        <f t="shared" si="20"/>
        <v>-2.0151395484137424E-3</v>
      </c>
      <c r="I288" s="17">
        <f t="shared" si="21"/>
        <v>0.9979848604515863</v>
      </c>
      <c r="J288" s="20">
        <v>45200</v>
      </c>
      <c r="K288" s="21">
        <v>171.42099999999999</v>
      </c>
      <c r="L288" s="16">
        <f t="shared" si="22"/>
        <v>-2.7709557172108106E-3</v>
      </c>
      <c r="M288" s="16">
        <f t="shared" si="23"/>
        <v>0.99722904428278913</v>
      </c>
    </row>
    <row r="289" spans="6:13" x14ac:dyDescent="0.3">
      <c r="F289" s="19">
        <v>45231</v>
      </c>
      <c r="G289" s="18">
        <v>307.05099999999999</v>
      </c>
      <c r="H289" s="17">
        <f t="shared" si="20"/>
        <v>-9.933203278934342E-4</v>
      </c>
      <c r="I289" s="17">
        <f t="shared" si="21"/>
        <v>0.99900667967210655</v>
      </c>
      <c r="J289" s="20">
        <v>45231</v>
      </c>
      <c r="K289" s="21">
        <v>170.946</v>
      </c>
      <c r="L289" s="16">
        <f t="shared" si="22"/>
        <v>-1.3337545189709536E-3</v>
      </c>
      <c r="M289" s="16">
        <f t="shared" si="23"/>
        <v>0.998666245481029</v>
      </c>
    </row>
    <row r="290" spans="6:13" x14ac:dyDescent="0.3">
      <c r="F290" s="19">
        <v>45261</v>
      </c>
      <c r="G290" s="18">
        <v>306.74599999999998</v>
      </c>
      <c r="H290" s="17">
        <f t="shared" si="20"/>
        <v>5.4475037979305101E-3</v>
      </c>
      <c r="I290" s="17">
        <f t="shared" si="21"/>
        <v>1.0054475037979305</v>
      </c>
      <c r="J290" s="20">
        <v>45261</v>
      </c>
      <c r="K290" s="21">
        <v>170.71799999999999</v>
      </c>
      <c r="L290" s="16">
        <f t="shared" si="22"/>
        <v>5.453437833151816E-3</v>
      </c>
      <c r="M290" s="16">
        <f t="shared" si="23"/>
        <v>1.0054534378331519</v>
      </c>
    </row>
    <row r="291" spans="6:13" x14ac:dyDescent="0.3">
      <c r="F291" s="19">
        <v>45292</v>
      </c>
      <c r="G291" s="18">
        <v>308.41699999999997</v>
      </c>
      <c r="H291" s="17">
        <f t="shared" si="20"/>
        <v>6.1896717755507927E-3</v>
      </c>
      <c r="I291" s="17">
        <f t="shared" si="21"/>
        <v>1.0061896717755507</v>
      </c>
      <c r="J291" s="20">
        <v>45292</v>
      </c>
      <c r="K291" s="21">
        <v>171.649</v>
      </c>
      <c r="L291" s="16">
        <f t="shared" si="22"/>
        <v>6.122960226974743E-3</v>
      </c>
      <c r="M291" s="16">
        <f t="shared" si="23"/>
        <v>1.0061229602269748</v>
      </c>
    </row>
    <row r="292" spans="6:13" x14ac:dyDescent="0.3">
      <c r="F292" s="19">
        <v>45323</v>
      </c>
      <c r="G292" s="18">
        <v>310.32600000000002</v>
      </c>
      <c r="H292" s="17">
        <f t="shared" si="20"/>
        <v>6.4641699374205566E-3</v>
      </c>
      <c r="I292" s="17">
        <f t="shared" si="21"/>
        <v>1.0064641699374206</v>
      </c>
      <c r="J292" s="20">
        <v>45323</v>
      </c>
      <c r="K292" s="21">
        <v>172.7</v>
      </c>
      <c r="L292" s="16">
        <f t="shared" si="22"/>
        <v>6.346265199768406E-3</v>
      </c>
      <c r="M292" s="16">
        <f t="shared" si="23"/>
        <v>1.0063462651997683</v>
      </c>
    </row>
    <row r="293" spans="6:13" x14ac:dyDescent="0.3">
      <c r="F293" s="19">
        <v>45352</v>
      </c>
      <c r="G293" s="18">
        <v>312.33199999999999</v>
      </c>
      <c r="H293" s="17">
        <f t="shared" si="20"/>
        <v>3.893293034335285E-3</v>
      </c>
      <c r="I293" s="17">
        <f t="shared" si="21"/>
        <v>1.0038932930343354</v>
      </c>
      <c r="J293" s="20">
        <v>45352</v>
      </c>
      <c r="K293" s="21">
        <v>173.79599999999999</v>
      </c>
      <c r="L293" s="16">
        <f t="shared" si="22"/>
        <v>3.6134318396281524E-3</v>
      </c>
      <c r="M293" s="16">
        <f t="shared" si="23"/>
        <v>1.0036134318396281</v>
      </c>
    </row>
    <row r="294" spans="6:13" x14ac:dyDescent="0.3">
      <c r="F294" s="19">
        <v>45383</v>
      </c>
      <c r="G294" s="18">
        <v>313.548</v>
      </c>
      <c r="H294" s="17">
        <f t="shared" si="20"/>
        <v>1.6616275657953966E-3</v>
      </c>
      <c r="I294" s="17">
        <f t="shared" si="21"/>
        <v>1.0016616275657955</v>
      </c>
      <c r="J294" s="20">
        <v>45383</v>
      </c>
      <c r="K294" s="21">
        <v>174.42400000000001</v>
      </c>
      <c r="L294" s="16">
        <f t="shared" si="22"/>
        <v>1.4963537127917928E-3</v>
      </c>
      <c r="M294" s="16">
        <f t="shared" si="23"/>
        <v>1.0014963537127919</v>
      </c>
    </row>
    <row r="295" spans="6:13" x14ac:dyDescent="0.3">
      <c r="F295" s="19">
        <v>45413</v>
      </c>
      <c r="G295" s="18">
        <v>314.06900000000002</v>
      </c>
      <c r="H295" s="17">
        <f t="shared" si="20"/>
        <v>3.375054526234507E-4</v>
      </c>
      <c r="I295" s="17">
        <f t="shared" si="21"/>
        <v>1.0003375054526233</v>
      </c>
      <c r="J295" s="20">
        <v>45413</v>
      </c>
      <c r="K295" s="21">
        <v>174.685</v>
      </c>
      <c r="L295" s="16">
        <f t="shared" si="22"/>
        <v>2.0608523914475405E-4</v>
      </c>
      <c r="M295" s="16">
        <f t="shared" si="23"/>
        <v>1.0002060852391448</v>
      </c>
    </row>
    <row r="296" spans="6:13" x14ac:dyDescent="0.3">
      <c r="F296" s="19">
        <v>45444</v>
      </c>
      <c r="G296" s="18">
        <v>314.17500000000001</v>
      </c>
      <c r="H296" s="17">
        <f t="shared" si="20"/>
        <v>1.1617728972706583E-3</v>
      </c>
      <c r="I296" s="17">
        <f t="shared" si="21"/>
        <v>1.0011617728972706</v>
      </c>
      <c r="J296" s="20">
        <v>45444</v>
      </c>
      <c r="K296" s="21">
        <v>174.721</v>
      </c>
      <c r="L296" s="16">
        <f t="shared" si="22"/>
        <v>4.0636214307380309E-4</v>
      </c>
      <c r="M296" s="16">
        <f t="shared" si="23"/>
        <v>1.0004063621430739</v>
      </c>
    </row>
    <row r="297" spans="6:13" x14ac:dyDescent="0.3">
      <c r="F297" s="19">
        <v>45474</v>
      </c>
      <c r="G297" s="18">
        <v>314.54000000000002</v>
      </c>
      <c r="H297" s="17">
        <f t="shared" si="20"/>
        <v>8.1388694601631519E-4</v>
      </c>
      <c r="I297" s="17">
        <f t="shared" si="21"/>
        <v>1.0008138869460164</v>
      </c>
      <c r="J297" s="20">
        <v>45474</v>
      </c>
      <c r="K297" s="21">
        <v>174.792</v>
      </c>
      <c r="L297" s="16">
        <f t="shared" si="22"/>
        <v>3.2038079545981276E-4</v>
      </c>
      <c r="M297" s="16">
        <f t="shared" si="23"/>
        <v>1.0003203807954597</v>
      </c>
    </row>
    <row r="298" spans="6:13" x14ac:dyDescent="0.3">
      <c r="F298" s="19">
        <v>45505</v>
      </c>
      <c r="G298" s="18">
        <v>314.79599999999999</v>
      </c>
      <c r="H298" s="17">
        <f t="shared" si="20"/>
        <v>1.6042135224081484E-3</v>
      </c>
      <c r="I298" s="17">
        <f t="shared" si="21"/>
        <v>1.0016042135224081</v>
      </c>
      <c r="J298" s="20">
        <v>45505</v>
      </c>
      <c r="K298" s="21">
        <v>174.84800000000001</v>
      </c>
      <c r="L298" s="16">
        <f t="shared" si="22"/>
        <v>1.4355325768666289E-3</v>
      </c>
      <c r="M298" s="16">
        <f t="shared" si="23"/>
        <v>1.0014355325768667</v>
      </c>
    </row>
    <row r="299" spans="6:13" x14ac:dyDescent="0.3">
      <c r="F299" s="19">
        <v>45536</v>
      </c>
      <c r="G299" s="18">
        <v>315.30099999999999</v>
      </c>
      <c r="H299" s="17">
        <f t="shared" si="20"/>
        <v>1.1512808395786869E-3</v>
      </c>
      <c r="I299" s="17">
        <f t="shared" si="21"/>
        <v>1.0011512808395786</v>
      </c>
      <c r="J299" s="20">
        <v>45536</v>
      </c>
      <c r="K299" s="21">
        <v>175.09899999999999</v>
      </c>
      <c r="L299" s="16">
        <f t="shared" si="22"/>
        <v>1.4106305575703694E-3</v>
      </c>
      <c r="M299" s="16">
        <f t="shared" si="23"/>
        <v>1.0014106305575703</v>
      </c>
    </row>
    <row r="300" spans="6:13" x14ac:dyDescent="0.3">
      <c r="F300" s="19">
        <v>45566</v>
      </c>
      <c r="G300" s="18">
        <v>315.66399999999999</v>
      </c>
      <c r="H300" s="17">
        <f t="shared" si="20"/>
        <v>-5.4171524152260716E-4</v>
      </c>
      <c r="I300" s="17">
        <f t="shared" si="21"/>
        <v>0.99945828475847742</v>
      </c>
      <c r="J300" s="20">
        <v>45566</v>
      </c>
      <c r="K300" s="21">
        <v>175.346</v>
      </c>
      <c r="L300" s="16">
        <f t="shared" si="22"/>
        <v>-9.4669966808479697E-4</v>
      </c>
      <c r="M300" s="16">
        <f t="shared" si="23"/>
        <v>0.9990533003319152</v>
      </c>
    </row>
    <row r="301" spans="6:13" x14ac:dyDescent="0.3">
      <c r="F301" s="19">
        <v>45597</v>
      </c>
      <c r="G301" s="18">
        <v>315.49299999999999</v>
      </c>
      <c r="H301" s="17">
        <f t="shared" si="20"/>
        <v>3.5499995245543705E-4</v>
      </c>
      <c r="I301" s="17">
        <f t="shared" si="21"/>
        <v>1.0003549999524555</v>
      </c>
      <c r="J301" s="20">
        <v>45597</v>
      </c>
      <c r="K301" s="21">
        <v>175.18</v>
      </c>
      <c r="L301" s="16">
        <f t="shared" si="22"/>
        <v>2.226281538987742E-4</v>
      </c>
      <c r="M301" s="16">
        <f t="shared" si="23"/>
        <v>1.0002226281538988</v>
      </c>
    </row>
    <row r="302" spans="6:13" x14ac:dyDescent="0.3">
      <c r="F302" s="19">
        <v>45627</v>
      </c>
      <c r="G302" s="18">
        <v>315.60500000000002</v>
      </c>
      <c r="H302" s="17">
        <f t="shared" si="20"/>
        <v>6.5461573802695584E-3</v>
      </c>
      <c r="I302" s="17">
        <f t="shared" si="21"/>
        <v>1.0065461573802696</v>
      </c>
      <c r="J302" s="20">
        <v>45627</v>
      </c>
      <c r="K302" s="21">
        <v>175.21899999999999</v>
      </c>
      <c r="L302" s="16">
        <f t="shared" si="22"/>
        <v>6.5232651710145631E-3</v>
      </c>
      <c r="M302" s="16">
        <f t="shared" si="23"/>
        <v>1.0065232651710145</v>
      </c>
    </row>
    <row r="303" spans="6:13" x14ac:dyDescent="0.3">
      <c r="F303" s="19">
        <v>45658</v>
      </c>
      <c r="G303" s="18">
        <v>317.67099999999999</v>
      </c>
      <c r="H303" s="17">
        <f t="shared" si="20"/>
        <v>4.4417022642923064E-3</v>
      </c>
      <c r="I303" s="17">
        <f t="shared" si="21"/>
        <v>1.0044417022642924</v>
      </c>
      <c r="J303" s="20">
        <v>45658</v>
      </c>
      <c r="K303" s="21">
        <v>176.36199999999999</v>
      </c>
      <c r="L303" s="16">
        <f t="shared" si="22"/>
        <v>4.3773602023111065E-3</v>
      </c>
      <c r="M303" s="16">
        <f t="shared" si="23"/>
        <v>1.0043773602023112</v>
      </c>
    </row>
    <row r="304" spans="6:13" x14ac:dyDescent="0.3">
      <c r="F304" s="19">
        <v>45689</v>
      </c>
      <c r="G304" s="18">
        <v>319.08199999999999</v>
      </c>
      <c r="H304" s="17">
        <f t="shared" si="20"/>
        <v>2.2470712857509496E-3</v>
      </c>
      <c r="I304" s="17">
        <f t="shared" si="21"/>
        <v>1.002247071285751</v>
      </c>
      <c r="J304" s="20">
        <v>45689</v>
      </c>
      <c r="K304" s="21">
        <v>177.13399999999999</v>
      </c>
      <c r="L304" s="16">
        <f t="shared" si="22"/>
        <v>2.1791412151254087E-3</v>
      </c>
      <c r="M304" s="16">
        <f t="shared" si="23"/>
        <v>1.0021791412151253</v>
      </c>
    </row>
    <row r="305" spans="6:13" x14ac:dyDescent="0.3">
      <c r="F305" s="19">
        <v>45717</v>
      </c>
      <c r="G305" s="18">
        <v>319.79899999999998</v>
      </c>
      <c r="H305" s="17">
        <f t="shared" si="20"/>
        <v>3.1144562678433571E-3</v>
      </c>
      <c r="I305" s="17">
        <f t="shared" si="21"/>
        <v>1.0031144562678433</v>
      </c>
      <c r="J305" s="20">
        <v>45717</v>
      </c>
      <c r="K305" s="21">
        <v>177.52</v>
      </c>
      <c r="L305" s="16">
        <f t="shared" si="22"/>
        <v>3.160207300585729E-3</v>
      </c>
      <c r="M305" s="16">
        <f t="shared" si="23"/>
        <v>1.0031602073005856</v>
      </c>
    </row>
    <row r="306" spans="6:13" x14ac:dyDescent="0.3">
      <c r="F306" s="19">
        <v>45748</v>
      </c>
      <c r="G306" s="18">
        <v>320.79500000000002</v>
      </c>
      <c r="H306" s="17">
        <f t="shared" si="20"/>
        <v>2.0885612306923707E-3</v>
      </c>
      <c r="I306" s="17">
        <f t="shared" si="21"/>
        <v>1.0020885612306925</v>
      </c>
      <c r="J306" s="20">
        <v>45748</v>
      </c>
      <c r="K306" s="21">
        <v>178.08099999999999</v>
      </c>
      <c r="L306" s="16">
        <f t="shared" si="22"/>
        <v>1.9429360796491689E-3</v>
      </c>
      <c r="M306" s="16">
        <f t="shared" si="23"/>
        <v>1.0019429360796492</v>
      </c>
    </row>
    <row r="307" spans="6:13" x14ac:dyDescent="0.3">
      <c r="F307" s="19">
        <v>45778</v>
      </c>
      <c r="G307" s="18">
        <v>321.46499999999997</v>
      </c>
      <c r="H307" s="17">
        <f t="shared" si="20"/>
        <v>3.409391380088046E-3</v>
      </c>
      <c r="I307" s="17">
        <f t="shared" si="21"/>
        <v>1.0034093913800881</v>
      </c>
      <c r="J307" s="20">
        <v>45778</v>
      </c>
      <c r="K307" s="21">
        <v>178.42699999999999</v>
      </c>
      <c r="L307" s="16">
        <f t="shared" si="22"/>
        <v>3.1609565816833854E-3</v>
      </c>
      <c r="M307" s="16">
        <f t="shared" si="23"/>
        <v>1.0031609565816835</v>
      </c>
    </row>
    <row r="308" spans="6:13" x14ac:dyDescent="0.3">
      <c r="F308" s="19">
        <v>45809</v>
      </c>
      <c r="G308" s="18">
        <v>322.56099999999998</v>
      </c>
      <c r="H308" s="17">
        <f t="shared" si="20"/>
        <v>1.5097919463296036E-3</v>
      </c>
      <c r="I308" s="17">
        <f t="shared" si="21"/>
        <v>1.0015097919463296</v>
      </c>
      <c r="J308" s="20">
        <v>45809</v>
      </c>
      <c r="K308" s="21">
        <v>178.99100000000001</v>
      </c>
      <c r="L308" s="16">
        <f t="shared" si="22"/>
        <v>1.3687839053358891E-3</v>
      </c>
      <c r="M308" s="16">
        <f t="shared" si="23"/>
        <v>1.0013687839053358</v>
      </c>
    </row>
    <row r="309" spans="6:13" x14ac:dyDescent="0.3">
      <c r="F309" s="19">
        <v>45839</v>
      </c>
      <c r="G309" s="18">
        <v>323.048</v>
      </c>
      <c r="H309" s="17">
        <f t="shared" si="20"/>
        <v>2.8726381218889987E-3</v>
      </c>
      <c r="I309" s="17">
        <f t="shared" si="21"/>
        <v>1.0028726381218891</v>
      </c>
      <c r="J309" s="20">
        <v>45839</v>
      </c>
      <c r="K309" s="21">
        <v>179.23599999999999</v>
      </c>
      <c r="L309" s="16">
        <f t="shared" si="22"/>
        <v>2.8063558660091407E-3</v>
      </c>
      <c r="M309" s="16">
        <f t="shared" si="23"/>
        <v>1.0028063558660092</v>
      </c>
    </row>
    <row r="310" spans="6:13" x14ac:dyDescent="0.3">
      <c r="F310" s="19">
        <v>45870</v>
      </c>
      <c r="G310" s="18">
        <v>323.976</v>
      </c>
      <c r="H310" s="17">
        <f>(G310-G309)/G309</f>
        <v>2.8726381218889987E-3</v>
      </c>
      <c r="I310" s="17">
        <f t="shared" si="21"/>
        <v>1.0028726381218891</v>
      </c>
      <c r="J310" s="20">
        <v>45870</v>
      </c>
      <c r="K310" s="21">
        <v>179.739</v>
      </c>
      <c r="L310" s="16">
        <f>(K310-K309)/K309</f>
        <v>2.8063558660091407E-3</v>
      </c>
      <c r="M310" s="16">
        <f t="shared" si="23"/>
        <v>1.0028063558660092</v>
      </c>
    </row>
    <row r="311" spans="6:13" x14ac:dyDescent="0.3">
      <c r="F311" s="19">
        <v>45962</v>
      </c>
      <c r="G311" s="18">
        <v>324.12200000000001</v>
      </c>
      <c r="H311" s="17">
        <f>(G312-G311)/G311</f>
        <v>-2.0979754536884404E-4</v>
      </c>
      <c r="I311" s="17">
        <f t="shared" si="21"/>
        <v>0.99979020245463113</v>
      </c>
      <c r="J311" s="20">
        <v>45962</v>
      </c>
      <c r="K311" s="21">
        <v>179.71199999999999</v>
      </c>
      <c r="L311" s="16">
        <f>(K312-K311)/K311</f>
        <v>-6.3434829059815651E-4</v>
      </c>
      <c r="M311" s="16">
        <f t="shared" si="23"/>
        <v>0.99936565170940184</v>
      </c>
    </row>
    <row r="312" spans="6:13" x14ac:dyDescent="0.3">
      <c r="F312" s="19">
        <v>45992</v>
      </c>
      <c r="G312" s="18">
        <v>324.05399999999997</v>
      </c>
      <c r="H312" s="17">
        <f>(G313-G312)/G312</f>
        <v>3.6969147117456845E-3</v>
      </c>
      <c r="I312" s="17">
        <f t="shared" si="21"/>
        <v>1.0036969147117456</v>
      </c>
      <c r="J312" s="20">
        <v>45992</v>
      </c>
      <c r="K312" s="21">
        <v>179.59800000000001</v>
      </c>
      <c r="L312" s="16">
        <f>(K313-K312)/K312</f>
        <v>3.5301061259033289E-3</v>
      </c>
      <c r="M312" s="16">
        <f t="shared" si="23"/>
        <v>1.0035301061259034</v>
      </c>
    </row>
    <row r="313" spans="6:13" x14ac:dyDescent="0.3">
      <c r="F313" s="19">
        <v>46023</v>
      </c>
      <c r="G313" s="18">
        <v>325.25200000000001</v>
      </c>
      <c r="H313" s="17">
        <f>(G314-G313)/G313</f>
        <v>4.7132684810547373E-3</v>
      </c>
      <c r="I313" s="17">
        <f t="shared" si="21"/>
        <v>1.0047132684810547</v>
      </c>
      <c r="J313" s="20">
        <v>46023</v>
      </c>
      <c r="K313" s="21">
        <v>180.232</v>
      </c>
      <c r="L313" s="16">
        <f>(K314-K313)/K313</f>
        <v>4.7050468285321874E-3</v>
      </c>
      <c r="M313" s="16">
        <f t="shared" si="23"/>
        <v>1.0047050468285321</v>
      </c>
    </row>
    <row r="314" spans="6:13" x14ac:dyDescent="0.3">
      <c r="F314" s="19">
        <v>46054</v>
      </c>
      <c r="G314" s="18">
        <v>326.78500000000003</v>
      </c>
      <c r="H314" s="17">
        <f>(G315-G314)/G314</f>
        <v>1.0490077573940043E-2</v>
      </c>
      <c r="I314" s="17">
        <f t="shared" si="21"/>
        <v>1.01049007757394</v>
      </c>
      <c r="J314" s="20">
        <v>46054</v>
      </c>
      <c r="K314" s="21">
        <v>181.08</v>
      </c>
      <c r="L314" s="16">
        <f>(K315-K314)/K314</f>
        <v>1.0674839849790107E-2</v>
      </c>
      <c r="M314" s="16">
        <f t="shared" si="23"/>
        <v>1.01067483984979</v>
      </c>
    </row>
    <row r="315" spans="6:13" x14ac:dyDescent="0.3">
      <c r="F315" s="19">
        <v>46082</v>
      </c>
      <c r="G315" s="18">
        <v>330.21300000000002</v>
      </c>
      <c r="H315" s="17">
        <f>(G316-G315)/G315</f>
        <v>8.500573872015818E-3</v>
      </c>
      <c r="I315" s="17">
        <f t="shared" si="21"/>
        <v>1.0085005738720159</v>
      </c>
      <c r="J315" s="20">
        <v>46082</v>
      </c>
      <c r="K315" s="21">
        <v>183.01300000000001</v>
      </c>
      <c r="L315" s="16">
        <f>(K316-K315)/K315</f>
        <v>8.1196417740815683E-3</v>
      </c>
      <c r="M315" s="16">
        <f t="shared" si="23"/>
        <v>1.0081196417740816</v>
      </c>
    </row>
    <row r="316" spans="6:13" x14ac:dyDescent="0.3">
      <c r="F316" s="19">
        <v>46113</v>
      </c>
      <c r="G316" s="18">
        <v>333.02</v>
      </c>
      <c r="H316" s="17">
        <f>(G317-G316)/G316</f>
        <v>6.3149360398775112E-3</v>
      </c>
      <c r="I316" s="17">
        <f t="shared" si="21"/>
        <v>1.0063149360398775</v>
      </c>
      <c r="J316" s="20">
        <v>46113</v>
      </c>
      <c r="K316" s="21">
        <v>184.499</v>
      </c>
      <c r="L316" s="16">
        <f>(K317-K316)/K316</f>
        <v>5.907891099680776E-3</v>
      </c>
      <c r="M316" s="16">
        <f t="shared" si="23"/>
        <v>1.0059078910996808</v>
      </c>
    </row>
    <row r="317" spans="6:13" x14ac:dyDescent="0.3">
      <c r="F317" s="19">
        <v>46143</v>
      </c>
      <c r="G317" s="18">
        <v>335.12299999999999</v>
      </c>
      <c r="H317" s="17">
        <f>(G318-G317)/G317</f>
        <v>-3.4942394285083157E-3</v>
      </c>
      <c r="I317" s="17">
        <f t="shared" si="21"/>
        <v>0.99650576057149165</v>
      </c>
      <c r="J317" s="20">
        <v>46143</v>
      </c>
      <c r="K317" s="21">
        <v>185.589</v>
      </c>
      <c r="L317" s="16">
        <f>(K318-K317)/K317</f>
        <v>-3.2167854775876181E-3</v>
      </c>
      <c r="M317" s="16">
        <f t="shared" si="23"/>
        <v>0.99678321452241236</v>
      </c>
    </row>
    <row r="318" spans="6:13" x14ac:dyDescent="0.3">
      <c r="F318" s="19">
        <v>46174</v>
      </c>
      <c r="G318" s="18">
        <v>333.952</v>
      </c>
      <c r="H318" s="17"/>
      <c r="I318" s="17"/>
      <c r="J318" s="20">
        <v>46174</v>
      </c>
      <c r="K318" s="21">
        <v>184.99199999999999</v>
      </c>
      <c r="L318" s="16"/>
      <c r="M31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</dc:creator>
  <cp:lastModifiedBy>Steven Ferstenfeld</cp:lastModifiedBy>
  <dcterms:created xsi:type="dcterms:W3CDTF">2026-08-11T20:51:50Z</dcterms:created>
  <dcterms:modified xsi:type="dcterms:W3CDTF">2026-08-12T03:01:29Z</dcterms:modified>
</cp:coreProperties>
</file>