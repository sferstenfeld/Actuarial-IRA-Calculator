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ferstenfeld\Downloads\"/>
    </mc:Choice>
  </mc:AlternateContent>
  <xr:revisionPtr revIDLastSave="0" documentId="13_ncr:1_{DF5383A5-87D2-45C2-9161-B832B0830DB1}" xr6:coauthVersionLast="47" xr6:coauthVersionMax="47" xr10:uidLastSave="{00000000-0000-0000-0000-000000000000}"/>
  <bookViews>
    <workbookView xWindow="28680" yWindow="-120" windowWidth="29040" windowHeight="15720" tabRatio="865" activeTab="1" xr2:uid="{00000000-000D-0000-FFFF-FFFF00000000}"/>
  </bookViews>
  <sheets>
    <sheet name="README" sheetId="30" r:id="rId1"/>
    <sheet name="INPUTS" sheetId="31" r:id="rId2"/>
    <sheet name="OUTPUT - SUMMARY" sheetId="33" r:id="rId3"/>
    <sheet name="OUTPUT - RETIREMENT" sheetId="37" r:id="rId4"/>
    <sheet name="OUTPUT - CASH FLOW" sheetId="38" r:id="rId5"/>
    <sheet name="MILESTONES" sheetId="34" r:id="rId6"/>
    <sheet name="WHAT-IF SCENARIOS" sheetId="40" r:id="rId7"/>
    <sheet name="CONSTANTS &amp; REFERENCES" sheetId="35" r:id="rId8"/>
    <sheet name="ENGINE" sheetId="32" r:id="rId9"/>
    <sheet name="PERIODIC ENGINE" sheetId="39" r:id="rId10"/>
    <sheet name="CHART DATA" sheetId="36" r:id="rId11"/>
  </sheets>
  <definedNames>
    <definedName name="Active_Engine_Ref">'CHART DATA'!$M$2</definedName>
    <definedName name="Age_Range">'CHART DATA'!$A$2:INDEX('CHART DATA'!$A$2:$A$102,Horizon_Rows)</definedName>
    <definedName name="AgeContrib_Range">'CHART DATA'!$N$2:INDEX('CHART DATA'!$N$2:$N$102,Horizon_Rows)</definedName>
    <definedName name="AgeMilestone_Range">'CHART DATA'!$H$2:INDEX('CHART DATA'!$H$2:$H$102,Horizon_Rows)</definedName>
    <definedName name="Bracket_Round_MFS">'CONSTANTS &amp; REFERENCES'!$B$17</definedName>
    <definedName name="Bracket_Round_Standard">'CONSTANTS &amp; REFERENCES'!$B$16</definedName>
    <definedName name="Contribution_Range">'CHART DATA'!$O$2:INDEX('CHART DATA'!$O$2:$O$102,Horizon_Rows)</definedName>
    <definedName name="DisposablePay_Range">'CHART DATA'!$F$2:INDEX('CHART DATA'!$F$2:$F$102,Horizon_Rows)</definedName>
    <definedName name="FedTax_Range">'CHART DATA'!$S$2:INDEX('CHART DATA'!$S$2:$S$102,Horizon_Rows)</definedName>
    <definedName name="Growth_Range">'CHART DATA'!$P$2:INDEX('CHART DATA'!$P$2:$P$102,Horizon_Rows)</definedName>
    <definedName name="GrowthMultiple_Range">'PERIODIC ENGINE'!$L$2:INDEX('PERIODIC ENGINE'!$L$2:$L$102,Horizon_Rows)</definedName>
    <definedName name="Head_Household_STD_Deduction">#REF!</definedName>
    <definedName name="Horizon_Rows">'CHART DATA'!$AZ$2</definedName>
    <definedName name="Horizon_Years">'CHART DATA'!$AY$2</definedName>
    <definedName name="Inp_Age_Retire">#REF!</definedName>
    <definedName name="Inp_Age_Start">#REF!</definedName>
    <definedName name="Inp_Rate_Inf">#REF!</definedName>
    <definedName name="Inp_Wage_Base">#REF!</definedName>
    <definedName name="Inp_Wage_Merit">#REF!</definedName>
    <definedName name="IRA_Base" comment="2026 IRS IRA Limit">#REF!</definedName>
    <definedName name="IRA_Catch_Base">#REF!</definedName>
    <definedName name="IRA_Catch_Step">#REF!</definedName>
    <definedName name="IRA_Step" comment="500 Dollar Step Increase for IRA Contribution Limit (inflation related)">#REF!</definedName>
    <definedName name="Joint_Spouse_STD_Deduction" comment="2026 IRS Filing Married Jointly or Surviving Spouse STD Deduction">#REF!</definedName>
    <definedName name="Limit_OASDI" comment="Wage Limit for 2026 IRS">#REF!</definedName>
    <definedName name="Med_Threshold" comment="Threshold for 0.9% Addt. Medicare Tax per 2026 IRS Statistics">#REF!</definedName>
    <definedName name="NominalBal_Range">'CHART DATA'!$B$2:INDEX('CHART DATA'!$B$2:$B$102,Horizon_Rows)</definedName>
    <definedName name="NominalMilestone_Range">'CHART DATA'!$I$2:INDEX('CHART DATA'!$I$2:$I$102,Horizon_Rows)</definedName>
    <definedName name="Payroll_Range">'CHART DATA'!$U$2:INDEX('CHART DATA'!$U$2:$U$102,Horizon_Rows)</definedName>
    <definedName name="ProjYear_Range">'CHART DATA'!$E$2:INDEX('CHART DATA'!$E$2:$E$102,Horizon_Rows)</definedName>
    <definedName name="ProjYearTax_Range">'CHART DATA'!$R$2:INDEX('CHART DATA'!$R$2:$R$102,Horizon_Rows)</definedName>
    <definedName name="Rate_Med" comment="1.45% Federal Medicare Tax">#REF!</definedName>
    <definedName name="Rate_OASDI" comment="6.2% OASDI (Old-Age, Survivors, and Disability Insurance) rate. This is the Social Security Tax">#REF!</definedName>
    <definedName name="RealBal_Range">'CHART DATA'!$C$2:INDEX('CHART DATA'!$C$2:$C$102,Horizon_Rows)</definedName>
    <definedName name="Single_Separately_STD_Deduction" comment="2026 IRS Filing Single or Married Separately Deduction">#REF!</definedName>
    <definedName name="StateTax_Range">'CHART DATA'!$T$2:INDEX('CHART DATA'!$T$2:$T$102,Horizon_Rows)</definedName>
    <definedName name="TakeHome_Range">'CHART DATA'!$V$2:INDEX('CHART DATA'!$V$2:$V$102,Horizon_Rows)</definedName>
    <definedName name="Tax_Step">#REF!</definedName>
    <definedName name="TerminalValueByYear_Range">'PERIODIC ENGINE'!$Q$2:INDEX('PERIODIC ENGINE'!$Q$2:$Q$102,Horizon_Rows)</definedName>
    <definedName name="Threshold1M_Range">'CHART DATA'!$K$2:INDEX('CHART DATA'!$K$2:$K$102,Horizon_Rows)</definedName>
    <definedName name="Threshold2M_Range">'CHART DATA'!$L$2:INDEX('CHART DATA'!$L$2:$L$102,Horizon_Rows)</definedName>
    <definedName name="Threshold500k_Range">'CHART DATA'!$J$2:INDEX('CHART DATA'!$J$2:$J$102,Horizon_Rows)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0" l="1"/>
  <c r="B36" i="40"/>
  <c r="B37" i="40"/>
  <c r="B27" i="40"/>
  <c r="B26" i="40"/>
  <c r="B25" i="40"/>
  <c r="B13" i="40"/>
  <c r="Y2" i="32"/>
  <c r="E18" i="31"/>
  <c r="E37" i="31"/>
  <c r="E36" i="31"/>
  <c r="E35" i="31"/>
  <c r="E34" i="31"/>
  <c r="E33" i="31"/>
  <c r="E32" i="31"/>
  <c r="E31" i="31"/>
  <c r="E30" i="31"/>
  <c r="C37" i="31"/>
  <c r="E28" i="31"/>
  <c r="AY2" i="36"/>
  <c r="AZ2" i="36" s="1"/>
  <c r="B11" i="40" l="1"/>
  <c r="Z2" i="32"/>
  <c r="AW1" i="36"/>
  <c r="AV1" i="36"/>
  <c r="AU1" i="36"/>
  <c r="AT1" i="36"/>
  <c r="AS1" i="36"/>
  <c r="D5" i="35"/>
  <c r="M2" i="36"/>
  <c r="A2" i="39"/>
  <c r="A13" i="37"/>
  <c r="D9" i="31"/>
  <c r="AK2" i="32"/>
  <c r="C41" i="31"/>
  <c r="C42" i="31" s="1"/>
  <c r="S2" i="39"/>
  <c r="S6" i="39"/>
  <c r="S4" i="39"/>
  <c r="R2" i="36"/>
  <c r="A7" i="38"/>
  <c r="J2" i="36"/>
  <c r="K2" i="36"/>
  <c r="L2" i="36"/>
  <c r="E2" i="36"/>
  <c r="BA2" i="32"/>
  <c r="I5" i="35"/>
  <c r="N5" i="35"/>
  <c r="B6" i="35"/>
  <c r="D6" i="35" s="1"/>
  <c r="G6" i="35"/>
  <c r="I6" i="35" s="1"/>
  <c r="L6" i="35"/>
  <c r="N6" i="35" s="1"/>
  <c r="B7" i="35"/>
  <c r="D7" i="35" s="1"/>
  <c r="G7" i="35"/>
  <c r="I7" i="35" s="1"/>
  <c r="L7" i="35"/>
  <c r="N7" i="35" s="1"/>
  <c r="B8" i="35"/>
  <c r="D8" i="35" s="1"/>
  <c r="G8" i="35"/>
  <c r="I8" i="35" s="1"/>
  <c r="L8" i="35"/>
  <c r="N8" i="35" s="1"/>
  <c r="B9" i="35"/>
  <c r="D9" i="35" s="1"/>
  <c r="G9" i="35"/>
  <c r="I9" i="35" s="1"/>
  <c r="L9" i="35"/>
  <c r="N9" i="35" s="1"/>
  <c r="B10" i="35"/>
  <c r="D10" i="35" s="1"/>
  <c r="G10" i="35"/>
  <c r="I10" i="35" s="1"/>
  <c r="L10" i="35"/>
  <c r="N10" i="35" s="1"/>
  <c r="B11" i="35"/>
  <c r="G11" i="35"/>
  <c r="L11" i="35"/>
  <c r="B39" i="35"/>
  <c r="B49" i="35"/>
  <c r="B51" i="35" s="1"/>
  <c r="B50" i="35"/>
  <c r="B53" i="35"/>
  <c r="B54" i="35"/>
  <c r="B55" i="35"/>
  <c r="B2" i="32"/>
  <c r="A2" i="36" s="1"/>
  <c r="C2" i="32"/>
  <c r="A3" i="32"/>
  <c r="Z3" i="32" s="1"/>
  <c r="Y3" i="32" s="1"/>
  <c r="X3" i="32"/>
  <c r="M2" i="39" l="1"/>
  <c r="AG7" i="36"/>
  <c r="AM7" i="36"/>
  <c r="AA7" i="36"/>
  <c r="A3" i="39"/>
  <c r="AF2" i="32"/>
  <c r="B13" i="37"/>
  <c r="A14" i="37"/>
  <c r="B2" i="39"/>
  <c r="C2" i="39"/>
  <c r="S3" i="39" a="1"/>
  <c r="S3" i="39" s="1"/>
  <c r="AK3" i="32"/>
  <c r="B3" i="32"/>
  <c r="A3" i="36" s="1"/>
  <c r="C7" i="38"/>
  <c r="F2" i="32"/>
  <c r="G2" i="32" s="1"/>
  <c r="J2" i="32" s="1"/>
  <c r="D2" i="32" s="1"/>
  <c r="X6" i="32"/>
  <c r="AL2" i="32" s="1"/>
  <c r="BB2" i="32" s="1"/>
  <c r="BC2" i="32" s="1"/>
  <c r="AE2" i="32" s="1"/>
  <c r="N2" i="36"/>
  <c r="R3" i="36"/>
  <c r="H2" i="36"/>
  <c r="E3" i="36"/>
  <c r="B7" i="38"/>
  <c r="L3" i="36"/>
  <c r="A8" i="38"/>
  <c r="K3" i="36"/>
  <c r="J3" i="36"/>
  <c r="BA3" i="32"/>
  <c r="F3" i="32"/>
  <c r="G3" i="32" s="1"/>
  <c r="H3" i="32"/>
  <c r="I3" i="32" s="1"/>
  <c r="M3" i="32"/>
  <c r="H2" i="32"/>
  <c r="I2" i="32" s="1"/>
  <c r="A4" i="32"/>
  <c r="Z4" i="32" s="1"/>
  <c r="Y4" i="32" s="1"/>
  <c r="S2" i="32"/>
  <c r="E2" i="32" l="1"/>
  <c r="M3" i="39"/>
  <c r="B3" i="39"/>
  <c r="B14" i="37"/>
  <c r="AH4" i="36"/>
  <c r="AJ7" i="36" s="1"/>
  <c r="AN4" i="36"/>
  <c r="AP7" i="36" s="1"/>
  <c r="AB4" i="36"/>
  <c r="AD7" i="36" s="1"/>
  <c r="AB7" i="36"/>
  <c r="AG8" i="36"/>
  <c r="AA8" i="36"/>
  <c r="AM8" i="36"/>
  <c r="AN7" i="36"/>
  <c r="AH7" i="36"/>
  <c r="AF3" i="32"/>
  <c r="K2" i="32"/>
  <c r="P2" i="36" s="1"/>
  <c r="C13" i="37"/>
  <c r="D2" i="39"/>
  <c r="AB2" i="39" s="1"/>
  <c r="A15" i="37"/>
  <c r="A4" i="39"/>
  <c r="E2" i="39"/>
  <c r="E3" i="39"/>
  <c r="S5" i="39"/>
  <c r="B17" i="33" s="1"/>
  <c r="AM2" i="32"/>
  <c r="AO2" i="32"/>
  <c r="AP2" i="32" s="1"/>
  <c r="AQ2" i="32"/>
  <c r="AR2" i="32" s="1"/>
  <c r="AU2" i="32"/>
  <c r="AV2" i="32" s="1"/>
  <c r="AY2" i="32"/>
  <c r="AZ2" i="32" s="1"/>
  <c r="AS2" i="32"/>
  <c r="AT2" i="32" s="1"/>
  <c r="AW2" i="32"/>
  <c r="AX2" i="32" s="1"/>
  <c r="J3" i="32"/>
  <c r="D3" i="32" s="1"/>
  <c r="E3" i="32" s="1"/>
  <c r="AL3" i="32"/>
  <c r="N3" i="36"/>
  <c r="AK4" i="32"/>
  <c r="AG2" i="32"/>
  <c r="U2" i="36" s="1"/>
  <c r="S3" i="32"/>
  <c r="B8" i="38"/>
  <c r="H3" i="36"/>
  <c r="O2" i="32"/>
  <c r="I7" i="38"/>
  <c r="V2" i="32"/>
  <c r="O2" i="36"/>
  <c r="L2" i="32"/>
  <c r="A9" i="38"/>
  <c r="R4" i="36"/>
  <c r="J4" i="36"/>
  <c r="E4" i="36"/>
  <c r="K4" i="36"/>
  <c r="L4" i="36"/>
  <c r="C8" i="38"/>
  <c r="F4" i="32"/>
  <c r="G4" i="32" s="1"/>
  <c r="AL4" i="32"/>
  <c r="BB4" i="32" s="1"/>
  <c r="BC4" i="32" s="1"/>
  <c r="BA4" i="32"/>
  <c r="M4" i="32"/>
  <c r="A5" i="32"/>
  <c r="Z5" i="32" s="1"/>
  <c r="Y5" i="32" s="1"/>
  <c r="H4" i="32"/>
  <c r="I4" i="32" s="1"/>
  <c r="B4" i="32"/>
  <c r="A4" i="36" s="1"/>
  <c r="T3" i="39" l="1"/>
  <c r="X3" i="39"/>
  <c r="V3" i="39"/>
  <c r="T2" i="39"/>
  <c r="U2" i="39" s="1"/>
  <c r="X2" i="39"/>
  <c r="Y2" i="39" s="1"/>
  <c r="V2" i="39"/>
  <c r="W2" i="39" s="1"/>
  <c r="Z2" i="39"/>
  <c r="AC7" i="36"/>
  <c r="AE7" i="36" s="1"/>
  <c r="AB8" i="36" s="1"/>
  <c r="AO7" i="36"/>
  <c r="AQ7" i="36" s="1"/>
  <c r="AN8" i="36" s="1"/>
  <c r="AJ8" i="36"/>
  <c r="AG9" i="36"/>
  <c r="AA9" i="36"/>
  <c r="AM9" i="36"/>
  <c r="AI7" i="36"/>
  <c r="AK7" i="36" s="1"/>
  <c r="AH8" i="36" s="1"/>
  <c r="AP8" i="36"/>
  <c r="AD8" i="36"/>
  <c r="AE4" i="32"/>
  <c r="B4" i="39"/>
  <c r="M4" i="39"/>
  <c r="B15" i="37"/>
  <c r="D3" i="39"/>
  <c r="AB3" i="39" s="1"/>
  <c r="C14" i="37"/>
  <c r="AF4" i="32"/>
  <c r="K2" i="39"/>
  <c r="G13" i="37" s="1"/>
  <c r="N2" i="39"/>
  <c r="AQ3" i="32"/>
  <c r="AR3" i="32" s="1"/>
  <c r="BB3" i="32"/>
  <c r="BC3" i="32" s="1"/>
  <c r="AE3" i="32" s="1"/>
  <c r="AG3" i="32" s="1"/>
  <c r="E4" i="39"/>
  <c r="A16" i="37"/>
  <c r="A5" i="39"/>
  <c r="F2" i="39"/>
  <c r="AN2" i="32"/>
  <c r="AA2" i="32" s="1"/>
  <c r="AB2" i="32" s="1"/>
  <c r="F7" i="38"/>
  <c r="G4" i="39"/>
  <c r="G3" i="39"/>
  <c r="L3" i="39" s="1"/>
  <c r="G2" i="39"/>
  <c r="L2" i="39" s="1"/>
  <c r="AS4" i="32"/>
  <c r="AT4" i="32" s="1"/>
  <c r="AW3" i="32"/>
  <c r="AX3" i="32" s="1"/>
  <c r="AY4" i="32"/>
  <c r="AZ4" i="32" s="1"/>
  <c r="AO4" i="32"/>
  <c r="AP4" i="32" s="1"/>
  <c r="AU4" i="32"/>
  <c r="AV4" i="32" s="1"/>
  <c r="AQ4" i="32"/>
  <c r="AR4" i="32" s="1"/>
  <c r="AM4" i="32"/>
  <c r="AO3" i="32"/>
  <c r="AP3" i="32" s="1"/>
  <c r="AW4" i="32"/>
  <c r="AX4" i="32" s="1"/>
  <c r="AY3" i="32"/>
  <c r="AZ3" i="32" s="1"/>
  <c r="AS3" i="32"/>
  <c r="AT3" i="32" s="1"/>
  <c r="AU3" i="32"/>
  <c r="AV3" i="32" s="1"/>
  <c r="AM3" i="32"/>
  <c r="AK5" i="32"/>
  <c r="B5" i="32"/>
  <c r="H5" i="36" s="1"/>
  <c r="F5" i="32"/>
  <c r="G5" i="32" s="1"/>
  <c r="N4" i="36"/>
  <c r="O3" i="32"/>
  <c r="I8" i="38"/>
  <c r="O3" i="36"/>
  <c r="C9" i="38"/>
  <c r="B9" i="38"/>
  <c r="P2" i="32"/>
  <c r="T2" i="32"/>
  <c r="C3" i="32"/>
  <c r="N2" i="32"/>
  <c r="V3" i="32"/>
  <c r="H5" i="32"/>
  <c r="I5" i="32" s="1"/>
  <c r="H4" i="36"/>
  <c r="M5" i="32"/>
  <c r="R5" i="36"/>
  <c r="J5" i="36"/>
  <c r="K5" i="36"/>
  <c r="E5" i="36"/>
  <c r="A10" i="38"/>
  <c r="L5" i="36"/>
  <c r="AL5" i="32"/>
  <c r="BB5" i="32" s="1"/>
  <c r="BC5" i="32" s="1"/>
  <c r="BA5" i="32"/>
  <c r="A6" i="32"/>
  <c r="Z6" i="32" s="1"/>
  <c r="Y6" i="32" s="1"/>
  <c r="S4" i="32"/>
  <c r="J4" i="32"/>
  <c r="D4" i="32" s="1"/>
  <c r="C15" i="37" s="1"/>
  <c r="L4" i="39" l="1"/>
  <c r="AA2" i="39"/>
  <c r="AC2" i="39"/>
  <c r="AC3" i="39"/>
  <c r="O2" i="39"/>
  <c r="P2" i="39" s="1"/>
  <c r="T4" i="39"/>
  <c r="X4" i="39"/>
  <c r="V4" i="39"/>
  <c r="U3" i="39"/>
  <c r="Z3" i="39"/>
  <c r="AA3" i="39" s="1"/>
  <c r="W3" i="39"/>
  <c r="Y3" i="39"/>
  <c r="K3" i="39"/>
  <c r="G14" i="37" s="1"/>
  <c r="C11" i="38"/>
  <c r="AP9" i="36"/>
  <c r="AJ9" i="36"/>
  <c r="AC8" i="36"/>
  <c r="AE8" i="36" s="1"/>
  <c r="AB9" i="36" s="1"/>
  <c r="AI8" i="36"/>
  <c r="AK8" i="36" s="1"/>
  <c r="AH9" i="36" s="1"/>
  <c r="G5" i="39"/>
  <c r="AG10" i="36"/>
  <c r="AM10" i="36"/>
  <c r="AA10" i="36"/>
  <c r="AO8" i="36"/>
  <c r="AQ8" i="36" s="1"/>
  <c r="AN9" i="36" s="1"/>
  <c r="N5" i="36"/>
  <c r="AD9" i="36"/>
  <c r="AE5" i="32"/>
  <c r="J5" i="32"/>
  <c r="D5" i="32" s="1"/>
  <c r="E5" i="32" s="1"/>
  <c r="AF5" i="32"/>
  <c r="D4" i="39"/>
  <c r="AB4" i="39" s="1"/>
  <c r="AC4" i="39" s="1"/>
  <c r="E4" i="32"/>
  <c r="A17" i="37"/>
  <c r="A6" i="39"/>
  <c r="B5" i="39"/>
  <c r="M5" i="39"/>
  <c r="E5" i="39"/>
  <c r="N3" i="39"/>
  <c r="A5" i="36"/>
  <c r="B16" i="37"/>
  <c r="F3" i="39"/>
  <c r="B10" i="38"/>
  <c r="S5" i="32"/>
  <c r="H4" i="39"/>
  <c r="AC2" i="32"/>
  <c r="S2" i="36" s="1"/>
  <c r="AD2" i="32"/>
  <c r="AN3" i="32"/>
  <c r="AA3" i="32" s="1"/>
  <c r="AB3" i="32" s="1"/>
  <c r="AN4" i="32"/>
  <c r="AA4" i="32" s="1"/>
  <c r="AB4" i="32" s="1"/>
  <c r="H3" i="39"/>
  <c r="H2" i="39"/>
  <c r="J2" i="39" s="1"/>
  <c r="I2" i="36" s="1"/>
  <c r="AO5" i="32"/>
  <c r="AP5" i="32" s="1"/>
  <c r="AY5" i="32"/>
  <c r="AZ5" i="32" s="1"/>
  <c r="AQ5" i="32"/>
  <c r="AR5" i="32" s="1"/>
  <c r="AM5" i="32"/>
  <c r="AW5" i="32"/>
  <c r="AX5" i="32" s="1"/>
  <c r="AU5" i="32"/>
  <c r="AV5" i="32" s="1"/>
  <c r="AS5" i="32"/>
  <c r="AT5" i="32" s="1"/>
  <c r="AK6" i="32"/>
  <c r="H6" i="32"/>
  <c r="I6" i="32" s="1"/>
  <c r="J6" i="36"/>
  <c r="K6" i="36"/>
  <c r="L6" i="36"/>
  <c r="R6" i="36"/>
  <c r="A11" i="38"/>
  <c r="E6" i="36"/>
  <c r="A7" i="32"/>
  <c r="Z7" i="32" s="1"/>
  <c r="Y7" i="32" s="1"/>
  <c r="I9" i="38"/>
  <c r="O4" i="36"/>
  <c r="M6" i="32"/>
  <c r="U2" i="32"/>
  <c r="C10" i="38"/>
  <c r="F6" i="32"/>
  <c r="G6" i="32" s="1"/>
  <c r="B6" i="32"/>
  <c r="B11" i="38" s="1"/>
  <c r="L3" i="32"/>
  <c r="K3" i="32"/>
  <c r="F8" i="38"/>
  <c r="U3" i="36"/>
  <c r="BA6" i="32"/>
  <c r="AL6" i="32"/>
  <c r="BB6" i="32" s="1"/>
  <c r="BC6" i="32" s="1"/>
  <c r="V4" i="32"/>
  <c r="O4" i="32"/>
  <c r="AG4" i="32"/>
  <c r="Q2" i="39" l="1"/>
  <c r="L5" i="39"/>
  <c r="Q3" i="39"/>
  <c r="O3" i="39"/>
  <c r="P3" i="39" s="1"/>
  <c r="I14" i="37" a="1"/>
  <c r="I14" i="37" s="1"/>
  <c r="I13" i="37" a="1"/>
  <c r="I13" i="37" s="1"/>
  <c r="T5" i="39"/>
  <c r="V5" i="39"/>
  <c r="X5" i="39"/>
  <c r="U4" i="39"/>
  <c r="Z4" i="39"/>
  <c r="AA4" i="39" s="1"/>
  <c r="Y4" i="39"/>
  <c r="W4" i="39"/>
  <c r="N4" i="39"/>
  <c r="T2" i="36"/>
  <c r="AI9" i="36"/>
  <c r="AK9" i="36" s="1"/>
  <c r="AH10" i="36" s="1"/>
  <c r="AO9" i="36"/>
  <c r="AQ9" i="36" s="1"/>
  <c r="AN10" i="36" s="1"/>
  <c r="F4" i="39"/>
  <c r="Q4" i="39" s="1"/>
  <c r="AC9" i="36"/>
  <c r="AE9" i="36" s="1"/>
  <c r="AB10" i="36" s="1"/>
  <c r="V5" i="32"/>
  <c r="C16" i="37"/>
  <c r="O5" i="36"/>
  <c r="AG11" i="36"/>
  <c r="AM11" i="36"/>
  <c r="AA11" i="36"/>
  <c r="AD10" i="36"/>
  <c r="I10" i="38"/>
  <c r="D5" i="39"/>
  <c r="AB5" i="39" s="1"/>
  <c r="AP10" i="36"/>
  <c r="AJ10" i="36"/>
  <c r="D7" i="38"/>
  <c r="A6" i="36"/>
  <c r="AF6" i="32"/>
  <c r="E7" i="38"/>
  <c r="K4" i="39"/>
  <c r="G15" i="37" s="1"/>
  <c r="AE6" i="32"/>
  <c r="A18" i="37"/>
  <c r="A7" i="39"/>
  <c r="H5" i="39"/>
  <c r="B6" i="39"/>
  <c r="M6" i="39"/>
  <c r="E6" i="39"/>
  <c r="G6" i="39"/>
  <c r="B17" i="37"/>
  <c r="AH2" i="32"/>
  <c r="AD4" i="32"/>
  <c r="T4" i="36" s="1"/>
  <c r="AC4" i="32"/>
  <c r="S4" i="36" s="1"/>
  <c r="AD3" i="32"/>
  <c r="AC3" i="32"/>
  <c r="AN5" i="32"/>
  <c r="AA5" i="32" s="1"/>
  <c r="AB5" i="32" s="1"/>
  <c r="B2" i="36"/>
  <c r="C3" i="39"/>
  <c r="J3" i="39" s="1"/>
  <c r="I3" i="36" s="1"/>
  <c r="I2" i="39"/>
  <c r="D13" i="37" s="1"/>
  <c r="AY6" i="32"/>
  <c r="AZ6" i="32" s="1"/>
  <c r="AU6" i="32"/>
  <c r="AV6" i="32" s="1"/>
  <c r="AQ6" i="32"/>
  <c r="AR6" i="32" s="1"/>
  <c r="AM6" i="32"/>
  <c r="AW6" i="32"/>
  <c r="AX6" i="32" s="1"/>
  <c r="AS6" i="32"/>
  <c r="AT6" i="32" s="1"/>
  <c r="AO6" i="32"/>
  <c r="AP6" i="32" s="1"/>
  <c r="AK7" i="32"/>
  <c r="AG5" i="32"/>
  <c r="F10" i="38" s="1"/>
  <c r="B7" i="32"/>
  <c r="A7" i="36" s="1"/>
  <c r="M7" i="32"/>
  <c r="A8" i="32"/>
  <c r="Z8" i="32" s="1"/>
  <c r="Y8" i="32" s="1"/>
  <c r="H7" i="32"/>
  <c r="I7" i="32" s="1"/>
  <c r="S6" i="32"/>
  <c r="AL7" i="32"/>
  <c r="BB7" i="32" s="1"/>
  <c r="BC7" i="32" s="1"/>
  <c r="BA7" i="32"/>
  <c r="F7" i="32"/>
  <c r="G7" i="32" s="1"/>
  <c r="P3" i="36"/>
  <c r="H6" i="36"/>
  <c r="J6" i="32"/>
  <c r="P3" i="32"/>
  <c r="T3" i="32"/>
  <c r="C4" i="32"/>
  <c r="N3" i="32"/>
  <c r="N6" i="36"/>
  <c r="R7" i="36"/>
  <c r="E7" i="36"/>
  <c r="J7" i="36"/>
  <c r="K7" i="36"/>
  <c r="A12" i="38"/>
  <c r="L7" i="36"/>
  <c r="U4" i="36"/>
  <c r="F9" i="38"/>
  <c r="O5" i="32"/>
  <c r="AC5" i="39" l="1"/>
  <c r="L6" i="39"/>
  <c r="O4" i="39"/>
  <c r="P4" i="39" s="1"/>
  <c r="I15" i="37" a="1"/>
  <c r="I15" i="37" s="1"/>
  <c r="T6" i="39"/>
  <c r="V6" i="39"/>
  <c r="X6" i="39"/>
  <c r="U5" i="39"/>
  <c r="Z5" i="39"/>
  <c r="AA5" i="39" s="1"/>
  <c r="Y5" i="39"/>
  <c r="W5" i="39"/>
  <c r="K5" i="39"/>
  <c r="G16" i="37" s="1"/>
  <c r="N5" i="39"/>
  <c r="S7" i="32"/>
  <c r="F5" i="39"/>
  <c r="Q5" i="39" s="1"/>
  <c r="AI10" i="36"/>
  <c r="AK10" i="36" s="1"/>
  <c r="AH11" i="36" s="1"/>
  <c r="AO10" i="36"/>
  <c r="AQ10" i="36" s="1"/>
  <c r="AN11" i="36" s="1"/>
  <c r="B12" i="38"/>
  <c r="H7" i="36"/>
  <c r="K8" i="36"/>
  <c r="R8" i="36"/>
  <c r="AH3" i="32"/>
  <c r="G8" i="38" s="1"/>
  <c r="AC10" i="36"/>
  <c r="AE10" i="36" s="1"/>
  <c r="AB11" i="36" s="1"/>
  <c r="AJ11" i="36"/>
  <c r="AD11" i="36"/>
  <c r="AM12" i="36"/>
  <c r="AA12" i="36"/>
  <c r="AG12" i="36"/>
  <c r="AP11" i="36"/>
  <c r="A9" i="32"/>
  <c r="Z9" i="32" s="1"/>
  <c r="Y9" i="32" s="1"/>
  <c r="J7" i="32"/>
  <c r="D7" i="32" s="1"/>
  <c r="E7" i="32" s="1"/>
  <c r="B8" i="32"/>
  <c r="H8" i="36" s="1"/>
  <c r="AF7" i="32"/>
  <c r="H6" i="39"/>
  <c r="AE7" i="32"/>
  <c r="F8" i="32"/>
  <c r="G8" i="32" s="1"/>
  <c r="A8" i="39"/>
  <c r="A19" i="37"/>
  <c r="M8" i="32"/>
  <c r="B7" i="39"/>
  <c r="M7" i="39"/>
  <c r="E7" i="39"/>
  <c r="G7" i="39"/>
  <c r="AI2" i="32"/>
  <c r="G7" i="38"/>
  <c r="S3" i="36"/>
  <c r="B18" i="37"/>
  <c r="E9" i="38"/>
  <c r="D8" i="38"/>
  <c r="AH4" i="32"/>
  <c r="AI4" i="32" s="1"/>
  <c r="AL8" i="32"/>
  <c r="BB8" i="32" s="1"/>
  <c r="BC8" i="32" s="1"/>
  <c r="E8" i="36"/>
  <c r="D9" i="38"/>
  <c r="L8" i="36"/>
  <c r="AC5" i="32"/>
  <c r="AD5" i="32"/>
  <c r="T5" i="36" s="1"/>
  <c r="AN6" i="32"/>
  <c r="AA6" i="32" s="1"/>
  <c r="AB6" i="32" s="1"/>
  <c r="E8" i="38"/>
  <c r="T3" i="36"/>
  <c r="B3" i="36"/>
  <c r="C4" i="39"/>
  <c r="J4" i="39" s="1"/>
  <c r="I4" i="36" s="1"/>
  <c r="I3" i="39"/>
  <c r="D14" i="37" s="1"/>
  <c r="J8" i="36"/>
  <c r="BA8" i="32"/>
  <c r="A13" i="38"/>
  <c r="H8" i="32"/>
  <c r="I8" i="32" s="1"/>
  <c r="AW7" i="32"/>
  <c r="AX7" i="32" s="1"/>
  <c r="AS7" i="32"/>
  <c r="AT7" i="32" s="1"/>
  <c r="AO7" i="32"/>
  <c r="AP7" i="32" s="1"/>
  <c r="AY7" i="32"/>
  <c r="AZ7" i="32" s="1"/>
  <c r="AQ7" i="32"/>
  <c r="AR7" i="32" s="1"/>
  <c r="AU7" i="32"/>
  <c r="AV7" i="32" s="1"/>
  <c r="AM7" i="32"/>
  <c r="N7" i="36"/>
  <c r="AK8" i="32"/>
  <c r="U5" i="36"/>
  <c r="AG6" i="32"/>
  <c r="U6" i="36" s="1"/>
  <c r="U3" i="32"/>
  <c r="C12" i="38"/>
  <c r="L4" i="32"/>
  <c r="K4" i="32"/>
  <c r="D6" i="32"/>
  <c r="L7" i="39" l="1"/>
  <c r="O5" i="39"/>
  <c r="P5" i="39" s="1"/>
  <c r="T7" i="39"/>
  <c r="X7" i="39"/>
  <c r="V7" i="39"/>
  <c r="E6" i="32"/>
  <c r="B13" i="33" a="1"/>
  <c r="B13" i="33" s="1"/>
  <c r="I16" i="37" a="1"/>
  <c r="I16" i="37" s="1"/>
  <c r="AI3" i="32"/>
  <c r="H8" i="38" s="1"/>
  <c r="J8" i="32"/>
  <c r="D8" i="32" s="1"/>
  <c r="D8" i="39" s="1"/>
  <c r="Z8" i="39" s="1"/>
  <c r="B13" i="38"/>
  <c r="N8" i="36"/>
  <c r="S8" i="32"/>
  <c r="A8" i="36"/>
  <c r="AH5" i="32"/>
  <c r="G10" i="38" s="1"/>
  <c r="A9" i="39"/>
  <c r="E9" i="36"/>
  <c r="J9" i="36"/>
  <c r="AL9" i="32"/>
  <c r="BB9" i="32" s="1"/>
  <c r="BC9" i="32" s="1"/>
  <c r="BA9" i="32"/>
  <c r="F9" i="32"/>
  <c r="G9" i="32" s="1"/>
  <c r="L9" i="36"/>
  <c r="R9" i="36"/>
  <c r="K9" i="36"/>
  <c r="AD12" i="36"/>
  <c r="B9" i="32"/>
  <c r="B14" i="38" s="1"/>
  <c r="AP12" i="36"/>
  <c r="M9" i="32"/>
  <c r="AK9" i="32"/>
  <c r="A10" i="32"/>
  <c r="Z10" i="32" s="1"/>
  <c r="Y10" i="32" s="1"/>
  <c r="H9" i="32"/>
  <c r="I9" i="32" s="1"/>
  <c r="AM13" i="36"/>
  <c r="AG13" i="36"/>
  <c r="AA13" i="36"/>
  <c r="D7" i="39"/>
  <c r="Z7" i="39" s="1"/>
  <c r="AA7" i="39" s="1"/>
  <c r="AJ12" i="36"/>
  <c r="A14" i="38"/>
  <c r="A20" i="37"/>
  <c r="AQ8" i="32"/>
  <c r="AR8" i="32" s="1"/>
  <c r="H7" i="39"/>
  <c r="C18" i="37"/>
  <c r="G9" i="38"/>
  <c r="E10" i="38"/>
  <c r="AE8" i="32"/>
  <c r="C17" i="37"/>
  <c r="D6" i="39"/>
  <c r="AB6" i="39" s="1"/>
  <c r="AC6" i="39" s="1"/>
  <c r="B19" i="37"/>
  <c r="D10" i="38"/>
  <c r="F2" i="36"/>
  <c r="J7" i="38"/>
  <c r="V2" i="36"/>
  <c r="H7" i="38"/>
  <c r="AJ2" i="32"/>
  <c r="B8" i="39"/>
  <c r="M8" i="39"/>
  <c r="E8" i="39"/>
  <c r="G8" i="39"/>
  <c r="S5" i="36"/>
  <c r="AC6" i="32"/>
  <c r="D11" i="38" s="1"/>
  <c r="AD6" i="32"/>
  <c r="T6" i="36" s="1"/>
  <c r="AN7" i="32"/>
  <c r="AA7" i="32" s="1"/>
  <c r="AB7" i="32" s="1"/>
  <c r="AU8" i="32"/>
  <c r="AV8" i="32" s="1"/>
  <c r="AW8" i="32"/>
  <c r="AX8" i="32" s="1"/>
  <c r="AF8" i="32"/>
  <c r="B4" i="36"/>
  <c r="C5" i="39"/>
  <c r="J5" i="39" s="1"/>
  <c r="I5" i="36" s="1"/>
  <c r="I4" i="39"/>
  <c r="D15" i="37" s="1"/>
  <c r="AM8" i="32"/>
  <c r="AS8" i="32"/>
  <c r="AT8" i="32" s="1"/>
  <c r="AO8" i="32"/>
  <c r="AP8" i="32" s="1"/>
  <c r="AY8" i="32"/>
  <c r="AZ8" i="32" s="1"/>
  <c r="F11" i="38"/>
  <c r="AG7" i="32"/>
  <c r="U7" i="36" s="1"/>
  <c r="V7" i="32"/>
  <c r="V6" i="32"/>
  <c r="C5" i="32"/>
  <c r="T4" i="32"/>
  <c r="N4" i="32"/>
  <c r="P4" i="32"/>
  <c r="I11" i="38"/>
  <c r="O6" i="36"/>
  <c r="J9" i="38"/>
  <c r="H9" i="38"/>
  <c r="V4" i="36"/>
  <c r="F4" i="36"/>
  <c r="O6" i="32"/>
  <c r="I12" i="38"/>
  <c r="O7" i="36"/>
  <c r="C13" i="38"/>
  <c r="P4" i="36"/>
  <c r="AJ4" i="32"/>
  <c r="L8" i="39" l="1"/>
  <c r="AA8" i="39" s="1"/>
  <c r="AB8" i="39"/>
  <c r="AB7" i="39"/>
  <c r="AC7" i="39" s="1"/>
  <c r="T8" i="39"/>
  <c r="U8" i="39" s="1"/>
  <c r="V8" i="39"/>
  <c r="W8" i="39" s="1"/>
  <c r="X8" i="39"/>
  <c r="Y8" i="39" s="1"/>
  <c r="Z6" i="39"/>
  <c r="AA6" i="39" s="1"/>
  <c r="W6" i="39"/>
  <c r="Y6" i="39"/>
  <c r="U7" i="39"/>
  <c r="W7" i="39"/>
  <c r="Y7" i="39"/>
  <c r="U6" i="39"/>
  <c r="N8" i="39"/>
  <c r="N7" i="39"/>
  <c r="AG14" i="36"/>
  <c r="AJ14" i="36" s="1"/>
  <c r="F3" i="36"/>
  <c r="V3" i="36"/>
  <c r="AJ3" i="32"/>
  <c r="AF9" i="32"/>
  <c r="E8" i="32"/>
  <c r="I13" i="38"/>
  <c r="O8" i="36"/>
  <c r="V8" i="32"/>
  <c r="C19" i="37"/>
  <c r="H9" i="36"/>
  <c r="B20" i="37"/>
  <c r="J8" i="38"/>
  <c r="A9" i="36"/>
  <c r="A15" i="38"/>
  <c r="G9" i="39"/>
  <c r="E9" i="39"/>
  <c r="S9" i="32"/>
  <c r="B10" i="32"/>
  <c r="N10" i="36" s="1"/>
  <c r="AU9" i="32"/>
  <c r="AV9" i="32" s="1"/>
  <c r="M9" i="39"/>
  <c r="AM9" i="32"/>
  <c r="AN9" i="32" s="1"/>
  <c r="AA9" i="32" s="1"/>
  <c r="AB9" i="32" s="1"/>
  <c r="AM14" i="36"/>
  <c r="AP14" i="36" s="1"/>
  <c r="AA14" i="36"/>
  <c r="AD14" i="36" s="1"/>
  <c r="F7" i="39"/>
  <c r="Q7" i="39" s="1"/>
  <c r="AI5" i="32"/>
  <c r="J10" i="38" s="1"/>
  <c r="AO12" i="36"/>
  <c r="AI12" i="36"/>
  <c r="F8" i="39"/>
  <c r="AI11" i="36"/>
  <c r="AK11" i="36" s="1"/>
  <c r="AH12" i="36" s="1"/>
  <c r="AC11" i="36"/>
  <c r="AE11" i="36" s="1"/>
  <c r="AB12" i="36" s="1"/>
  <c r="AO11" i="36"/>
  <c r="AQ11" i="36" s="1"/>
  <c r="AN12" i="36" s="1"/>
  <c r="E10" i="36"/>
  <c r="AO9" i="32"/>
  <c r="AP9" i="32" s="1"/>
  <c r="AE9" i="32"/>
  <c r="N9" i="36"/>
  <c r="AS9" i="32"/>
  <c r="AT9" i="32" s="1"/>
  <c r="AI13" i="36"/>
  <c r="AJ13" i="36"/>
  <c r="AK10" i="32"/>
  <c r="L10" i="36"/>
  <c r="J10" i="36"/>
  <c r="A10" i="39"/>
  <c r="AC12" i="36"/>
  <c r="AO13" i="36"/>
  <c r="AP13" i="36"/>
  <c r="AY9" i="32"/>
  <c r="AZ9" i="32" s="1"/>
  <c r="BA10" i="32"/>
  <c r="A11" i="32"/>
  <c r="Z11" i="32" s="1"/>
  <c r="Y11" i="32" s="1"/>
  <c r="C14" i="38"/>
  <c r="AC13" i="36"/>
  <c r="AD13" i="36"/>
  <c r="J9" i="32"/>
  <c r="D9" i="32" s="1"/>
  <c r="E9" i="32" s="1"/>
  <c r="AW9" i="32"/>
  <c r="AX9" i="32" s="1"/>
  <c r="AQ9" i="32"/>
  <c r="AR9" i="32" s="1"/>
  <c r="B9" i="39"/>
  <c r="M10" i="32"/>
  <c r="K10" i="36"/>
  <c r="A21" i="37"/>
  <c r="R10" i="36"/>
  <c r="AL10" i="32"/>
  <c r="BB10" i="32" s="1"/>
  <c r="BC10" i="32" s="1"/>
  <c r="H10" i="32"/>
  <c r="I10" i="32" s="1"/>
  <c r="F10" i="32"/>
  <c r="G10" i="32" s="1"/>
  <c r="H8" i="39"/>
  <c r="K8" i="39"/>
  <c r="G19" i="37" s="1"/>
  <c r="N6" i="39"/>
  <c r="K6" i="39"/>
  <c r="G17" i="37" s="1"/>
  <c r="F6" i="39"/>
  <c r="Q6" i="39" s="1"/>
  <c r="K7" i="39"/>
  <c r="G18" i="37" s="1"/>
  <c r="AH6" i="32"/>
  <c r="G11" i="38" s="1"/>
  <c r="E11" i="38"/>
  <c r="AD7" i="32"/>
  <c r="T7" i="36" s="1"/>
  <c r="AC7" i="32"/>
  <c r="D12" i="38" s="1"/>
  <c r="S6" i="36"/>
  <c r="AN8" i="32"/>
  <c r="AA8" i="32" s="1"/>
  <c r="AB8" i="32" s="1"/>
  <c r="B5" i="36"/>
  <c r="I5" i="39"/>
  <c r="D16" i="37" s="1"/>
  <c r="C6" i="39"/>
  <c r="F12" i="38"/>
  <c r="U4" i="32"/>
  <c r="K5" i="32"/>
  <c r="L5" i="32"/>
  <c r="O7" i="32"/>
  <c r="AG8" i="32"/>
  <c r="AC8" i="39" l="1"/>
  <c r="L9" i="39"/>
  <c r="Q8" i="39"/>
  <c r="O7" i="39"/>
  <c r="P7" i="39" s="1"/>
  <c r="I18" i="37" a="1"/>
  <c r="I18" i="37" s="1"/>
  <c r="O8" i="39"/>
  <c r="P8" i="39" s="1"/>
  <c r="I19" i="37" a="1"/>
  <c r="I19" i="37" s="1"/>
  <c r="O6" i="39"/>
  <c r="P6" i="39" s="1"/>
  <c r="I17" i="37" a="1"/>
  <c r="I17" i="37" s="1"/>
  <c r="T9" i="39"/>
  <c r="V9" i="39"/>
  <c r="X9" i="39"/>
  <c r="B15" i="33" a="1"/>
  <c r="B15" i="33" s="1"/>
  <c r="H9" i="39"/>
  <c r="S10" i="32"/>
  <c r="B10" i="39"/>
  <c r="A10" i="36"/>
  <c r="B15" i="38"/>
  <c r="J10" i="32"/>
  <c r="D10" i="32" s="1"/>
  <c r="E10" i="32" s="1"/>
  <c r="B21" i="37"/>
  <c r="H10" i="36"/>
  <c r="AK12" i="36"/>
  <c r="AH13" i="36" s="1"/>
  <c r="AK13" i="36" s="1"/>
  <c r="AH14" i="36" s="1"/>
  <c r="AJ5" i="32"/>
  <c r="H10" i="38"/>
  <c r="V5" i="36"/>
  <c r="F5" i="36"/>
  <c r="AQ12" i="36"/>
  <c r="AN13" i="36" s="1"/>
  <c r="AQ13" i="36" s="1"/>
  <c r="AN14" i="36" s="1"/>
  <c r="M10" i="39"/>
  <c r="AE10" i="32"/>
  <c r="E10" i="39"/>
  <c r="AS10" i="32"/>
  <c r="AT10" i="32" s="1"/>
  <c r="AL11" i="32"/>
  <c r="BB11" i="32" s="1"/>
  <c r="BC11" i="32" s="1"/>
  <c r="L11" i="36"/>
  <c r="BA11" i="32"/>
  <c r="E11" i="36"/>
  <c r="AM10" i="32"/>
  <c r="AN10" i="32" s="1"/>
  <c r="AA10" i="32" s="1"/>
  <c r="AB10" i="32" s="1"/>
  <c r="AQ10" i="32"/>
  <c r="AR10" i="32" s="1"/>
  <c r="R11" i="36"/>
  <c r="M11" i="32"/>
  <c r="A16" i="38"/>
  <c r="K11" i="36"/>
  <c r="AU10" i="32"/>
  <c r="AV10" i="32" s="1"/>
  <c r="AW10" i="32"/>
  <c r="AX10" i="32" s="1"/>
  <c r="A12" i="32"/>
  <c r="Z12" i="32" s="1"/>
  <c r="Y12" i="32" s="1"/>
  <c r="H11" i="32"/>
  <c r="I11" i="32" s="1"/>
  <c r="B11" i="32"/>
  <c r="A11" i="36" s="1"/>
  <c r="F11" i="32"/>
  <c r="G11" i="32" s="1"/>
  <c r="AK11" i="32"/>
  <c r="AF10" i="32"/>
  <c r="AA15" i="36"/>
  <c r="AG15" i="36"/>
  <c r="AM15" i="36"/>
  <c r="AY10" i="32"/>
  <c r="AZ10" i="32" s="1"/>
  <c r="AO10" i="32"/>
  <c r="AP10" i="32" s="1"/>
  <c r="AC9" i="32"/>
  <c r="S9" i="36" s="1"/>
  <c r="AE12" i="36"/>
  <c r="AB13" i="36" s="1"/>
  <c r="AE13" i="36" s="1"/>
  <c r="AB14" i="36" s="1"/>
  <c r="A11" i="39"/>
  <c r="J11" i="36"/>
  <c r="A22" i="37"/>
  <c r="G10" i="39"/>
  <c r="J6" i="39"/>
  <c r="I6" i="36" s="1"/>
  <c r="AI6" i="32"/>
  <c r="F6" i="36" s="1"/>
  <c r="AH7" i="32"/>
  <c r="G12" i="38" s="1"/>
  <c r="E12" i="38"/>
  <c r="S7" i="36"/>
  <c r="C20" i="37"/>
  <c r="D9" i="39"/>
  <c r="Z9" i="39" s="1"/>
  <c r="AD8" i="32"/>
  <c r="T8" i="36" s="1"/>
  <c r="AC8" i="32"/>
  <c r="S8" i="36" s="1"/>
  <c r="AD9" i="32"/>
  <c r="T9" i="36" s="1"/>
  <c r="C15" i="38"/>
  <c r="P5" i="36"/>
  <c r="O8" i="32"/>
  <c r="C6" i="32"/>
  <c r="T5" i="32"/>
  <c r="N5" i="32"/>
  <c r="P5" i="32"/>
  <c r="F13" i="38"/>
  <c r="U8" i="36"/>
  <c r="I14" i="38"/>
  <c r="O9" i="36"/>
  <c r="V9" i="32"/>
  <c r="AG9" i="32"/>
  <c r="AA9" i="39" l="1"/>
  <c r="L10" i="39"/>
  <c r="AB9" i="39"/>
  <c r="AC9" i="39" s="1"/>
  <c r="T10" i="39"/>
  <c r="X10" i="39"/>
  <c r="V10" i="39"/>
  <c r="Y9" i="39"/>
  <c r="W9" i="39"/>
  <c r="U9" i="39"/>
  <c r="M11" i="39"/>
  <c r="A13" i="32"/>
  <c r="Z13" i="32" s="1"/>
  <c r="Y13" i="32" s="1"/>
  <c r="L12" i="36"/>
  <c r="AS11" i="32"/>
  <c r="AT11" i="32" s="1"/>
  <c r="B12" i="32"/>
  <c r="N12" i="36" s="1"/>
  <c r="H10" i="39"/>
  <c r="K12" i="36"/>
  <c r="AO11" i="32"/>
  <c r="AP11" i="32" s="1"/>
  <c r="J12" i="36"/>
  <c r="R12" i="36"/>
  <c r="F12" i="32"/>
  <c r="G12" i="32" s="1"/>
  <c r="M12" i="32"/>
  <c r="AC10" i="32"/>
  <c r="S10" i="36" s="1"/>
  <c r="AW11" i="32"/>
  <c r="AX11" i="32" s="1"/>
  <c r="AQ11" i="32"/>
  <c r="AR11" i="32" s="1"/>
  <c r="AK12" i="32"/>
  <c r="AM11" i="32"/>
  <c r="AN11" i="32" s="1"/>
  <c r="AA11" i="32" s="1"/>
  <c r="AB11" i="32" s="1"/>
  <c r="AU11" i="32"/>
  <c r="AV11" i="32" s="1"/>
  <c r="AY11" i="32"/>
  <c r="AZ11" i="32" s="1"/>
  <c r="G11" i="39"/>
  <c r="N11" i="36"/>
  <c r="H12" i="32"/>
  <c r="I12" i="32" s="1"/>
  <c r="AC14" i="36"/>
  <c r="AE14" i="36" s="1"/>
  <c r="AB15" i="36" s="1"/>
  <c r="AO14" i="36"/>
  <c r="AQ14" i="36" s="1"/>
  <c r="AN15" i="36" s="1"/>
  <c r="AI14" i="36"/>
  <c r="AK14" i="36" s="1"/>
  <c r="AH15" i="36" s="1"/>
  <c r="J11" i="32"/>
  <c r="D11" i="32" s="1"/>
  <c r="E11" i="32" s="1"/>
  <c r="AJ15" i="36"/>
  <c r="AL12" i="32"/>
  <c r="BB12" i="32" s="1"/>
  <c r="BC12" i="32" s="1"/>
  <c r="B22" i="37"/>
  <c r="AM16" i="36"/>
  <c r="AA16" i="36"/>
  <c r="AG16" i="36"/>
  <c r="E11" i="39"/>
  <c r="B16" i="38"/>
  <c r="B11" i="39"/>
  <c r="AE11" i="32"/>
  <c r="S11" i="32"/>
  <c r="C7" i="39"/>
  <c r="J7" i="39" s="1"/>
  <c r="I7" i="36" s="1"/>
  <c r="E12" i="36"/>
  <c r="B6" i="36"/>
  <c r="A12" i="39"/>
  <c r="AF11" i="32"/>
  <c r="AP15" i="36"/>
  <c r="H11" i="36"/>
  <c r="I6" i="39"/>
  <c r="D17" i="37" s="1"/>
  <c r="AD15" i="36"/>
  <c r="BA12" i="32"/>
  <c r="A17" i="38"/>
  <c r="A23" i="37"/>
  <c r="AI7" i="32"/>
  <c r="V6" i="36"/>
  <c r="J11" i="38"/>
  <c r="D13" i="38"/>
  <c r="N9" i="39"/>
  <c r="K9" i="39"/>
  <c r="G20" i="37" s="1"/>
  <c r="F9" i="39"/>
  <c r="Q9" i="39" s="1"/>
  <c r="E13" i="38"/>
  <c r="AH8" i="32"/>
  <c r="AI8" i="32" s="1"/>
  <c r="F8" i="36" s="1"/>
  <c r="C21" i="37"/>
  <c r="D10" i="39"/>
  <c r="AB10" i="39" s="1"/>
  <c r="AC10" i="39" s="1"/>
  <c r="AJ6" i="32"/>
  <c r="H11" i="38"/>
  <c r="AD10" i="32"/>
  <c r="T10" i="36" s="1"/>
  <c r="E14" i="38"/>
  <c r="D14" i="38"/>
  <c r="AH9" i="32"/>
  <c r="G14" i="38" s="1"/>
  <c r="O9" i="32"/>
  <c r="U5" i="32"/>
  <c r="AG10" i="32"/>
  <c r="I15" i="38"/>
  <c r="O10" i="36"/>
  <c r="K6" i="32"/>
  <c r="L6" i="32"/>
  <c r="U9" i="36"/>
  <c r="F14" i="38"/>
  <c r="V10" i="32"/>
  <c r="C16" i="38"/>
  <c r="L11" i="39" l="1"/>
  <c r="V7" i="36"/>
  <c r="H13" i="32"/>
  <c r="I13" i="32" s="1"/>
  <c r="F13" i="32"/>
  <c r="G13" i="32" s="1"/>
  <c r="B13" i="32"/>
  <c r="A13" i="36" s="1"/>
  <c r="AL13" i="32"/>
  <c r="BB13" i="32" s="1"/>
  <c r="BC13" i="32" s="1"/>
  <c r="M13" i="32"/>
  <c r="BA13" i="32"/>
  <c r="L13" i="36"/>
  <c r="A14" i="32"/>
  <c r="Z14" i="32" s="1"/>
  <c r="AK13" i="32"/>
  <c r="O9" i="39"/>
  <c r="P9" i="39" s="1"/>
  <c r="I20" i="37" a="1"/>
  <c r="I20" i="37" s="1"/>
  <c r="T11" i="39"/>
  <c r="V11" i="39"/>
  <c r="X11" i="39"/>
  <c r="U10" i="39"/>
  <c r="Z10" i="39"/>
  <c r="AA10" i="39" s="1"/>
  <c r="Y10" i="39"/>
  <c r="W10" i="39"/>
  <c r="K13" i="36"/>
  <c r="J13" i="36"/>
  <c r="A18" i="38"/>
  <c r="E13" i="36"/>
  <c r="A24" i="37"/>
  <c r="R13" i="36"/>
  <c r="K10" i="39"/>
  <c r="G21" i="37" s="1"/>
  <c r="A13" i="39"/>
  <c r="G12" i="39"/>
  <c r="J12" i="32"/>
  <c r="D12" i="32" s="1"/>
  <c r="I17" i="38" s="1"/>
  <c r="S12" i="32"/>
  <c r="H12" i="38"/>
  <c r="J12" i="38"/>
  <c r="AE12" i="32"/>
  <c r="AF12" i="32"/>
  <c r="B17" i="38"/>
  <c r="AW12" i="32"/>
  <c r="AX12" i="32" s="1"/>
  <c r="A12" i="36"/>
  <c r="F7" i="36"/>
  <c r="AC15" i="36"/>
  <c r="AE15" i="36" s="1"/>
  <c r="AB16" i="36" s="1"/>
  <c r="H12" i="36"/>
  <c r="B23" i="37"/>
  <c r="AC11" i="32"/>
  <c r="S11" i="36" s="1"/>
  <c r="V8" i="36"/>
  <c r="H11" i="39"/>
  <c r="AI15" i="36"/>
  <c r="AK15" i="36" s="1"/>
  <c r="AH16" i="36" s="1"/>
  <c r="H13" i="38"/>
  <c r="AJ7" i="32"/>
  <c r="E12" i="39"/>
  <c r="B12" i="39"/>
  <c r="C22" i="37"/>
  <c r="I7" i="39"/>
  <c r="D18" i="37" s="1"/>
  <c r="AO12" i="32"/>
  <c r="AP12" i="32" s="1"/>
  <c r="AO15" i="36"/>
  <c r="AQ15" i="36" s="1"/>
  <c r="AN16" i="36" s="1"/>
  <c r="AQ12" i="32"/>
  <c r="AR12" i="32" s="1"/>
  <c r="AS12" i="32"/>
  <c r="AT12" i="32" s="1"/>
  <c r="O11" i="36"/>
  <c r="I16" i="38"/>
  <c r="V11" i="32"/>
  <c r="D11" i="39"/>
  <c r="AB11" i="39" s="1"/>
  <c r="AJ16" i="36"/>
  <c r="B7" i="36"/>
  <c r="AY12" i="32"/>
  <c r="AZ12" i="32" s="1"/>
  <c r="AG17" i="36"/>
  <c r="AM17" i="36"/>
  <c r="AA17" i="36"/>
  <c r="AD16" i="36"/>
  <c r="AP16" i="36"/>
  <c r="AM12" i="32"/>
  <c r="AN12" i="32" s="1"/>
  <c r="AA12" i="32" s="1"/>
  <c r="AB12" i="32" s="1"/>
  <c r="C8" i="39"/>
  <c r="J8" i="39" s="1"/>
  <c r="I8" i="36" s="1"/>
  <c r="AU12" i="32"/>
  <c r="AV12" i="32" s="1"/>
  <c r="M12" i="39"/>
  <c r="AJ8" i="32"/>
  <c r="J13" i="38"/>
  <c r="G13" i="38"/>
  <c r="N10" i="39"/>
  <c r="F10" i="39"/>
  <c r="Q10" i="39" s="1"/>
  <c r="AI9" i="32"/>
  <c r="H14" i="38" s="1"/>
  <c r="AD11" i="32"/>
  <c r="D15" i="38"/>
  <c r="AH10" i="32"/>
  <c r="G15" i="38" s="1"/>
  <c r="E15" i="38"/>
  <c r="P6" i="36"/>
  <c r="U10" i="36"/>
  <c r="F15" i="38"/>
  <c r="O10" i="32"/>
  <c r="T6" i="32"/>
  <c r="P6" i="32"/>
  <c r="C7" i="32"/>
  <c r="N6" i="32"/>
  <c r="AG11" i="32"/>
  <c r="C17" i="38"/>
  <c r="N13" i="36"/>
  <c r="A19" i="38"/>
  <c r="J13" i="32"/>
  <c r="D13" i="32" s="1"/>
  <c r="AC11" i="39" l="1"/>
  <c r="H13" i="36"/>
  <c r="S13" i="32"/>
  <c r="L12" i="39"/>
  <c r="B14" i="32"/>
  <c r="A14" i="36" s="1"/>
  <c r="B24" i="37"/>
  <c r="AY13" i="32"/>
  <c r="AZ13" i="32" s="1"/>
  <c r="F14" i="32"/>
  <c r="G14" i="32" s="1"/>
  <c r="J14" i="32" s="1"/>
  <c r="D14" i="32" s="1"/>
  <c r="L14" i="36"/>
  <c r="K14" i="36"/>
  <c r="AU13" i="32"/>
  <c r="AV13" i="32" s="1"/>
  <c r="AM13" i="32"/>
  <c r="AN13" i="32" s="1"/>
  <c r="AA13" i="32" s="1"/>
  <c r="AB13" i="32" s="1"/>
  <c r="AQ13" i="32"/>
  <c r="AR13" i="32" s="1"/>
  <c r="AS13" i="32"/>
  <c r="AT13" i="32" s="1"/>
  <c r="AO13" i="32"/>
  <c r="AP13" i="32" s="1"/>
  <c r="M14" i="32"/>
  <c r="B18" i="38"/>
  <c r="H14" i="32"/>
  <c r="I14" i="32" s="1"/>
  <c r="R14" i="36"/>
  <c r="A25" i="37"/>
  <c r="A15" i="32"/>
  <c r="Z15" i="32" s="1"/>
  <c r="A14" i="39"/>
  <c r="BA14" i="32"/>
  <c r="AL14" i="32"/>
  <c r="BB14" i="32" s="1"/>
  <c r="BC14" i="32" s="1"/>
  <c r="AK14" i="32"/>
  <c r="E14" i="36"/>
  <c r="AW13" i="32"/>
  <c r="AX13" i="32" s="1"/>
  <c r="J14" i="36"/>
  <c r="Y14" i="32"/>
  <c r="M13" i="39"/>
  <c r="O10" i="39"/>
  <c r="P10" i="39" s="1"/>
  <c r="I21" i="37" a="1"/>
  <c r="I21" i="37" s="1"/>
  <c r="T12" i="39"/>
  <c r="V12" i="39"/>
  <c r="X12" i="39"/>
  <c r="D12" i="39"/>
  <c r="AB12" i="39" s="1"/>
  <c r="AC12" i="39" s="1"/>
  <c r="C23" i="37"/>
  <c r="V12" i="32"/>
  <c r="O12" i="36"/>
  <c r="U11" i="39"/>
  <c r="Z11" i="39"/>
  <c r="AA11" i="39" s="1"/>
  <c r="Y11" i="39"/>
  <c r="W11" i="39"/>
  <c r="E12" i="32"/>
  <c r="B13" i="39"/>
  <c r="AA18" i="36"/>
  <c r="AD18" i="36" s="1"/>
  <c r="AM18" i="36"/>
  <c r="AP18" i="36" s="1"/>
  <c r="G13" i="39"/>
  <c r="AG18" i="36"/>
  <c r="AJ18" i="36" s="1"/>
  <c r="E13" i="39"/>
  <c r="H12" i="39"/>
  <c r="AI16" i="36"/>
  <c r="AK16" i="36" s="1"/>
  <c r="AH17" i="36" s="1"/>
  <c r="AE13" i="32"/>
  <c r="AF13" i="32"/>
  <c r="B8" i="36"/>
  <c r="I8" i="39"/>
  <c r="D19" i="37" s="1"/>
  <c r="C9" i="39"/>
  <c r="J9" i="39" s="1"/>
  <c r="I9" i="36" s="1"/>
  <c r="AC16" i="36"/>
  <c r="AE16" i="36" s="1"/>
  <c r="AB17" i="36" s="1"/>
  <c r="AD17" i="36"/>
  <c r="AJ17" i="36"/>
  <c r="AC12" i="32"/>
  <c r="S12" i="36" s="1"/>
  <c r="N11" i="39"/>
  <c r="K11" i="39"/>
  <c r="G22" i="37" s="1"/>
  <c r="F11" i="39"/>
  <c r="Q11" i="39" s="1"/>
  <c r="AP17" i="36"/>
  <c r="AO16" i="36"/>
  <c r="AQ16" i="36" s="1"/>
  <c r="AN17" i="36" s="1"/>
  <c r="C24" i="37"/>
  <c r="E13" i="32"/>
  <c r="D13" i="39"/>
  <c r="AJ9" i="32"/>
  <c r="V9" i="36"/>
  <c r="J14" i="38"/>
  <c r="F9" i="36"/>
  <c r="AD12" i="32"/>
  <c r="AG12" i="32"/>
  <c r="U12" i="36" s="1"/>
  <c r="D16" i="38"/>
  <c r="AI10" i="32"/>
  <c r="V10" i="36" s="1"/>
  <c r="V13" i="32"/>
  <c r="AH11" i="32"/>
  <c r="G16" i="38" s="1"/>
  <c r="B19" i="38"/>
  <c r="K7" i="32"/>
  <c r="L7" i="32"/>
  <c r="E16" i="38"/>
  <c r="T11" i="36"/>
  <c r="O11" i="32"/>
  <c r="U6" i="32"/>
  <c r="O13" i="36"/>
  <c r="I18" i="38"/>
  <c r="F16" i="38"/>
  <c r="U11" i="36"/>
  <c r="C18" i="38"/>
  <c r="BA15" i="32"/>
  <c r="S14" i="32"/>
  <c r="H14" i="36" l="1"/>
  <c r="B25" i="37"/>
  <c r="N14" i="36"/>
  <c r="AU14" i="32"/>
  <c r="AV14" i="32" s="1"/>
  <c r="L13" i="39"/>
  <c r="J15" i="36"/>
  <c r="R15" i="36"/>
  <c r="M14" i="39"/>
  <c r="AG19" i="36"/>
  <c r="AJ19" i="36" s="1"/>
  <c r="F15" i="32"/>
  <c r="G15" i="32" s="1"/>
  <c r="A20" i="38"/>
  <c r="H15" i="32"/>
  <c r="I15" i="32" s="1"/>
  <c r="A16" i="32"/>
  <c r="Z16" i="32" s="1"/>
  <c r="M15" i="32"/>
  <c r="E15" i="36"/>
  <c r="AK15" i="32"/>
  <c r="L15" i="36"/>
  <c r="B15" i="32"/>
  <c r="B20" i="38" s="1"/>
  <c r="AL15" i="32"/>
  <c r="BB15" i="32" s="1"/>
  <c r="BC15" i="32" s="1"/>
  <c r="K15" i="36"/>
  <c r="AY14" i="32"/>
  <c r="AZ14" i="32" s="1"/>
  <c r="AO14" i="32"/>
  <c r="AP14" i="32" s="1"/>
  <c r="AM19" i="36"/>
  <c r="AP19" i="36" s="1"/>
  <c r="G14" i="39"/>
  <c r="AA19" i="36"/>
  <c r="AD19" i="36" s="1"/>
  <c r="AS14" i="32"/>
  <c r="AT14" i="32" s="1"/>
  <c r="AQ14" i="32"/>
  <c r="AR14" i="32" s="1"/>
  <c r="E14" i="39"/>
  <c r="T14" i="39" s="1"/>
  <c r="B14" i="39"/>
  <c r="Y15" i="32"/>
  <c r="AW14" i="32"/>
  <c r="AX14" i="32" s="1"/>
  <c r="AM14" i="32"/>
  <c r="AN14" i="32" s="1"/>
  <c r="AA14" i="32" s="1"/>
  <c r="AB14" i="32" s="1"/>
  <c r="A15" i="39"/>
  <c r="A26" i="37"/>
  <c r="C19" i="38"/>
  <c r="AF14" i="32"/>
  <c r="AC13" i="32"/>
  <c r="S13" i="36" s="1"/>
  <c r="AE14" i="32"/>
  <c r="AB13" i="39"/>
  <c r="AC13" i="39" s="1"/>
  <c r="AO17" i="36"/>
  <c r="AQ17" i="36" s="1"/>
  <c r="AN18" i="36" s="1"/>
  <c r="K12" i="39"/>
  <c r="G23" i="37" s="1"/>
  <c r="Y12" i="39"/>
  <c r="W12" i="39"/>
  <c r="U12" i="39"/>
  <c r="N12" i="39"/>
  <c r="AC17" i="36"/>
  <c r="AE17" i="36" s="1"/>
  <c r="AB18" i="36" s="1"/>
  <c r="AI17" i="36"/>
  <c r="AK17" i="36" s="1"/>
  <c r="AH18" i="36" s="1"/>
  <c r="F12" i="39"/>
  <c r="Z12" i="39"/>
  <c r="AA12" i="39" s="1"/>
  <c r="O11" i="39"/>
  <c r="P11" i="39" s="1"/>
  <c r="I22" i="37" a="1"/>
  <c r="I22" i="37" s="1"/>
  <c r="T13" i="39"/>
  <c r="U13" i="39" s="1"/>
  <c r="X13" i="39"/>
  <c r="Y13" i="39" s="1"/>
  <c r="V13" i="39"/>
  <c r="W13" i="39" s="1"/>
  <c r="Z13" i="39"/>
  <c r="H13" i="39"/>
  <c r="AO18" i="36"/>
  <c r="B9" i="36"/>
  <c r="C10" i="39"/>
  <c r="J10" i="39" s="1"/>
  <c r="I10" i="36" s="1"/>
  <c r="I9" i="39"/>
  <c r="D20" i="37" s="1"/>
  <c r="AI18" i="36"/>
  <c r="AC18" i="36"/>
  <c r="N13" i="39"/>
  <c r="K13" i="39"/>
  <c r="G24" i="37" s="1"/>
  <c r="C25" i="37"/>
  <c r="E14" i="32"/>
  <c r="F13" i="39"/>
  <c r="D14" i="39"/>
  <c r="AG13" i="32"/>
  <c r="U13" i="36" s="1"/>
  <c r="F17" i="38"/>
  <c r="AD13" i="32"/>
  <c r="AJ10" i="32"/>
  <c r="J15" i="38"/>
  <c r="H15" i="38"/>
  <c r="F10" i="36"/>
  <c r="D17" i="38"/>
  <c r="AI11" i="32"/>
  <c r="F11" i="36" s="1"/>
  <c r="V14" i="32"/>
  <c r="O14" i="36"/>
  <c r="I19" i="38"/>
  <c r="P7" i="36"/>
  <c r="H15" i="36"/>
  <c r="C8" i="32"/>
  <c r="T7" i="32"/>
  <c r="N7" i="32"/>
  <c r="P7" i="32"/>
  <c r="E17" i="38"/>
  <c r="T12" i="36"/>
  <c r="O12" i="32"/>
  <c r="AH12" i="32"/>
  <c r="G17" i="38" s="1"/>
  <c r="S15" i="32" l="1"/>
  <c r="AW15" i="32"/>
  <c r="AX15" i="32" s="1"/>
  <c r="Q13" i="39"/>
  <c r="AA13" i="39"/>
  <c r="L14" i="39"/>
  <c r="AF15" i="32"/>
  <c r="O12" i="39"/>
  <c r="P12" i="39" s="1"/>
  <c r="Q12" i="39"/>
  <c r="I23" i="37" s="1" a="1"/>
  <c r="I23" i="37" s="1"/>
  <c r="A17" i="32"/>
  <c r="Z17" i="32" s="1"/>
  <c r="A16" i="39"/>
  <c r="AA21" i="36" s="1"/>
  <c r="A21" i="38"/>
  <c r="AM20" i="36"/>
  <c r="AP20" i="36" s="1"/>
  <c r="AL16" i="32"/>
  <c r="BB16" i="32" s="1"/>
  <c r="BC16" i="32" s="1"/>
  <c r="L16" i="36"/>
  <c r="BA16" i="32"/>
  <c r="K16" i="36"/>
  <c r="A27" i="37"/>
  <c r="J16" i="36"/>
  <c r="AK16" i="32"/>
  <c r="H16" i="32"/>
  <c r="I16" i="32" s="1"/>
  <c r="E16" i="36"/>
  <c r="R16" i="36"/>
  <c r="M16" i="32"/>
  <c r="F16" i="32"/>
  <c r="G16" i="32" s="1"/>
  <c r="B16" i="32"/>
  <c r="H16" i="36" s="1"/>
  <c r="C20" i="38"/>
  <c r="A15" i="36"/>
  <c r="AY15" i="32"/>
  <c r="AZ15" i="32" s="1"/>
  <c r="AO15" i="32"/>
  <c r="AP15" i="32" s="1"/>
  <c r="AQ15" i="32"/>
  <c r="AR15" i="32" s="1"/>
  <c r="AS15" i="32"/>
  <c r="AT15" i="32" s="1"/>
  <c r="AU15" i="32"/>
  <c r="AV15" i="32" s="1"/>
  <c r="AM15" i="32"/>
  <c r="AN15" i="32" s="1"/>
  <c r="AA15" i="32" s="1"/>
  <c r="AB15" i="32" s="1"/>
  <c r="AC14" i="32"/>
  <c r="J15" i="32"/>
  <c r="D15" i="32" s="1"/>
  <c r="V15" i="32" s="1"/>
  <c r="G15" i="39"/>
  <c r="N15" i="36"/>
  <c r="E15" i="39"/>
  <c r="T15" i="39" s="1"/>
  <c r="AE15" i="32"/>
  <c r="Y16" i="32"/>
  <c r="B26" i="37"/>
  <c r="B15" i="39"/>
  <c r="AA20" i="36"/>
  <c r="AD20" i="36" s="1"/>
  <c r="M15" i="39"/>
  <c r="AG20" i="36"/>
  <c r="AJ20" i="36" s="1"/>
  <c r="X14" i="39"/>
  <c r="Y14" i="39" s="1"/>
  <c r="V14" i="39"/>
  <c r="W14" i="39" s="1"/>
  <c r="H14" i="39"/>
  <c r="AB14" i="39"/>
  <c r="O13" i="39"/>
  <c r="P13" i="39" s="1"/>
  <c r="I24" i="37" a="1"/>
  <c r="I24" i="37" s="1"/>
  <c r="AQ18" i="36"/>
  <c r="AN19" i="36" s="1"/>
  <c r="U14" i="39"/>
  <c r="Z14" i="39"/>
  <c r="AI19" i="36"/>
  <c r="B10" i="36"/>
  <c r="C11" i="39"/>
  <c r="J11" i="39" s="1"/>
  <c r="I11" i="36" s="1"/>
  <c r="I10" i="39"/>
  <c r="D21" i="37" s="1"/>
  <c r="AE18" i="36"/>
  <c r="AB19" i="36" s="1"/>
  <c r="AK18" i="36"/>
  <c r="AH19" i="36" s="1"/>
  <c r="AC19" i="36"/>
  <c r="AO19" i="36"/>
  <c r="N14" i="39"/>
  <c r="F14" i="39"/>
  <c r="K14" i="39"/>
  <c r="G25" i="37" s="1"/>
  <c r="F18" i="38"/>
  <c r="AG14" i="32"/>
  <c r="F19" i="38" s="1"/>
  <c r="AD14" i="32"/>
  <c r="J16" i="38"/>
  <c r="H16" i="38"/>
  <c r="D18" i="38"/>
  <c r="AJ11" i="32"/>
  <c r="V11" i="36"/>
  <c r="K8" i="32"/>
  <c r="L8" i="32"/>
  <c r="T13" i="36"/>
  <c r="E18" i="38"/>
  <c r="O13" i="32"/>
  <c r="U7" i="32"/>
  <c r="AL17" i="32"/>
  <c r="BB17" i="32" s="1"/>
  <c r="BC17" i="32" s="1"/>
  <c r="BA17" i="32"/>
  <c r="AI12" i="32"/>
  <c r="AH13" i="32"/>
  <c r="G18" i="38" s="1"/>
  <c r="AA14" i="39" l="1"/>
  <c r="AC14" i="39"/>
  <c r="M16" i="39"/>
  <c r="I20" i="38"/>
  <c r="AK17" i="32"/>
  <c r="AS17" i="32" s="1"/>
  <c r="AT17" i="32" s="1"/>
  <c r="M17" i="32"/>
  <c r="A18" i="32"/>
  <c r="Z18" i="32" s="1"/>
  <c r="J16" i="32"/>
  <c r="D16" i="32" s="1"/>
  <c r="E16" i="32" s="1"/>
  <c r="L17" i="36"/>
  <c r="J17" i="36"/>
  <c r="C26" i="37"/>
  <c r="R17" i="36"/>
  <c r="A16" i="36"/>
  <c r="D15" i="39"/>
  <c r="Z15" i="39" s="1"/>
  <c r="E17" i="36"/>
  <c r="E15" i="32"/>
  <c r="H17" i="32"/>
  <c r="I17" i="32" s="1"/>
  <c r="B17" i="32"/>
  <c r="A17" i="36" s="1"/>
  <c r="O15" i="36"/>
  <c r="AC15" i="32"/>
  <c r="S15" i="36" s="1"/>
  <c r="A17" i="39"/>
  <c r="M17" i="39" s="1"/>
  <c r="K17" i="36"/>
  <c r="N16" i="36"/>
  <c r="A28" i="37"/>
  <c r="AM21" i="36"/>
  <c r="AP21" i="36" s="1"/>
  <c r="AG21" i="36"/>
  <c r="AJ21" i="36" s="1"/>
  <c r="B21" i="38"/>
  <c r="G16" i="39"/>
  <c r="F17" i="32"/>
  <c r="G17" i="32" s="1"/>
  <c r="A22" i="38"/>
  <c r="B16" i="39"/>
  <c r="L15" i="39"/>
  <c r="Q14" i="39"/>
  <c r="I25" i="37" s="1" a="1"/>
  <c r="I25" i="37" s="1"/>
  <c r="AO16" i="32"/>
  <c r="AP16" i="32" s="1"/>
  <c r="B27" i="37"/>
  <c r="E16" i="39"/>
  <c r="X16" i="39" s="1"/>
  <c r="AM16" i="32"/>
  <c r="AN16" i="32" s="1"/>
  <c r="AA16" i="32" s="1"/>
  <c r="AB16" i="32" s="1"/>
  <c r="AS16" i="32"/>
  <c r="AT16" i="32" s="1"/>
  <c r="AF16" i="32"/>
  <c r="AU16" i="32"/>
  <c r="AV16" i="32" s="1"/>
  <c r="AY16" i="32"/>
  <c r="AZ16" i="32" s="1"/>
  <c r="AW16" i="32"/>
  <c r="AX16" i="32" s="1"/>
  <c r="AQ16" i="32"/>
  <c r="AR16" i="32" s="1"/>
  <c r="S16" i="32"/>
  <c r="AE16" i="32"/>
  <c r="H15" i="39"/>
  <c r="Y17" i="32"/>
  <c r="Y18" i="32" s="1"/>
  <c r="V15" i="39"/>
  <c r="X15" i="39"/>
  <c r="AQ19" i="36"/>
  <c r="AN20" i="36" s="1"/>
  <c r="O14" i="39"/>
  <c r="P14" i="39" s="1"/>
  <c r="AK19" i="36"/>
  <c r="AH20" i="36" s="1"/>
  <c r="C12" i="39"/>
  <c r="J12" i="39" s="1"/>
  <c r="I12" i="36" s="1"/>
  <c r="I11" i="39"/>
  <c r="D22" i="37" s="1"/>
  <c r="B11" i="36"/>
  <c r="AE19" i="36"/>
  <c r="AB20" i="36" s="1"/>
  <c r="AM22" i="36"/>
  <c r="AA22" i="36"/>
  <c r="AD21" i="36"/>
  <c r="E17" i="39"/>
  <c r="G17" i="39"/>
  <c r="A18" i="39"/>
  <c r="A29" i="37"/>
  <c r="U14" i="36"/>
  <c r="AY17" i="32"/>
  <c r="AZ17" i="32" s="1"/>
  <c r="AQ17" i="32"/>
  <c r="AR17" i="32" s="1"/>
  <c r="AM17" i="32"/>
  <c r="AU17" i="32"/>
  <c r="AV17" i="32" s="1"/>
  <c r="AW17" i="32"/>
  <c r="AX17" i="32" s="1"/>
  <c r="AK18" i="32"/>
  <c r="AD15" i="32"/>
  <c r="AG15" i="32"/>
  <c r="U15" i="36" s="1"/>
  <c r="AH14" i="32"/>
  <c r="G19" i="38" s="1"/>
  <c r="C21" i="38"/>
  <c r="O14" i="32"/>
  <c r="F12" i="36"/>
  <c r="J17" i="38"/>
  <c r="H17" i="38"/>
  <c r="V12" i="36"/>
  <c r="D19" i="38"/>
  <c r="S14" i="36"/>
  <c r="T8" i="32"/>
  <c r="P8" i="32"/>
  <c r="C9" i="32"/>
  <c r="N8" i="32"/>
  <c r="E19" i="38"/>
  <c r="T14" i="36"/>
  <c r="J18" i="36"/>
  <c r="K18" i="36"/>
  <c r="R18" i="36"/>
  <c r="L18" i="36"/>
  <c r="A23" i="38"/>
  <c r="E18" i="36"/>
  <c r="P8" i="36"/>
  <c r="BA18" i="32"/>
  <c r="AL18" i="32"/>
  <c r="BB18" i="32" s="1"/>
  <c r="BC18" i="32" s="1"/>
  <c r="AJ12" i="32"/>
  <c r="AI13" i="32"/>
  <c r="B18" i="32"/>
  <c r="N18" i="36" s="1"/>
  <c r="F18" i="32"/>
  <c r="G18" i="32" s="1"/>
  <c r="H18" i="32"/>
  <c r="I18" i="32" s="1"/>
  <c r="M18" i="32"/>
  <c r="A19" i="32"/>
  <c r="Z19" i="32" s="1"/>
  <c r="AG22" i="36" l="1"/>
  <c r="AO17" i="32"/>
  <c r="AP17" i="32" s="1"/>
  <c r="AA15" i="39"/>
  <c r="H16" i="39"/>
  <c r="F15" i="39"/>
  <c r="Q15" i="39" s="1"/>
  <c r="I26" i="37" s="1" a="1"/>
  <c r="I26" i="37" s="1"/>
  <c r="Y15" i="39"/>
  <c r="K15" i="39"/>
  <c r="G26" i="37" s="1"/>
  <c r="AI20" i="36"/>
  <c r="AK20" i="36" s="1"/>
  <c r="AH21" i="36" s="1"/>
  <c r="U15" i="39"/>
  <c r="N15" i="39"/>
  <c r="T16" i="39"/>
  <c r="J17" i="32"/>
  <c r="D17" i="32" s="1"/>
  <c r="I22" i="38" s="1"/>
  <c r="B22" i="38"/>
  <c r="L17" i="39"/>
  <c r="W15" i="39"/>
  <c r="N17" i="36"/>
  <c r="B17" i="39"/>
  <c r="AB15" i="39"/>
  <c r="AC15" i="39" s="1"/>
  <c r="B28" i="37"/>
  <c r="S17" i="32"/>
  <c r="AO20" i="36"/>
  <c r="AQ20" i="36" s="1"/>
  <c r="AN21" i="36" s="1"/>
  <c r="H17" i="36"/>
  <c r="AC20" i="36"/>
  <c r="AE20" i="36" s="1"/>
  <c r="AB21" i="36" s="1"/>
  <c r="AC16" i="32"/>
  <c r="D21" i="38" s="1"/>
  <c r="L16" i="39"/>
  <c r="V16" i="39"/>
  <c r="AF17" i="32"/>
  <c r="AE17" i="32"/>
  <c r="C22" i="38"/>
  <c r="Y19" i="32"/>
  <c r="O15" i="39"/>
  <c r="T17" i="39"/>
  <c r="V17" i="39"/>
  <c r="X17" i="39"/>
  <c r="C13" i="39"/>
  <c r="J13" i="39" s="1"/>
  <c r="I13" i="36" s="1"/>
  <c r="I12" i="39"/>
  <c r="D23" i="37" s="1"/>
  <c r="B12" i="36"/>
  <c r="AE18" i="32"/>
  <c r="AD22" i="36"/>
  <c r="AJ22" i="36"/>
  <c r="AP22" i="36"/>
  <c r="AM23" i="36"/>
  <c r="AA23" i="36"/>
  <c r="AG23" i="36"/>
  <c r="AF18" i="32"/>
  <c r="C28" i="37"/>
  <c r="E17" i="32"/>
  <c r="D17" i="39"/>
  <c r="A18" i="36"/>
  <c r="H17" i="39"/>
  <c r="B29" i="37"/>
  <c r="M18" i="39"/>
  <c r="B18" i="39"/>
  <c r="E18" i="39"/>
  <c r="G18" i="39"/>
  <c r="A19" i="39"/>
  <c r="A30" i="37"/>
  <c r="D16" i="39"/>
  <c r="AB16" i="39" s="1"/>
  <c r="C27" i="37"/>
  <c r="AN17" i="32"/>
  <c r="AA17" i="32" s="1"/>
  <c r="AB17" i="32" s="1"/>
  <c r="AC17" i="32" s="1"/>
  <c r="AU18" i="32"/>
  <c r="AV18" i="32" s="1"/>
  <c r="AQ18" i="32"/>
  <c r="AR18" i="32" s="1"/>
  <c r="AM18" i="32"/>
  <c r="AN18" i="32" s="1"/>
  <c r="AA18" i="32" s="1"/>
  <c r="AW18" i="32"/>
  <c r="AX18" i="32" s="1"/>
  <c r="AS18" i="32"/>
  <c r="AT18" i="32" s="1"/>
  <c r="AO18" i="32"/>
  <c r="AP18" i="32" s="1"/>
  <c r="AY18" i="32"/>
  <c r="AZ18" i="32" s="1"/>
  <c r="D20" i="38"/>
  <c r="F20" i="38"/>
  <c r="AK19" i="32"/>
  <c r="AI14" i="32"/>
  <c r="F14" i="36" s="1"/>
  <c r="AD16" i="32"/>
  <c r="AG16" i="32"/>
  <c r="U16" i="36" s="1"/>
  <c r="E20" i="38"/>
  <c r="T15" i="36"/>
  <c r="H18" i="36"/>
  <c r="O15" i="32"/>
  <c r="R19" i="36"/>
  <c r="E19" i="36"/>
  <c r="A24" i="38"/>
  <c r="J19" i="36"/>
  <c r="K19" i="36"/>
  <c r="L19" i="36"/>
  <c r="U8" i="32"/>
  <c r="L9" i="32"/>
  <c r="K9" i="32"/>
  <c r="O16" i="36"/>
  <c r="I21" i="38"/>
  <c r="B23" i="38"/>
  <c r="V16" i="32"/>
  <c r="H18" i="38"/>
  <c r="F13" i="36"/>
  <c r="V13" i="36"/>
  <c r="J18" i="38"/>
  <c r="BA19" i="32"/>
  <c r="AL19" i="32"/>
  <c r="BB19" i="32" s="1"/>
  <c r="BC19" i="32" s="1"/>
  <c r="AH15" i="32"/>
  <c r="G20" i="38" s="1"/>
  <c r="AJ13" i="32"/>
  <c r="S18" i="32"/>
  <c r="H19" i="32"/>
  <c r="I19" i="32" s="1"/>
  <c r="A20" i="32"/>
  <c r="Z20" i="32" s="1"/>
  <c r="M19" i="32"/>
  <c r="B19" i="32"/>
  <c r="N19" i="36" s="1"/>
  <c r="F19" i="32"/>
  <c r="G19" i="32" s="1"/>
  <c r="J18" i="32"/>
  <c r="D18" i="32" s="1"/>
  <c r="AC16" i="39" l="1"/>
  <c r="AB17" i="39"/>
  <c r="AC17" i="39" s="1"/>
  <c r="V17" i="32"/>
  <c r="O17" i="36"/>
  <c r="P15" i="39"/>
  <c r="Y20" i="32"/>
  <c r="L18" i="39"/>
  <c r="B13" i="36"/>
  <c r="T18" i="39"/>
  <c r="V18" i="39"/>
  <c r="X18" i="39"/>
  <c r="C14" i="39"/>
  <c r="J14" i="39" s="1"/>
  <c r="I14" i="36" s="1"/>
  <c r="I13" i="39"/>
  <c r="D24" i="37" s="1"/>
  <c r="Z16" i="39"/>
  <c r="AA16" i="39" s="1"/>
  <c r="W16" i="39"/>
  <c r="Y16" i="39"/>
  <c r="U17" i="39"/>
  <c r="Z17" i="39"/>
  <c r="AA17" i="39" s="1"/>
  <c r="Y17" i="39"/>
  <c r="W17" i="39"/>
  <c r="U16" i="39"/>
  <c r="N17" i="39"/>
  <c r="AF19" i="32"/>
  <c r="F17" i="39"/>
  <c r="Q17" i="39" s="1"/>
  <c r="AO22" i="36"/>
  <c r="AJ23" i="36"/>
  <c r="AD23" i="36"/>
  <c r="AP23" i="36"/>
  <c r="AC21" i="36"/>
  <c r="AE21" i="36" s="1"/>
  <c r="AB22" i="36" s="1"/>
  <c r="AO21" i="36"/>
  <c r="AQ21" i="36" s="1"/>
  <c r="AN22" i="36" s="1"/>
  <c r="AI21" i="36"/>
  <c r="AK21" i="36" s="1"/>
  <c r="AH22" i="36" s="1"/>
  <c r="AI22" i="36"/>
  <c r="AA24" i="36"/>
  <c r="AM24" i="36"/>
  <c r="AG24" i="36"/>
  <c r="AC22" i="36"/>
  <c r="H18" i="39"/>
  <c r="C29" i="37"/>
  <c r="E18" i="32"/>
  <c r="AE19" i="32"/>
  <c r="N16" i="39"/>
  <c r="K16" i="39"/>
  <c r="G27" i="37" s="1"/>
  <c r="K17" i="39"/>
  <c r="G28" i="37" s="1"/>
  <c r="F16" i="39"/>
  <c r="Q16" i="39" s="1"/>
  <c r="D18" i="39"/>
  <c r="AB18" i="39" s="1"/>
  <c r="AC18" i="39" s="1"/>
  <c r="A20" i="39"/>
  <c r="A31" i="37"/>
  <c r="A19" i="36"/>
  <c r="B30" i="37"/>
  <c r="M19" i="39"/>
  <c r="B19" i="39"/>
  <c r="E19" i="39"/>
  <c r="G19" i="39"/>
  <c r="AM19" i="32"/>
  <c r="AW19" i="32"/>
  <c r="AX19" i="32" s="1"/>
  <c r="AY19" i="32"/>
  <c r="AZ19" i="32" s="1"/>
  <c r="AO19" i="32"/>
  <c r="AP19" i="32" s="1"/>
  <c r="AS19" i="32"/>
  <c r="AT19" i="32" s="1"/>
  <c r="AQ19" i="32"/>
  <c r="AR19" i="32" s="1"/>
  <c r="AU19" i="32"/>
  <c r="AV19" i="32" s="1"/>
  <c r="J19" i="38"/>
  <c r="H19" i="38"/>
  <c r="V14" i="36"/>
  <c r="AJ14" i="32"/>
  <c r="F21" i="38"/>
  <c r="AK20" i="32"/>
  <c r="AD17" i="32"/>
  <c r="S17" i="36"/>
  <c r="S16" i="36"/>
  <c r="AG17" i="32"/>
  <c r="F22" i="38" s="1"/>
  <c r="O16" i="32"/>
  <c r="R20" i="36"/>
  <c r="J20" i="36"/>
  <c r="K20" i="36"/>
  <c r="A25" i="38"/>
  <c r="L20" i="36"/>
  <c r="E20" i="36"/>
  <c r="P9" i="36"/>
  <c r="H19" i="36"/>
  <c r="B24" i="38"/>
  <c r="E21" i="38"/>
  <c r="T16" i="36"/>
  <c r="C10" i="32"/>
  <c r="N9" i="32"/>
  <c r="T9" i="32"/>
  <c r="P9" i="32"/>
  <c r="I23" i="38"/>
  <c r="O18" i="36"/>
  <c r="AB18" i="32"/>
  <c r="AC18" i="32" s="1"/>
  <c r="C23" i="38"/>
  <c r="AL20" i="32"/>
  <c r="BB20" i="32" s="1"/>
  <c r="BC20" i="32" s="1"/>
  <c r="BA20" i="32"/>
  <c r="S19" i="32"/>
  <c r="AH16" i="32"/>
  <c r="G21" i="38" s="1"/>
  <c r="AI15" i="32"/>
  <c r="M20" i="32"/>
  <c r="B20" i="32"/>
  <c r="H20" i="36" s="1"/>
  <c r="F20" i="32"/>
  <c r="G20" i="32" s="1"/>
  <c r="H20" i="32"/>
  <c r="I20" i="32" s="1"/>
  <c r="A21" i="32"/>
  <c r="Z21" i="32" s="1"/>
  <c r="J19" i="32"/>
  <c r="V18" i="32"/>
  <c r="Y21" i="32" l="1"/>
  <c r="L19" i="39"/>
  <c r="B14" i="36"/>
  <c r="O17" i="39"/>
  <c r="P17" i="39" s="1"/>
  <c r="I28" i="37" a="1"/>
  <c r="I28" i="37" s="1"/>
  <c r="O16" i="39"/>
  <c r="P16" i="39" s="1"/>
  <c r="I27" i="37" a="1"/>
  <c r="I27" i="37" s="1"/>
  <c r="C15" i="39"/>
  <c r="J15" i="39" s="1"/>
  <c r="I15" i="36" s="1"/>
  <c r="I14" i="39"/>
  <c r="D25" i="37" s="1"/>
  <c r="T19" i="39"/>
  <c r="X19" i="39"/>
  <c r="V19" i="39"/>
  <c r="U18" i="39"/>
  <c r="Z18" i="39"/>
  <c r="AA18" i="39" s="1"/>
  <c r="W18" i="39"/>
  <c r="Y18" i="39"/>
  <c r="AE22" i="36"/>
  <c r="AB23" i="36" s="1"/>
  <c r="AQ22" i="36"/>
  <c r="AN23" i="36" s="1"/>
  <c r="F18" i="39"/>
  <c r="Q18" i="39" s="1"/>
  <c r="AF20" i="32"/>
  <c r="H19" i="39"/>
  <c r="AE20" i="32"/>
  <c r="AD24" i="36"/>
  <c r="AK22" i="36"/>
  <c r="AH23" i="36" s="1"/>
  <c r="AO23" i="36"/>
  <c r="AC23" i="36"/>
  <c r="AI23" i="36"/>
  <c r="AJ24" i="36"/>
  <c r="AG25" i="36"/>
  <c r="AA25" i="36"/>
  <c r="AM25" i="36"/>
  <c r="AP24" i="36"/>
  <c r="B31" i="37"/>
  <c r="M20" i="39"/>
  <c r="B20" i="39"/>
  <c r="E20" i="39"/>
  <c r="G20" i="39"/>
  <c r="A20" i="36"/>
  <c r="N18" i="39"/>
  <c r="K18" i="39"/>
  <c r="G29" i="37" s="1"/>
  <c r="A21" i="39"/>
  <c r="A32" i="37"/>
  <c r="AN19" i="32"/>
  <c r="AA19" i="32" s="1"/>
  <c r="AB19" i="32" s="1"/>
  <c r="AC19" i="32" s="1"/>
  <c r="B15" i="36"/>
  <c r="AU20" i="32"/>
  <c r="AV20" i="32" s="1"/>
  <c r="AQ20" i="32"/>
  <c r="AR20" i="32" s="1"/>
  <c r="AM20" i="32"/>
  <c r="AN20" i="32" s="1"/>
  <c r="AA20" i="32" s="1"/>
  <c r="AW20" i="32"/>
  <c r="AX20" i="32" s="1"/>
  <c r="AS20" i="32"/>
  <c r="AT20" i="32" s="1"/>
  <c r="AO20" i="32"/>
  <c r="AP20" i="32" s="1"/>
  <c r="AY20" i="32"/>
  <c r="AZ20" i="32" s="1"/>
  <c r="AK21" i="32"/>
  <c r="AD18" i="32"/>
  <c r="U17" i="36"/>
  <c r="D22" i="38"/>
  <c r="N20" i="36"/>
  <c r="D19" i="32"/>
  <c r="E19" i="32" s="1"/>
  <c r="J21" i="36"/>
  <c r="K21" i="36"/>
  <c r="L21" i="36"/>
  <c r="E21" i="36"/>
  <c r="A26" i="38"/>
  <c r="R21" i="36"/>
  <c r="J20" i="32"/>
  <c r="B25" i="38"/>
  <c r="O17" i="32"/>
  <c r="L10" i="32"/>
  <c r="K10" i="32"/>
  <c r="C24" i="38"/>
  <c r="E22" i="38"/>
  <c r="T17" i="36"/>
  <c r="V15" i="36"/>
  <c r="J20" i="38"/>
  <c r="H20" i="38"/>
  <c r="F15" i="36"/>
  <c r="U9" i="32"/>
  <c r="AG18" i="32"/>
  <c r="AL21" i="32"/>
  <c r="BB21" i="32" s="1"/>
  <c r="BC21" i="32" s="1"/>
  <c r="BA21" i="32"/>
  <c r="AI16" i="32"/>
  <c r="AH17" i="32"/>
  <c r="G22" i="38" s="1"/>
  <c r="AJ15" i="32"/>
  <c r="S20" i="32"/>
  <c r="F21" i="32"/>
  <c r="G21" i="32" s="1"/>
  <c r="H21" i="32"/>
  <c r="I21" i="32" s="1"/>
  <c r="A22" i="32"/>
  <c r="Z22" i="32" s="1"/>
  <c r="Y22" i="32" s="1"/>
  <c r="M21" i="32"/>
  <c r="B21" i="32"/>
  <c r="A21" i="36" s="1"/>
  <c r="L20" i="39" l="1"/>
  <c r="C16" i="39"/>
  <c r="J16" i="39" s="1"/>
  <c r="I16" i="36" s="1"/>
  <c r="I15" i="39"/>
  <c r="D26" i="37" s="1"/>
  <c r="O18" i="39"/>
  <c r="P18" i="39" s="1"/>
  <c r="I29" i="37" a="1"/>
  <c r="I29" i="37" s="1"/>
  <c r="T20" i="39"/>
  <c r="X20" i="39"/>
  <c r="V20" i="39"/>
  <c r="AQ23" i="36"/>
  <c r="AN24" i="36" s="1"/>
  <c r="AE23" i="36"/>
  <c r="AB24" i="36" s="1"/>
  <c r="AD25" i="36"/>
  <c r="AK23" i="36"/>
  <c r="AH24" i="36" s="1"/>
  <c r="AF21" i="32"/>
  <c r="AJ25" i="36"/>
  <c r="AA26" i="36"/>
  <c r="AM26" i="36"/>
  <c r="AG26" i="36"/>
  <c r="AP25" i="36"/>
  <c r="H20" i="39"/>
  <c r="AE21" i="32"/>
  <c r="B32" i="37"/>
  <c r="A33" i="37"/>
  <c r="A22" i="39"/>
  <c r="B21" i="39"/>
  <c r="M21" i="39"/>
  <c r="E21" i="39"/>
  <c r="G21" i="39"/>
  <c r="C30" i="37"/>
  <c r="D19" i="39"/>
  <c r="AB19" i="39" s="1"/>
  <c r="AC19" i="39" s="1"/>
  <c r="AS21" i="32"/>
  <c r="AT21" i="32" s="1"/>
  <c r="B16" i="36"/>
  <c r="C17" i="39"/>
  <c r="J17" i="39" s="1"/>
  <c r="I17" i="36" s="1"/>
  <c r="AW21" i="32"/>
  <c r="AX21" i="32" s="1"/>
  <c r="AO21" i="32"/>
  <c r="AP21" i="32" s="1"/>
  <c r="AY21" i="32"/>
  <c r="AZ21" i="32" s="1"/>
  <c r="AH18" i="32"/>
  <c r="G23" i="38" s="1"/>
  <c r="AQ21" i="32"/>
  <c r="AR21" i="32" s="1"/>
  <c r="AU21" i="32"/>
  <c r="AV21" i="32" s="1"/>
  <c r="AM21" i="32"/>
  <c r="J21" i="32"/>
  <c r="D21" i="32" s="1"/>
  <c r="D21" i="39" s="1"/>
  <c r="AK22" i="32"/>
  <c r="AD19" i="32"/>
  <c r="D24" i="38"/>
  <c r="S18" i="36"/>
  <c r="D23" i="38"/>
  <c r="P10" i="36"/>
  <c r="N21" i="36"/>
  <c r="H21" i="36"/>
  <c r="I24" i="38"/>
  <c r="O19" i="36"/>
  <c r="J21" i="38"/>
  <c r="F16" i="36"/>
  <c r="H21" i="38"/>
  <c r="V16" i="36"/>
  <c r="R22" i="36"/>
  <c r="A27" i="38"/>
  <c r="J22" i="36"/>
  <c r="E22" i="36"/>
  <c r="K22" i="36"/>
  <c r="L22" i="36"/>
  <c r="AB20" i="32"/>
  <c r="AC20" i="32" s="1"/>
  <c r="C25" i="38"/>
  <c r="F23" i="38"/>
  <c r="U18" i="36"/>
  <c r="V19" i="32"/>
  <c r="P10" i="32"/>
  <c r="C11" i="32"/>
  <c r="T10" i="32"/>
  <c r="N10" i="32"/>
  <c r="D20" i="32"/>
  <c r="E20" i="32" s="1"/>
  <c r="AG19" i="32"/>
  <c r="O18" i="32"/>
  <c r="E23" i="38"/>
  <c r="T18" i="36"/>
  <c r="B26" i="38"/>
  <c r="AL22" i="32"/>
  <c r="BB22" i="32" s="1"/>
  <c r="BC22" i="32" s="1"/>
  <c r="BA22" i="32"/>
  <c r="AI17" i="32"/>
  <c r="AJ16" i="32"/>
  <c r="C26" i="38"/>
  <c r="S21" i="32"/>
  <c r="M22" i="32"/>
  <c r="B22" i="32"/>
  <c r="N22" i="36" s="1"/>
  <c r="F22" i="32"/>
  <c r="G22" i="32" s="1"/>
  <c r="H22" i="32"/>
  <c r="I22" i="32" s="1"/>
  <c r="A23" i="32"/>
  <c r="Z23" i="32" s="1"/>
  <c r="Y23" i="32" s="1"/>
  <c r="L21" i="39" l="1"/>
  <c r="AB21" i="39"/>
  <c r="I16" i="39"/>
  <c r="D27" i="37" s="1"/>
  <c r="T21" i="39"/>
  <c r="U21" i="39" s="1"/>
  <c r="V21" i="39"/>
  <c r="W21" i="39" s="1"/>
  <c r="X21" i="39"/>
  <c r="Y21" i="39" s="1"/>
  <c r="Z21" i="39"/>
  <c r="AA21" i="39" s="1"/>
  <c r="Z19" i="39"/>
  <c r="AA19" i="39" s="1"/>
  <c r="Y19" i="39"/>
  <c r="W19" i="39"/>
  <c r="U19" i="39"/>
  <c r="N21" i="39"/>
  <c r="H21" i="39"/>
  <c r="AP26" i="36"/>
  <c r="AO26" i="36"/>
  <c r="AC26" i="36"/>
  <c r="AD26" i="36"/>
  <c r="AA27" i="36"/>
  <c r="AM27" i="36"/>
  <c r="AG27" i="36"/>
  <c r="AJ26" i="36"/>
  <c r="AI26" i="36"/>
  <c r="AC24" i="36"/>
  <c r="AE24" i="36" s="1"/>
  <c r="AB25" i="36" s="1"/>
  <c r="AO24" i="36"/>
  <c r="AQ24" i="36" s="1"/>
  <c r="AN25" i="36" s="1"/>
  <c r="AI24" i="36"/>
  <c r="AK24" i="36" s="1"/>
  <c r="AH25" i="36" s="1"/>
  <c r="AF22" i="32"/>
  <c r="AE22" i="32"/>
  <c r="A22" i="36"/>
  <c r="C32" i="37"/>
  <c r="E21" i="32"/>
  <c r="B33" i="37"/>
  <c r="F21" i="39"/>
  <c r="B22" i="39"/>
  <c r="M22" i="39"/>
  <c r="E22" i="39"/>
  <c r="G22" i="39"/>
  <c r="N19" i="39"/>
  <c r="K19" i="39"/>
  <c r="G30" i="37" s="1"/>
  <c r="F19" i="39"/>
  <c r="Q19" i="39" s="1"/>
  <c r="A34" i="37"/>
  <c r="A23" i="39"/>
  <c r="C31" i="37"/>
  <c r="D20" i="39"/>
  <c r="AB20" i="39" s="1"/>
  <c r="AC20" i="39" s="1"/>
  <c r="AN21" i="32"/>
  <c r="AA21" i="32" s="1"/>
  <c r="AB21" i="32" s="1"/>
  <c r="AC21" i="32" s="1"/>
  <c r="B17" i="36"/>
  <c r="C18" i="39"/>
  <c r="J18" i="39" s="1"/>
  <c r="I18" i="36" s="1"/>
  <c r="I17" i="39"/>
  <c r="D28" i="37" s="1"/>
  <c r="AI18" i="32"/>
  <c r="V18" i="36" s="1"/>
  <c r="AQ22" i="32"/>
  <c r="AR22" i="32" s="1"/>
  <c r="AS22" i="32"/>
  <c r="AT22" i="32" s="1"/>
  <c r="AM22" i="32"/>
  <c r="AO22" i="32"/>
  <c r="AP22" i="32" s="1"/>
  <c r="AY22" i="32"/>
  <c r="AZ22" i="32" s="1"/>
  <c r="AU22" i="32"/>
  <c r="AV22" i="32" s="1"/>
  <c r="AW22" i="32"/>
  <c r="AX22" i="32" s="1"/>
  <c r="AK23" i="32"/>
  <c r="AD20" i="32"/>
  <c r="D25" i="38"/>
  <c r="S19" i="36"/>
  <c r="V21" i="32"/>
  <c r="V20" i="32"/>
  <c r="H22" i="36"/>
  <c r="L11" i="32"/>
  <c r="K11" i="32"/>
  <c r="O20" i="36"/>
  <c r="I25" i="38"/>
  <c r="O19" i="32"/>
  <c r="F17" i="36"/>
  <c r="J22" i="38"/>
  <c r="V17" i="36"/>
  <c r="H22" i="38"/>
  <c r="B27" i="38"/>
  <c r="I26" i="38"/>
  <c r="O21" i="36"/>
  <c r="U19" i="36"/>
  <c r="F24" i="38"/>
  <c r="A28" i="38"/>
  <c r="R23" i="36"/>
  <c r="J23" i="36"/>
  <c r="K23" i="36"/>
  <c r="E23" i="36"/>
  <c r="L23" i="36"/>
  <c r="E24" i="38"/>
  <c r="T19" i="36"/>
  <c r="U10" i="32"/>
  <c r="BA23" i="32"/>
  <c r="AL23" i="32"/>
  <c r="BB23" i="32" s="1"/>
  <c r="BC23" i="32" s="1"/>
  <c r="AG20" i="32"/>
  <c r="AJ17" i="32"/>
  <c r="C27" i="38"/>
  <c r="AH19" i="32"/>
  <c r="G24" i="38" s="1"/>
  <c r="S22" i="32"/>
  <c r="B23" i="32"/>
  <c r="A23" i="36" s="1"/>
  <c r="F23" i="32"/>
  <c r="G23" i="32" s="1"/>
  <c r="H23" i="32"/>
  <c r="I23" i="32" s="1"/>
  <c r="A24" i="32"/>
  <c r="Z24" i="32" s="1"/>
  <c r="Y24" i="32" s="1"/>
  <c r="M23" i="32"/>
  <c r="J22" i="32"/>
  <c r="D22" i="32" s="1"/>
  <c r="Q21" i="39" l="1"/>
  <c r="L22" i="39"/>
  <c r="AC21" i="39"/>
  <c r="O19" i="39"/>
  <c r="I30" i="37" a="1"/>
  <c r="I30" i="37" s="1"/>
  <c r="O21" i="39"/>
  <c r="P21" i="39" s="1"/>
  <c r="I32" i="37" a="1"/>
  <c r="I32" i="37" s="1"/>
  <c r="T22" i="39"/>
  <c r="X22" i="39"/>
  <c r="V22" i="39"/>
  <c r="Z20" i="39"/>
  <c r="AA20" i="39" s="1"/>
  <c r="W20" i="39"/>
  <c r="Y20" i="39"/>
  <c r="U20" i="39"/>
  <c r="AF23" i="32"/>
  <c r="AJ27" i="36"/>
  <c r="AC25" i="36"/>
  <c r="AE25" i="36" s="1"/>
  <c r="AB26" i="36" s="1"/>
  <c r="AE26" i="36" s="1"/>
  <c r="AB27" i="36" s="1"/>
  <c r="AO25" i="36"/>
  <c r="AQ25" i="36" s="1"/>
  <c r="AN26" i="36" s="1"/>
  <c r="AQ26" i="36" s="1"/>
  <c r="AN27" i="36" s="1"/>
  <c r="AI25" i="36"/>
  <c r="AK25" i="36" s="1"/>
  <c r="AH26" i="36" s="1"/>
  <c r="AK26" i="36" s="1"/>
  <c r="AH27" i="36" s="1"/>
  <c r="AM28" i="36"/>
  <c r="AG28" i="36"/>
  <c r="AA28" i="36"/>
  <c r="AP27" i="36"/>
  <c r="AD27" i="36"/>
  <c r="AE23" i="32"/>
  <c r="H22" i="39"/>
  <c r="D22" i="39"/>
  <c r="AB22" i="39" s="1"/>
  <c r="AC22" i="39" s="1"/>
  <c r="E22" i="32"/>
  <c r="F18" i="36"/>
  <c r="J23" i="38"/>
  <c r="H23" i="38"/>
  <c r="N20" i="39"/>
  <c r="F20" i="39"/>
  <c r="Q20" i="39" s="1"/>
  <c r="A35" i="37"/>
  <c r="A24" i="39"/>
  <c r="K21" i="39"/>
  <c r="G32" i="37" s="1"/>
  <c r="M23" i="39"/>
  <c r="B23" i="39"/>
  <c r="E23" i="39"/>
  <c r="G23" i="39"/>
  <c r="B34" i="37"/>
  <c r="C33" i="37"/>
  <c r="K20" i="39"/>
  <c r="G31" i="37" s="1"/>
  <c r="P19" i="39"/>
  <c r="AN22" i="32"/>
  <c r="AA22" i="32" s="1"/>
  <c r="AB22" i="32" s="1"/>
  <c r="AC22" i="32" s="1"/>
  <c r="AJ18" i="32"/>
  <c r="B18" i="36"/>
  <c r="C19" i="39"/>
  <c r="J19" i="39" s="1"/>
  <c r="I19" i="36" s="1"/>
  <c r="I18" i="39"/>
  <c r="D29" i="37" s="1"/>
  <c r="AW23" i="32"/>
  <c r="AX23" i="32" s="1"/>
  <c r="AQ23" i="32"/>
  <c r="AR23" i="32" s="1"/>
  <c r="AM23" i="32"/>
  <c r="AS23" i="32"/>
  <c r="AT23" i="32" s="1"/>
  <c r="AO23" i="32"/>
  <c r="AP23" i="32" s="1"/>
  <c r="AY23" i="32"/>
  <c r="AZ23" i="32" s="1"/>
  <c r="AU23" i="32"/>
  <c r="AV23" i="32" s="1"/>
  <c r="AK24" i="32"/>
  <c r="J23" i="32"/>
  <c r="D23" i="32" s="1"/>
  <c r="E23" i="32" s="1"/>
  <c r="AD21" i="32"/>
  <c r="E26" i="38" s="1"/>
  <c r="S21" i="36"/>
  <c r="S20" i="36"/>
  <c r="AH20" i="32"/>
  <c r="G25" i="38" s="1"/>
  <c r="AG21" i="32"/>
  <c r="T20" i="36"/>
  <c r="E25" i="38"/>
  <c r="P11" i="36"/>
  <c r="P11" i="32"/>
  <c r="N11" i="32"/>
  <c r="C12" i="32"/>
  <c r="T11" i="32"/>
  <c r="O20" i="32"/>
  <c r="B28" i="38"/>
  <c r="N23" i="36"/>
  <c r="H23" i="36"/>
  <c r="U20" i="36"/>
  <c r="F25" i="38"/>
  <c r="I27" i="38"/>
  <c r="O22" i="36"/>
  <c r="R24" i="36"/>
  <c r="A29" i="38"/>
  <c r="J24" i="36"/>
  <c r="K24" i="36"/>
  <c r="L24" i="36"/>
  <c r="E24" i="36"/>
  <c r="BA24" i="32"/>
  <c r="AL24" i="32"/>
  <c r="BB24" i="32" s="1"/>
  <c r="BC24" i="32" s="1"/>
  <c r="S23" i="32"/>
  <c r="AI19" i="32"/>
  <c r="V22" i="32"/>
  <c r="H24" i="32"/>
  <c r="I24" i="32" s="1"/>
  <c r="A25" i="32"/>
  <c r="Z25" i="32" s="1"/>
  <c r="Y25" i="32" s="1"/>
  <c r="M24" i="32"/>
  <c r="B24" i="32"/>
  <c r="H24" i="36" s="1"/>
  <c r="F24" i="32"/>
  <c r="G24" i="32" s="1"/>
  <c r="L23" i="39" l="1"/>
  <c r="O20" i="39"/>
  <c r="I31" i="37" a="1"/>
  <c r="I31" i="37" s="1"/>
  <c r="T23" i="39"/>
  <c r="V23" i="39"/>
  <c r="X23" i="39"/>
  <c r="U22" i="39"/>
  <c r="Z22" i="39"/>
  <c r="AA22" i="39" s="1"/>
  <c r="Y22" i="39"/>
  <c r="W22" i="39"/>
  <c r="N22" i="39"/>
  <c r="H23" i="39"/>
  <c r="AD28" i="36"/>
  <c r="AI27" i="36"/>
  <c r="AK27" i="36" s="1"/>
  <c r="AH28" i="36" s="1"/>
  <c r="AJ28" i="36"/>
  <c r="AG29" i="36"/>
  <c r="AA29" i="36"/>
  <c r="AM29" i="36"/>
  <c r="F22" i="39"/>
  <c r="Q22" i="39" s="1"/>
  <c r="AC27" i="36"/>
  <c r="AE27" i="36" s="1"/>
  <c r="AB28" i="36" s="1"/>
  <c r="AP28" i="36"/>
  <c r="K22" i="39"/>
  <c r="G33" i="37" s="1"/>
  <c r="AO27" i="36"/>
  <c r="AQ27" i="36" s="1"/>
  <c r="AN28" i="36" s="1"/>
  <c r="AE24" i="32"/>
  <c r="C34" i="37"/>
  <c r="AF24" i="32"/>
  <c r="D23" i="39"/>
  <c r="AB23" i="39" s="1"/>
  <c r="AC23" i="39" s="1"/>
  <c r="B24" i="39"/>
  <c r="M24" i="39"/>
  <c r="E24" i="39"/>
  <c r="G24" i="39"/>
  <c r="F25" i="32"/>
  <c r="G25" i="32" s="1"/>
  <c r="A36" i="37"/>
  <c r="A25" i="39"/>
  <c r="A24" i="36"/>
  <c r="B35" i="37"/>
  <c r="P20" i="39"/>
  <c r="AN23" i="32"/>
  <c r="AA23" i="32" s="1"/>
  <c r="AB23" i="32" s="1"/>
  <c r="AC23" i="32" s="1"/>
  <c r="B19" i="36"/>
  <c r="I19" i="39"/>
  <c r="D30" i="37" s="1"/>
  <c r="C20" i="39"/>
  <c r="J20" i="39" s="1"/>
  <c r="I20" i="36" s="1"/>
  <c r="AM24" i="32"/>
  <c r="AU24" i="32"/>
  <c r="AV24" i="32" s="1"/>
  <c r="AW24" i="32"/>
  <c r="AX24" i="32" s="1"/>
  <c r="AS24" i="32"/>
  <c r="AT24" i="32" s="1"/>
  <c r="AO24" i="32"/>
  <c r="AP24" i="32" s="1"/>
  <c r="AY24" i="32"/>
  <c r="AZ24" i="32" s="1"/>
  <c r="AQ24" i="32"/>
  <c r="AR24" i="32" s="1"/>
  <c r="AK25" i="32"/>
  <c r="D27" i="38"/>
  <c r="AD22" i="32"/>
  <c r="T21" i="36"/>
  <c r="D26" i="38"/>
  <c r="AH21" i="32"/>
  <c r="G26" i="38" s="1"/>
  <c r="U21" i="36"/>
  <c r="F26" i="38"/>
  <c r="AI20" i="32"/>
  <c r="H25" i="38" s="1"/>
  <c r="V23" i="32"/>
  <c r="N24" i="36"/>
  <c r="B29" i="38"/>
  <c r="J24" i="32"/>
  <c r="D24" i="32" s="1"/>
  <c r="L12" i="32"/>
  <c r="K12" i="32"/>
  <c r="U11" i="32"/>
  <c r="E25" i="36"/>
  <c r="J25" i="36"/>
  <c r="K25" i="36"/>
  <c r="L25" i="36"/>
  <c r="R25" i="36"/>
  <c r="A30" i="38"/>
  <c r="O21" i="32"/>
  <c r="F19" i="36"/>
  <c r="H24" i="38"/>
  <c r="J24" i="38"/>
  <c r="V19" i="36"/>
  <c r="C28" i="38"/>
  <c r="O23" i="36"/>
  <c r="I28" i="38"/>
  <c r="AL25" i="32"/>
  <c r="BB25" i="32" s="1"/>
  <c r="BC25" i="32" s="1"/>
  <c r="BA25" i="32"/>
  <c r="AG22" i="32"/>
  <c r="S24" i="32"/>
  <c r="AJ19" i="32"/>
  <c r="M25" i="32"/>
  <c r="B25" i="32"/>
  <c r="A25" i="36" s="1"/>
  <c r="A26" i="32"/>
  <c r="Z26" i="32" s="1"/>
  <c r="Y26" i="32" s="1"/>
  <c r="H25" i="32"/>
  <c r="I25" i="32" s="1"/>
  <c r="L24" i="39" l="1"/>
  <c r="O22" i="39"/>
  <c r="P22" i="39" s="1"/>
  <c r="I33" i="37" a="1"/>
  <c r="I33" i="37" s="1"/>
  <c r="T24" i="39"/>
  <c r="X24" i="39"/>
  <c r="V24" i="39"/>
  <c r="U23" i="39"/>
  <c r="Z23" i="39"/>
  <c r="AA23" i="39" s="1"/>
  <c r="Y23" i="39"/>
  <c r="W23" i="39"/>
  <c r="N23" i="39"/>
  <c r="H24" i="39"/>
  <c r="AJ29" i="36"/>
  <c r="AI28" i="36"/>
  <c r="AK28" i="36" s="1"/>
  <c r="AH29" i="36" s="1"/>
  <c r="AC28" i="36"/>
  <c r="AE28" i="36" s="1"/>
  <c r="AB29" i="36" s="1"/>
  <c r="AP29" i="36"/>
  <c r="AO28" i="36"/>
  <c r="AQ28" i="36" s="1"/>
  <c r="AN29" i="36" s="1"/>
  <c r="AA30" i="36"/>
  <c r="AG30" i="36"/>
  <c r="AM30" i="36"/>
  <c r="AD29" i="36"/>
  <c r="AE25" i="32"/>
  <c r="F23" i="39"/>
  <c r="Q23" i="39" s="1"/>
  <c r="K23" i="39"/>
  <c r="G34" i="37" s="1"/>
  <c r="C35" i="37"/>
  <c r="E24" i="32"/>
  <c r="AF25" i="32"/>
  <c r="B25" i="39"/>
  <c r="M25" i="39"/>
  <c r="E25" i="39"/>
  <c r="G25" i="39"/>
  <c r="A37" i="37"/>
  <c r="A26" i="39"/>
  <c r="D24" i="39"/>
  <c r="AB24" i="39" s="1"/>
  <c r="AC24" i="39" s="1"/>
  <c r="B36" i="37"/>
  <c r="AN24" i="32"/>
  <c r="AA24" i="32" s="1"/>
  <c r="AB24" i="32" s="1"/>
  <c r="AC24" i="32" s="1"/>
  <c r="B20" i="36"/>
  <c r="I20" i="39"/>
  <c r="D31" i="37" s="1"/>
  <c r="C21" i="39"/>
  <c r="J21" i="39" s="1"/>
  <c r="I21" i="36" s="1"/>
  <c r="V24" i="32"/>
  <c r="AY25" i="32"/>
  <c r="AZ25" i="32" s="1"/>
  <c r="AW25" i="32"/>
  <c r="AX25" i="32" s="1"/>
  <c r="AS25" i="32"/>
  <c r="AT25" i="32" s="1"/>
  <c r="AO25" i="32"/>
  <c r="AP25" i="32" s="1"/>
  <c r="AU25" i="32"/>
  <c r="AV25" i="32" s="1"/>
  <c r="AQ25" i="32"/>
  <c r="AR25" i="32" s="1"/>
  <c r="AM25" i="32"/>
  <c r="A27" i="32"/>
  <c r="Z27" i="32" s="1"/>
  <c r="Y27" i="32" s="1"/>
  <c r="AK26" i="32"/>
  <c r="F20" i="36"/>
  <c r="AJ20" i="32"/>
  <c r="V20" i="36"/>
  <c r="J25" i="38"/>
  <c r="AD23" i="32"/>
  <c r="D28" i="38"/>
  <c r="AI21" i="32"/>
  <c r="H26" i="38" s="1"/>
  <c r="S22" i="36"/>
  <c r="J25" i="32"/>
  <c r="D25" i="32" s="1"/>
  <c r="I29" i="38"/>
  <c r="O24" i="36"/>
  <c r="H25" i="36"/>
  <c r="B30" i="38"/>
  <c r="O22" i="32"/>
  <c r="C29" i="38"/>
  <c r="R26" i="36"/>
  <c r="A31" i="38"/>
  <c r="J26" i="36"/>
  <c r="K26" i="36"/>
  <c r="L26" i="36"/>
  <c r="E26" i="36"/>
  <c r="N25" i="36"/>
  <c r="F27" i="38"/>
  <c r="U22" i="36"/>
  <c r="P12" i="36"/>
  <c r="E27" i="38"/>
  <c r="T22" i="36"/>
  <c r="T12" i="32"/>
  <c r="P12" i="32"/>
  <c r="N12" i="32"/>
  <c r="C13" i="32"/>
  <c r="AL26" i="32"/>
  <c r="BB26" i="32" s="1"/>
  <c r="BC26" i="32" s="1"/>
  <c r="BA26" i="32"/>
  <c r="AG23" i="32"/>
  <c r="S25" i="32"/>
  <c r="AH22" i="32"/>
  <c r="G27" i="38" s="1"/>
  <c r="F26" i="32"/>
  <c r="G26" i="32" s="1"/>
  <c r="H26" i="32"/>
  <c r="I26" i="32" s="1"/>
  <c r="B26" i="32"/>
  <c r="B31" i="38" s="1"/>
  <c r="M26" i="32"/>
  <c r="L25" i="39" l="1"/>
  <c r="O23" i="39"/>
  <c r="P23" i="39" s="1"/>
  <c r="I34" i="37" a="1"/>
  <c r="I34" i="37" s="1"/>
  <c r="T25" i="39"/>
  <c r="V25" i="39"/>
  <c r="X25" i="39"/>
  <c r="U24" i="39"/>
  <c r="Z24" i="39"/>
  <c r="AA24" i="39" s="1"/>
  <c r="W24" i="39"/>
  <c r="Y24" i="39"/>
  <c r="AC29" i="36"/>
  <c r="AE29" i="36" s="1"/>
  <c r="AB30" i="36" s="1"/>
  <c r="AE26" i="32"/>
  <c r="AF26" i="32"/>
  <c r="AO29" i="36"/>
  <c r="AQ29" i="36" s="1"/>
  <c r="AN30" i="36" s="1"/>
  <c r="AJ30" i="36"/>
  <c r="AG31" i="36"/>
  <c r="AA31" i="36"/>
  <c r="AM31" i="36"/>
  <c r="AI29" i="36"/>
  <c r="AK29" i="36" s="1"/>
  <c r="AH30" i="36" s="1"/>
  <c r="AP30" i="36"/>
  <c r="AD30" i="36"/>
  <c r="H25" i="39"/>
  <c r="A26" i="36"/>
  <c r="D25" i="39"/>
  <c r="AB25" i="39" s="1"/>
  <c r="AC25" i="39" s="1"/>
  <c r="E25" i="32"/>
  <c r="C36" i="37"/>
  <c r="B26" i="39"/>
  <c r="AB26" i="39" s="1"/>
  <c r="M26" i="39"/>
  <c r="E26" i="39"/>
  <c r="G26" i="39"/>
  <c r="N24" i="39"/>
  <c r="K24" i="39"/>
  <c r="G35" i="37" s="1"/>
  <c r="F24" i="39"/>
  <c r="Q24" i="39" s="1"/>
  <c r="B37" i="37"/>
  <c r="A27" i="39"/>
  <c r="A38" i="37"/>
  <c r="AN25" i="32"/>
  <c r="AA25" i="32" s="1"/>
  <c r="AB25" i="32" s="1"/>
  <c r="AC25" i="32" s="1"/>
  <c r="B21" i="36"/>
  <c r="C22" i="39"/>
  <c r="J22" i="39" s="1"/>
  <c r="I22" i="36" s="1"/>
  <c r="I21" i="39"/>
  <c r="D32" i="37" s="1"/>
  <c r="AO26" i="32"/>
  <c r="AP26" i="32" s="1"/>
  <c r="AM26" i="32"/>
  <c r="AS26" i="32"/>
  <c r="AT26" i="32" s="1"/>
  <c r="AY26" i="32"/>
  <c r="AZ26" i="32" s="1"/>
  <c r="AU26" i="32"/>
  <c r="AV26" i="32" s="1"/>
  <c r="AQ26" i="32"/>
  <c r="AR26" i="32" s="1"/>
  <c r="AW26" i="32"/>
  <c r="AX26" i="32" s="1"/>
  <c r="B27" i="32"/>
  <c r="S27" i="32" s="1"/>
  <c r="BA27" i="32"/>
  <c r="F27" i="32"/>
  <c r="G27" i="32" s="1"/>
  <c r="H27" i="32"/>
  <c r="I27" i="32" s="1"/>
  <c r="AK27" i="32"/>
  <c r="AL27" i="32"/>
  <c r="BB27" i="32" s="1"/>
  <c r="BC27" i="32" s="1"/>
  <c r="M27" i="32"/>
  <c r="I30" i="38"/>
  <c r="O25" i="36"/>
  <c r="V25" i="32"/>
  <c r="F21" i="36"/>
  <c r="AJ21" i="32"/>
  <c r="V21" i="36"/>
  <c r="J26" i="38"/>
  <c r="AD24" i="32"/>
  <c r="D29" i="38"/>
  <c r="S23" i="36"/>
  <c r="H26" i="36"/>
  <c r="N26" i="36"/>
  <c r="AG24" i="32"/>
  <c r="U24" i="36" s="1"/>
  <c r="T23" i="36"/>
  <c r="E28" i="38"/>
  <c r="C30" i="38"/>
  <c r="R27" i="36"/>
  <c r="J27" i="36"/>
  <c r="K27" i="36"/>
  <c r="L27" i="36"/>
  <c r="E27" i="36"/>
  <c r="A32" i="38"/>
  <c r="O23" i="32"/>
  <c r="U23" i="36"/>
  <c r="F28" i="38"/>
  <c r="L13" i="32"/>
  <c r="K13" i="32"/>
  <c r="U12" i="32"/>
  <c r="J26" i="32"/>
  <c r="AH23" i="32"/>
  <c r="G28" i="38" s="1"/>
  <c r="S26" i="32"/>
  <c r="AI22" i="32"/>
  <c r="A28" i="32"/>
  <c r="Z28" i="32" s="1"/>
  <c r="Y28" i="32" s="1"/>
  <c r="L26" i="39" l="1"/>
  <c r="AC26" i="39" s="1"/>
  <c r="O24" i="39"/>
  <c r="I35" i="37" a="1"/>
  <c r="I35" i="37" s="1"/>
  <c r="T26" i="39"/>
  <c r="V26" i="39"/>
  <c r="X26" i="39"/>
  <c r="U25" i="39"/>
  <c r="Z25" i="39"/>
  <c r="AA25" i="39" s="1"/>
  <c r="Y25" i="39"/>
  <c r="W25" i="39"/>
  <c r="N25" i="39"/>
  <c r="AO30" i="36"/>
  <c r="AQ30" i="36" s="1"/>
  <c r="AN31" i="36" s="1"/>
  <c r="H26" i="39"/>
  <c r="AP31" i="36"/>
  <c r="AD31" i="36"/>
  <c r="AJ31" i="36"/>
  <c r="AA32" i="36"/>
  <c r="AG32" i="36"/>
  <c r="AM32" i="36"/>
  <c r="AI30" i="36"/>
  <c r="AK30" i="36" s="1"/>
  <c r="AH31" i="36" s="1"/>
  <c r="AC30" i="36"/>
  <c r="AE30" i="36" s="1"/>
  <c r="AB31" i="36" s="1"/>
  <c r="AE27" i="32"/>
  <c r="F25" i="39"/>
  <c r="Q25" i="39" s="1"/>
  <c r="K25" i="39"/>
  <c r="G36" i="37" s="1"/>
  <c r="A27" i="36"/>
  <c r="B38" i="37"/>
  <c r="B27" i="39"/>
  <c r="AB27" i="39" s="1"/>
  <c r="M27" i="39"/>
  <c r="E27" i="39"/>
  <c r="G27" i="39"/>
  <c r="P24" i="39"/>
  <c r="A28" i="39"/>
  <c r="A39" i="37"/>
  <c r="N27" i="36"/>
  <c r="AF27" i="32"/>
  <c r="AN26" i="32"/>
  <c r="AA26" i="32" s="1"/>
  <c r="AB26" i="32" s="1"/>
  <c r="AC26" i="32" s="1"/>
  <c r="B22" i="36"/>
  <c r="I22" i="39"/>
  <c r="D33" i="37" s="1"/>
  <c r="C23" i="39"/>
  <c r="J23" i="39" s="1"/>
  <c r="I23" i="36" s="1"/>
  <c r="AQ27" i="32"/>
  <c r="AR27" i="32" s="1"/>
  <c r="AO27" i="32"/>
  <c r="AP27" i="32" s="1"/>
  <c r="AU27" i="32"/>
  <c r="AV27" i="32" s="1"/>
  <c r="AY27" i="32"/>
  <c r="AZ27" i="32" s="1"/>
  <c r="AM27" i="32"/>
  <c r="AW27" i="32"/>
  <c r="AX27" i="32" s="1"/>
  <c r="AS27" i="32"/>
  <c r="AT27" i="32" s="1"/>
  <c r="J27" i="32"/>
  <c r="D27" i="32" s="1"/>
  <c r="AK28" i="32"/>
  <c r="S25" i="36"/>
  <c r="AD25" i="32"/>
  <c r="S24" i="36"/>
  <c r="F29" i="38"/>
  <c r="AG25" i="32"/>
  <c r="F30" i="38" s="1"/>
  <c r="H27" i="36"/>
  <c r="T24" i="36"/>
  <c r="E29" i="38"/>
  <c r="P13" i="36"/>
  <c r="C31" i="38"/>
  <c r="P13" i="32"/>
  <c r="C14" i="32"/>
  <c r="T13" i="32"/>
  <c r="N13" i="32"/>
  <c r="R28" i="36"/>
  <c r="A33" i="38"/>
  <c r="J28" i="36"/>
  <c r="K28" i="36"/>
  <c r="L28" i="36"/>
  <c r="E28" i="36"/>
  <c r="O24" i="32"/>
  <c r="B32" i="38"/>
  <c r="D26" i="32"/>
  <c r="E26" i="32" s="1"/>
  <c r="V22" i="36"/>
  <c r="F22" i="36"/>
  <c r="J27" i="38"/>
  <c r="H27" i="38"/>
  <c r="AL28" i="32"/>
  <c r="BB28" i="32" s="1"/>
  <c r="BC28" i="32" s="1"/>
  <c r="BA28" i="32"/>
  <c r="AH24" i="32"/>
  <c r="G29" i="38" s="1"/>
  <c r="AI23" i="32"/>
  <c r="AJ22" i="32"/>
  <c r="F28" i="32"/>
  <c r="G28" i="32" s="1"/>
  <c r="H28" i="32"/>
  <c r="I28" i="32" s="1"/>
  <c r="A29" i="32"/>
  <c r="Z29" i="32" s="1"/>
  <c r="Y29" i="32" s="1"/>
  <c r="B28" i="32"/>
  <c r="B33" i="38" s="1"/>
  <c r="M28" i="32"/>
  <c r="L27" i="39" l="1"/>
  <c r="AC27" i="39" s="1"/>
  <c r="O25" i="39"/>
  <c r="I36" i="37" a="1"/>
  <c r="I36" i="37" s="1"/>
  <c r="T27" i="39"/>
  <c r="X27" i="39"/>
  <c r="V27" i="39"/>
  <c r="P25" i="39"/>
  <c r="H27" i="39"/>
  <c r="AD32" i="36"/>
  <c r="AJ32" i="36"/>
  <c r="AP32" i="36"/>
  <c r="AA33" i="36"/>
  <c r="AM33" i="36"/>
  <c r="AG33" i="36"/>
  <c r="AE28" i="32"/>
  <c r="AF28" i="32"/>
  <c r="C38" i="37"/>
  <c r="E27" i="32"/>
  <c r="D27" i="39"/>
  <c r="A28" i="36"/>
  <c r="B39" i="37"/>
  <c r="A29" i="39"/>
  <c r="A40" i="37"/>
  <c r="C37" i="37"/>
  <c r="D26" i="39"/>
  <c r="AS28" i="32"/>
  <c r="AT28" i="32" s="1"/>
  <c r="M28" i="39"/>
  <c r="B28" i="39"/>
  <c r="AB28" i="39" s="1"/>
  <c r="E28" i="39"/>
  <c r="G28" i="39"/>
  <c r="AN27" i="32"/>
  <c r="AA27" i="32" s="1"/>
  <c r="AB27" i="32" s="1"/>
  <c r="B23" i="36"/>
  <c r="I23" i="39"/>
  <c r="D34" i="37" s="1"/>
  <c r="C24" i="39"/>
  <c r="J24" i="39" s="1"/>
  <c r="I24" i="36" s="1"/>
  <c r="V27" i="32"/>
  <c r="I32" i="38"/>
  <c r="O27" i="36"/>
  <c r="AM28" i="32"/>
  <c r="AQ28" i="32"/>
  <c r="AR28" i="32" s="1"/>
  <c r="AW28" i="32"/>
  <c r="AX28" i="32" s="1"/>
  <c r="AG27" i="32"/>
  <c r="AY28" i="32"/>
  <c r="AZ28" i="32" s="1"/>
  <c r="AO28" i="32"/>
  <c r="AP28" i="32" s="1"/>
  <c r="AU28" i="32"/>
  <c r="AV28" i="32" s="1"/>
  <c r="AK29" i="32"/>
  <c r="AD26" i="32"/>
  <c r="D31" i="38"/>
  <c r="D30" i="38"/>
  <c r="U25" i="36"/>
  <c r="H28" i="36"/>
  <c r="C32" i="38"/>
  <c r="J28" i="32"/>
  <c r="D28" i="32" s="1"/>
  <c r="U13" i="32"/>
  <c r="I31" i="38"/>
  <c r="O26" i="36"/>
  <c r="L14" i="32"/>
  <c r="K14" i="32"/>
  <c r="V26" i="32"/>
  <c r="R29" i="36"/>
  <c r="A34" i="38"/>
  <c r="J29" i="36"/>
  <c r="K29" i="36"/>
  <c r="E29" i="36"/>
  <c r="L29" i="36"/>
  <c r="H28" i="38"/>
  <c r="F23" i="36"/>
  <c r="V23" i="36"/>
  <c r="J28" i="38"/>
  <c r="N28" i="36"/>
  <c r="E30" i="38"/>
  <c r="T25" i="36"/>
  <c r="O25" i="32"/>
  <c r="AL29" i="32"/>
  <c r="BB29" i="32" s="1"/>
  <c r="BC29" i="32" s="1"/>
  <c r="BA29" i="32"/>
  <c r="AJ23" i="32"/>
  <c r="AH25" i="32"/>
  <c r="G30" i="38" s="1"/>
  <c r="AG26" i="32"/>
  <c r="S28" i="32"/>
  <c r="AI24" i="32"/>
  <c r="A30" i="32"/>
  <c r="Z30" i="32" s="1"/>
  <c r="Y30" i="32" s="1"/>
  <c r="M29" i="32"/>
  <c r="B29" i="32"/>
  <c r="H29" i="36" s="1"/>
  <c r="H29" i="32"/>
  <c r="I29" i="32" s="1"/>
  <c r="F29" i="32"/>
  <c r="G29" i="32" s="1"/>
  <c r="L28" i="39" l="1"/>
  <c r="AC28" i="39" s="1"/>
  <c r="T28" i="39"/>
  <c r="X28" i="39"/>
  <c r="V28" i="39"/>
  <c r="U27" i="39"/>
  <c r="Z27" i="39"/>
  <c r="AA27" i="39" s="1"/>
  <c r="W27" i="39"/>
  <c r="Y27" i="39"/>
  <c r="Z26" i="39"/>
  <c r="AA26" i="39" s="1"/>
  <c r="Y26" i="39"/>
  <c r="W26" i="39"/>
  <c r="U26" i="39"/>
  <c r="N27" i="39"/>
  <c r="AO32" i="36"/>
  <c r="H28" i="39"/>
  <c r="AF29" i="32"/>
  <c r="AD33" i="36"/>
  <c r="AA34" i="36"/>
  <c r="AM34" i="36"/>
  <c r="AG34" i="36"/>
  <c r="AJ33" i="36"/>
  <c r="AP33" i="36"/>
  <c r="AC32" i="36"/>
  <c r="AI32" i="36"/>
  <c r="AO31" i="36"/>
  <c r="AQ31" i="36" s="1"/>
  <c r="AN32" i="36" s="1"/>
  <c r="AC31" i="36"/>
  <c r="AE31" i="36" s="1"/>
  <c r="AB32" i="36" s="1"/>
  <c r="AI31" i="36"/>
  <c r="AK31" i="36" s="1"/>
  <c r="AH32" i="36" s="1"/>
  <c r="D28" i="39"/>
  <c r="E28" i="32"/>
  <c r="N26" i="39"/>
  <c r="K26" i="39"/>
  <c r="G37" i="37" s="1"/>
  <c r="F26" i="39"/>
  <c r="Q26" i="39" s="1"/>
  <c r="K27" i="39"/>
  <c r="G38" i="37" s="1"/>
  <c r="A29" i="36"/>
  <c r="A41" i="37"/>
  <c r="A30" i="39"/>
  <c r="C39" i="37"/>
  <c r="B40" i="37"/>
  <c r="B29" i="39"/>
  <c r="AB29" i="39" s="1"/>
  <c r="M29" i="39"/>
  <c r="E29" i="39"/>
  <c r="G29" i="39"/>
  <c r="AE29" i="32"/>
  <c r="F27" i="39"/>
  <c r="Q27" i="39" s="1"/>
  <c r="AD27" i="32"/>
  <c r="AC27" i="32"/>
  <c r="AN28" i="32"/>
  <c r="AA28" i="32" s="1"/>
  <c r="AB28" i="32" s="1"/>
  <c r="AC28" i="32" s="1"/>
  <c r="B24" i="36"/>
  <c r="C25" i="39"/>
  <c r="J25" i="39" s="1"/>
  <c r="I25" i="36" s="1"/>
  <c r="I24" i="39"/>
  <c r="D35" i="37" s="1"/>
  <c r="AS29" i="32"/>
  <c r="AT29" i="32" s="1"/>
  <c r="AY29" i="32"/>
  <c r="AZ29" i="32" s="1"/>
  <c r="AM29" i="32"/>
  <c r="AW29" i="32"/>
  <c r="AX29" i="32" s="1"/>
  <c r="AQ29" i="32"/>
  <c r="AR29" i="32" s="1"/>
  <c r="AO29" i="32"/>
  <c r="AP29" i="32" s="1"/>
  <c r="AU29" i="32"/>
  <c r="AV29" i="32" s="1"/>
  <c r="AK30" i="32"/>
  <c r="S26" i="36"/>
  <c r="V28" i="32"/>
  <c r="O26" i="32"/>
  <c r="O27" i="32" s="1"/>
  <c r="N29" i="36"/>
  <c r="A35" i="38"/>
  <c r="J30" i="36"/>
  <c r="K30" i="36"/>
  <c r="L30" i="36"/>
  <c r="R30" i="36"/>
  <c r="E30" i="36"/>
  <c r="O28" i="36"/>
  <c r="I33" i="38"/>
  <c r="P14" i="36"/>
  <c r="T14" i="32"/>
  <c r="C15" i="32"/>
  <c r="N14" i="32"/>
  <c r="P14" i="32"/>
  <c r="T26" i="36"/>
  <c r="E31" i="38"/>
  <c r="C33" i="38"/>
  <c r="U26" i="36"/>
  <c r="F31" i="38"/>
  <c r="F32" i="38"/>
  <c r="U27" i="36"/>
  <c r="J29" i="38"/>
  <c r="H29" i="38"/>
  <c r="V24" i="36"/>
  <c r="F24" i="36"/>
  <c r="B34" i="38"/>
  <c r="BA30" i="32"/>
  <c r="AL30" i="32"/>
  <c r="BB30" i="32" s="1"/>
  <c r="BC30" i="32" s="1"/>
  <c r="J29" i="32"/>
  <c r="D29" i="32" s="1"/>
  <c r="D29" i="39" s="1"/>
  <c r="AJ24" i="32"/>
  <c r="AI25" i="32"/>
  <c r="C34" i="38"/>
  <c r="S29" i="32"/>
  <c r="AH26" i="32"/>
  <c r="G31" i="38" s="1"/>
  <c r="B30" i="32"/>
  <c r="B35" i="38" s="1"/>
  <c r="F30" i="32"/>
  <c r="G30" i="32" s="1"/>
  <c r="H30" i="32"/>
  <c r="I30" i="32" s="1"/>
  <c r="M30" i="32"/>
  <c r="A31" i="32"/>
  <c r="Z31" i="32" s="1"/>
  <c r="Y31" i="32" s="1"/>
  <c r="L29" i="39" l="1"/>
  <c r="AC29" i="39"/>
  <c r="O26" i="39"/>
  <c r="P26" i="39" s="1"/>
  <c r="I37" i="37" a="1"/>
  <c r="I37" i="37" s="1"/>
  <c r="O27" i="39"/>
  <c r="P27" i="39" s="1"/>
  <c r="I38" i="37" a="1"/>
  <c r="I38" i="37" s="1"/>
  <c r="T29" i="39"/>
  <c r="U29" i="39" s="1"/>
  <c r="V29" i="39"/>
  <c r="W29" i="39" s="1"/>
  <c r="X29" i="39"/>
  <c r="Y29" i="39" s="1"/>
  <c r="U28" i="39"/>
  <c r="Z28" i="39"/>
  <c r="AA28" i="39" s="1"/>
  <c r="Y28" i="39"/>
  <c r="W28" i="39"/>
  <c r="Z29" i="39"/>
  <c r="AA29" i="39" s="1"/>
  <c r="K28" i="39"/>
  <c r="G39" i="37" s="1"/>
  <c r="N28" i="39"/>
  <c r="N29" i="39"/>
  <c r="AI33" i="36"/>
  <c r="AO33" i="36"/>
  <c r="AQ32" i="36"/>
  <c r="AN33" i="36" s="1"/>
  <c r="AH27" i="32"/>
  <c r="AI27" i="32" s="1"/>
  <c r="AJ27" i="32" s="1"/>
  <c r="F28" i="39"/>
  <c r="Q28" i="39" s="1"/>
  <c r="AC33" i="36"/>
  <c r="AI34" i="36"/>
  <c r="AJ34" i="36"/>
  <c r="AA35" i="36"/>
  <c r="AM35" i="36"/>
  <c r="AG35" i="36"/>
  <c r="AP34" i="36"/>
  <c r="AO34" i="36"/>
  <c r="AC34" i="36"/>
  <c r="AD34" i="36"/>
  <c r="AK32" i="36"/>
  <c r="AH33" i="36" s="1"/>
  <c r="AE32" i="36"/>
  <c r="AB33" i="36" s="1"/>
  <c r="H29" i="39"/>
  <c r="S27" i="36"/>
  <c r="C40" i="37"/>
  <c r="E29" i="32"/>
  <c r="AE30" i="32"/>
  <c r="F29" i="39"/>
  <c r="AF30" i="32"/>
  <c r="B30" i="39"/>
  <c r="AB30" i="39" s="1"/>
  <c r="M30" i="39"/>
  <c r="E30" i="39"/>
  <c r="G30" i="39"/>
  <c r="A30" i="36"/>
  <c r="B41" i="37"/>
  <c r="K29" i="39"/>
  <c r="G40" i="37" s="1"/>
  <c r="A42" i="37"/>
  <c r="A31" i="39"/>
  <c r="AN29" i="32"/>
  <c r="AA29" i="32" s="1"/>
  <c r="AB29" i="32" s="1"/>
  <c r="AC29" i="32" s="1"/>
  <c r="AU30" i="32"/>
  <c r="AV30" i="32" s="1"/>
  <c r="B25" i="36"/>
  <c r="C26" i="39"/>
  <c r="J26" i="39" s="1"/>
  <c r="I26" i="36" s="1"/>
  <c r="I25" i="39"/>
  <c r="D36" i="37" s="1"/>
  <c r="AY30" i="32"/>
  <c r="AZ30" i="32" s="1"/>
  <c r="AQ30" i="32"/>
  <c r="AR30" i="32" s="1"/>
  <c r="AM30" i="32"/>
  <c r="AW30" i="32"/>
  <c r="AX30" i="32" s="1"/>
  <c r="AS30" i="32"/>
  <c r="AT30" i="32" s="1"/>
  <c r="AO30" i="32"/>
  <c r="AP30" i="32" s="1"/>
  <c r="H30" i="36"/>
  <c r="AK31" i="32"/>
  <c r="AD28" i="32"/>
  <c r="E33" i="38" s="1"/>
  <c r="D33" i="38"/>
  <c r="D32" i="38"/>
  <c r="V29" i="32"/>
  <c r="J30" i="32"/>
  <c r="D30" i="32" s="1"/>
  <c r="AG28" i="32"/>
  <c r="J30" i="38"/>
  <c r="H30" i="38"/>
  <c r="F25" i="36"/>
  <c r="V25" i="36"/>
  <c r="R31" i="36"/>
  <c r="E31" i="36"/>
  <c r="J31" i="36"/>
  <c r="K31" i="36"/>
  <c r="L31" i="36"/>
  <c r="A36" i="38"/>
  <c r="N30" i="36"/>
  <c r="K15" i="32"/>
  <c r="L15" i="32"/>
  <c r="E32" i="38"/>
  <c r="T27" i="36"/>
  <c r="U14" i="32"/>
  <c r="I34" i="38"/>
  <c r="O29" i="36"/>
  <c r="AL31" i="32"/>
  <c r="BB31" i="32" s="1"/>
  <c r="BC31" i="32" s="1"/>
  <c r="BA31" i="32"/>
  <c r="AJ25" i="32"/>
  <c r="S30" i="32"/>
  <c r="AI26" i="32"/>
  <c r="C35" i="38"/>
  <c r="H31" i="32"/>
  <c r="I31" i="32" s="1"/>
  <c r="A32" i="32"/>
  <c r="Z32" i="32" s="1"/>
  <c r="Y32" i="32" s="1"/>
  <c r="M31" i="32"/>
  <c r="B31" i="32"/>
  <c r="A31" i="36" s="1"/>
  <c r="F31" i="32"/>
  <c r="G31" i="32" s="1"/>
  <c r="L30" i="39" l="1"/>
  <c r="Q29" i="39"/>
  <c r="AC30" i="39"/>
  <c r="O29" i="39"/>
  <c r="P29" i="39" s="1"/>
  <c r="O28" i="39"/>
  <c r="P28" i="39" s="1"/>
  <c r="I39" i="37" a="1"/>
  <c r="I39" i="37" s="1"/>
  <c r="AK33" i="36"/>
  <c r="AH34" i="36" s="1"/>
  <c r="AK34" i="36" s="1"/>
  <c r="AH35" i="36" s="1"/>
  <c r="T30" i="39"/>
  <c r="V30" i="39"/>
  <c r="X30" i="39"/>
  <c r="I40" i="37" a="1"/>
  <c r="I40" i="37" s="1"/>
  <c r="G32" i="38"/>
  <c r="AE33" i="36"/>
  <c r="AB34" i="36" s="1"/>
  <c r="AE34" i="36" s="1"/>
  <c r="AB35" i="36" s="1"/>
  <c r="AQ33" i="36"/>
  <c r="AN34" i="36" s="1"/>
  <c r="AQ34" i="36" s="1"/>
  <c r="AN35" i="36" s="1"/>
  <c r="AE31" i="32"/>
  <c r="AF31" i="32"/>
  <c r="AM36" i="36"/>
  <c r="AG36" i="36"/>
  <c r="AA36" i="36"/>
  <c r="AJ35" i="36"/>
  <c r="AD35" i="36"/>
  <c r="AP35" i="36"/>
  <c r="H30" i="39"/>
  <c r="D30" i="39"/>
  <c r="E30" i="32"/>
  <c r="C41" i="37"/>
  <c r="A43" i="37"/>
  <c r="A32" i="39"/>
  <c r="M31" i="39"/>
  <c r="B31" i="39"/>
  <c r="AB31" i="39" s="1"/>
  <c r="E31" i="39"/>
  <c r="G31" i="39"/>
  <c r="B42" i="37"/>
  <c r="AU31" i="32"/>
  <c r="AV31" i="32" s="1"/>
  <c r="AN30" i="32"/>
  <c r="AA30" i="32" s="1"/>
  <c r="AB30" i="32" s="1"/>
  <c r="AC30" i="32" s="1"/>
  <c r="AQ31" i="32"/>
  <c r="AR31" i="32" s="1"/>
  <c r="B26" i="36"/>
  <c r="C27" i="39"/>
  <c r="J27" i="39" s="1"/>
  <c r="I27" i="36" s="1"/>
  <c r="I26" i="39"/>
  <c r="D37" i="37" s="1"/>
  <c r="V30" i="32"/>
  <c r="AM31" i="32"/>
  <c r="AO31" i="32"/>
  <c r="AP31" i="32" s="1"/>
  <c r="AY31" i="32"/>
  <c r="AZ31" i="32" s="1"/>
  <c r="AW31" i="32"/>
  <c r="AX31" i="32" s="1"/>
  <c r="AS31" i="32"/>
  <c r="AT31" i="32" s="1"/>
  <c r="AK32" i="32"/>
  <c r="O30" i="36"/>
  <c r="I35" i="38"/>
  <c r="H31" i="36"/>
  <c r="S29" i="36"/>
  <c r="AD29" i="32"/>
  <c r="T29" i="36" s="1"/>
  <c r="T28" i="36"/>
  <c r="AH28" i="32"/>
  <c r="G33" i="38" s="1"/>
  <c r="F33" i="38"/>
  <c r="U28" i="36"/>
  <c r="S28" i="36"/>
  <c r="N31" i="36"/>
  <c r="J31" i="32"/>
  <c r="D31" i="32" s="1"/>
  <c r="D31" i="39" s="1"/>
  <c r="O28" i="32"/>
  <c r="B36" i="38"/>
  <c r="R32" i="36"/>
  <c r="A37" i="38"/>
  <c r="J32" i="36"/>
  <c r="K32" i="36"/>
  <c r="L32" i="36"/>
  <c r="E32" i="36"/>
  <c r="T15" i="32"/>
  <c r="N15" i="32"/>
  <c r="P15" i="32"/>
  <c r="C16" i="32"/>
  <c r="F26" i="36"/>
  <c r="J31" i="38"/>
  <c r="V26" i="36"/>
  <c r="H31" i="38"/>
  <c r="P15" i="36"/>
  <c r="AG29" i="32"/>
  <c r="BA32" i="32"/>
  <c r="AL32" i="32"/>
  <c r="BB32" i="32" s="1"/>
  <c r="BC32" i="32" s="1"/>
  <c r="AE32" i="32" s="1"/>
  <c r="AJ26" i="32"/>
  <c r="S31" i="32"/>
  <c r="M32" i="32"/>
  <c r="B32" i="32"/>
  <c r="H32" i="36" s="1"/>
  <c r="F32" i="32"/>
  <c r="G32" i="32" s="1"/>
  <c r="H32" i="32"/>
  <c r="I32" i="32" s="1"/>
  <c r="A33" i="32"/>
  <c r="Z33" i="32" s="1"/>
  <c r="Y33" i="32" s="1"/>
  <c r="L31" i="39" l="1"/>
  <c r="AC31" i="39" s="1"/>
  <c r="T31" i="39"/>
  <c r="U31" i="39" s="1"/>
  <c r="X31" i="39"/>
  <c r="Y31" i="39" s="1"/>
  <c r="V31" i="39"/>
  <c r="W31" i="39" s="1"/>
  <c r="U30" i="39"/>
  <c r="Z30" i="39"/>
  <c r="AA30" i="39" s="1"/>
  <c r="W30" i="39"/>
  <c r="Y30" i="39"/>
  <c r="Z31" i="39"/>
  <c r="AA31" i="39" s="1"/>
  <c r="AO35" i="36"/>
  <c r="AQ35" i="36" s="1"/>
  <c r="AN36" i="36" s="1"/>
  <c r="N31" i="39"/>
  <c r="AC35" i="36"/>
  <c r="AE35" i="36" s="1"/>
  <c r="AB36" i="36" s="1"/>
  <c r="AI35" i="36"/>
  <c r="AK35" i="36" s="1"/>
  <c r="AH36" i="36" s="1"/>
  <c r="A32" i="36"/>
  <c r="F30" i="39"/>
  <c r="Q30" i="39" s="1"/>
  <c r="K30" i="39"/>
  <c r="G41" i="37" s="1"/>
  <c r="N30" i="39"/>
  <c r="AC36" i="36"/>
  <c r="AD36" i="36"/>
  <c r="AI36" i="36"/>
  <c r="AJ36" i="36"/>
  <c r="AO36" i="36"/>
  <c r="AP36" i="36"/>
  <c r="AM37" i="36"/>
  <c r="AA37" i="36"/>
  <c r="AG37" i="36"/>
  <c r="AF32" i="32"/>
  <c r="H31" i="39"/>
  <c r="C42" i="37"/>
  <c r="E31" i="32"/>
  <c r="A33" i="39"/>
  <c r="A44" i="37"/>
  <c r="M32" i="39"/>
  <c r="B32" i="39"/>
  <c r="AB32" i="39" s="1"/>
  <c r="E32" i="39"/>
  <c r="G32" i="39"/>
  <c r="B43" i="37"/>
  <c r="K31" i="39"/>
  <c r="G42" i="37" s="1"/>
  <c r="F31" i="39"/>
  <c r="AN31" i="32"/>
  <c r="AA31" i="32" s="1"/>
  <c r="AB31" i="32" s="1"/>
  <c r="AC31" i="32" s="1"/>
  <c r="B27" i="36"/>
  <c r="C28" i="39"/>
  <c r="J28" i="39" s="1"/>
  <c r="I28" i="36" s="1"/>
  <c r="I27" i="39"/>
  <c r="D38" i="37" s="1"/>
  <c r="V31" i="32"/>
  <c r="AO32" i="32"/>
  <c r="AP32" i="32" s="1"/>
  <c r="AQ32" i="32"/>
  <c r="AR32" i="32" s="1"/>
  <c r="AM32" i="32"/>
  <c r="AW32" i="32"/>
  <c r="AX32" i="32" s="1"/>
  <c r="AS32" i="32"/>
  <c r="AT32" i="32" s="1"/>
  <c r="AY32" i="32"/>
  <c r="AZ32" i="32" s="1"/>
  <c r="AU32" i="32"/>
  <c r="AV32" i="32" s="1"/>
  <c r="AI28" i="32"/>
  <c r="J33" i="38" s="1"/>
  <c r="E34" i="38"/>
  <c r="D34" i="38"/>
  <c r="AK33" i="32"/>
  <c r="AD30" i="32"/>
  <c r="E35" i="38" s="1"/>
  <c r="S30" i="36"/>
  <c r="AG30" i="32"/>
  <c r="U30" i="36" s="1"/>
  <c r="B37" i="38"/>
  <c r="O29" i="32"/>
  <c r="I36" i="38"/>
  <c r="O31" i="36"/>
  <c r="C36" i="38"/>
  <c r="K16" i="32"/>
  <c r="L16" i="32"/>
  <c r="U15" i="32"/>
  <c r="N32" i="36"/>
  <c r="F34" i="38"/>
  <c r="U29" i="36"/>
  <c r="V27" i="36"/>
  <c r="J32" i="38"/>
  <c r="F27" i="36"/>
  <c r="H32" i="38"/>
  <c r="J33" i="36"/>
  <c r="K33" i="36"/>
  <c r="L33" i="36"/>
  <c r="A38" i="38"/>
  <c r="R33" i="36"/>
  <c r="E33" i="36"/>
  <c r="AH29" i="32"/>
  <c r="G34" i="38" s="1"/>
  <c r="BA33" i="32"/>
  <c r="AL33" i="32"/>
  <c r="BB33" i="32" s="1"/>
  <c r="BC33" i="32" s="1"/>
  <c r="S32" i="32"/>
  <c r="F33" i="32"/>
  <c r="G33" i="32" s="1"/>
  <c r="H33" i="32"/>
  <c r="I33" i="32" s="1"/>
  <c r="A34" i="32"/>
  <c r="Z34" i="32" s="1"/>
  <c r="Y34" i="32" s="1"/>
  <c r="M33" i="32"/>
  <c r="B33" i="32"/>
  <c r="N33" i="36" s="1"/>
  <c r="J32" i="32"/>
  <c r="D32" i="32" s="1"/>
  <c r="L32" i="39" l="1"/>
  <c r="AC32" i="39" s="1"/>
  <c r="Q31" i="39"/>
  <c r="O31" i="39"/>
  <c r="P31" i="39" s="1"/>
  <c r="O30" i="39"/>
  <c r="P30" i="39" s="1"/>
  <c r="I41" i="37" a="1"/>
  <c r="I41" i="37" s="1"/>
  <c r="T32" i="39"/>
  <c r="X32" i="39"/>
  <c r="V32" i="39"/>
  <c r="I42" i="37" a="1"/>
  <c r="I42" i="37" s="1"/>
  <c r="AF33" i="32"/>
  <c r="AE36" i="36"/>
  <c r="AB37" i="36" s="1"/>
  <c r="AE33" i="32"/>
  <c r="AK36" i="36"/>
  <c r="AH37" i="36" s="1"/>
  <c r="AP37" i="36"/>
  <c r="AJ37" i="36"/>
  <c r="AQ36" i="36"/>
  <c r="AN37" i="36" s="1"/>
  <c r="AM38" i="36"/>
  <c r="AG38" i="36"/>
  <c r="AA38" i="36"/>
  <c r="AD37" i="36"/>
  <c r="H32" i="39"/>
  <c r="C43" i="37"/>
  <c r="E32" i="32"/>
  <c r="D32" i="39"/>
  <c r="A33" i="36"/>
  <c r="B44" i="37"/>
  <c r="A34" i="39"/>
  <c r="A45" i="37"/>
  <c r="B33" i="39"/>
  <c r="AB33" i="39" s="1"/>
  <c r="M33" i="39"/>
  <c r="E33" i="39"/>
  <c r="G33" i="39"/>
  <c r="AN32" i="32"/>
  <c r="AA32" i="32" s="1"/>
  <c r="AB32" i="32" s="1"/>
  <c r="AC32" i="32" s="1"/>
  <c r="B28" i="36"/>
  <c r="C29" i="39"/>
  <c r="J29" i="39" s="1"/>
  <c r="I29" i="36" s="1"/>
  <c r="I28" i="39"/>
  <c r="D39" i="37" s="1"/>
  <c r="AU33" i="32"/>
  <c r="AV33" i="32" s="1"/>
  <c r="AM33" i="32"/>
  <c r="AQ33" i="32"/>
  <c r="AR33" i="32" s="1"/>
  <c r="AW33" i="32"/>
  <c r="AX33" i="32" s="1"/>
  <c r="H33" i="38"/>
  <c r="AS33" i="32"/>
  <c r="AT33" i="32" s="1"/>
  <c r="AJ28" i="32"/>
  <c r="AO33" i="32"/>
  <c r="AP33" i="32" s="1"/>
  <c r="AY33" i="32"/>
  <c r="AZ33" i="32" s="1"/>
  <c r="V28" i="36"/>
  <c r="F28" i="36"/>
  <c r="AK34" i="32"/>
  <c r="D36" i="38"/>
  <c r="AD31" i="32"/>
  <c r="E36" i="38" s="1"/>
  <c r="F35" i="38"/>
  <c r="T30" i="36"/>
  <c r="AH30" i="32"/>
  <c r="G35" i="38" s="1"/>
  <c r="D35" i="38"/>
  <c r="AI29" i="32"/>
  <c r="J34" i="38" s="1"/>
  <c r="P16" i="36"/>
  <c r="O30" i="32"/>
  <c r="R34" i="36"/>
  <c r="A39" i="38"/>
  <c r="J34" i="36"/>
  <c r="K34" i="36"/>
  <c r="E34" i="36"/>
  <c r="L34" i="36"/>
  <c r="I37" i="38"/>
  <c r="O32" i="36"/>
  <c r="T16" i="32"/>
  <c r="N16" i="32"/>
  <c r="C17" i="32"/>
  <c r="P16" i="32"/>
  <c r="C37" i="38"/>
  <c r="H33" i="36"/>
  <c r="AG31" i="32"/>
  <c r="B38" i="38"/>
  <c r="AL34" i="32"/>
  <c r="BB34" i="32" s="1"/>
  <c r="BC34" i="32" s="1"/>
  <c r="BA34" i="32"/>
  <c r="S33" i="32"/>
  <c r="J33" i="32"/>
  <c r="M34" i="32"/>
  <c r="B34" i="32"/>
  <c r="A34" i="36" s="1"/>
  <c r="F34" i="32"/>
  <c r="G34" i="32" s="1"/>
  <c r="A35" i="32"/>
  <c r="Z35" i="32" s="1"/>
  <c r="Y35" i="32" s="1"/>
  <c r="H34" i="32"/>
  <c r="I34" i="32" s="1"/>
  <c r="V32" i="32"/>
  <c r="L33" i="39" l="1"/>
  <c r="AC33" i="39" s="1"/>
  <c r="T33" i="39"/>
  <c r="X33" i="39"/>
  <c r="V33" i="39"/>
  <c r="U32" i="39"/>
  <c r="Z32" i="39"/>
  <c r="AA32" i="39" s="1"/>
  <c r="Y32" i="39"/>
  <c r="W32" i="39"/>
  <c r="AO37" i="36"/>
  <c r="AQ37" i="36" s="1"/>
  <c r="AN38" i="36" s="1"/>
  <c r="AC37" i="36"/>
  <c r="AE37" i="36" s="1"/>
  <c r="AB38" i="36" s="1"/>
  <c r="AE34" i="32"/>
  <c r="AJ38" i="36"/>
  <c r="AM39" i="36"/>
  <c r="AA39" i="36"/>
  <c r="AG39" i="36"/>
  <c r="AI37" i="36"/>
  <c r="AK37" i="36" s="1"/>
  <c r="AH38" i="36" s="1"/>
  <c r="AD38" i="36"/>
  <c r="AP38" i="36"/>
  <c r="AF34" i="32"/>
  <c r="H33" i="39"/>
  <c r="B45" i="37"/>
  <c r="M34" i="39"/>
  <c r="B34" i="39"/>
  <c r="AB34" i="39" s="1"/>
  <c r="E34" i="39"/>
  <c r="G34" i="39"/>
  <c r="A46" i="37"/>
  <c r="A35" i="39"/>
  <c r="N32" i="39"/>
  <c r="K32" i="39"/>
  <c r="G43" i="37" s="1"/>
  <c r="F32" i="39"/>
  <c r="Q32" i="39" s="1"/>
  <c r="AN33" i="32"/>
  <c r="AA33" i="32" s="1"/>
  <c r="AB33" i="32" s="1"/>
  <c r="AC33" i="32" s="1"/>
  <c r="B29" i="36"/>
  <c r="C30" i="39"/>
  <c r="J30" i="39" s="1"/>
  <c r="I30" i="36" s="1"/>
  <c r="I29" i="39"/>
  <c r="D40" i="37" s="1"/>
  <c r="AY34" i="32"/>
  <c r="AZ34" i="32" s="1"/>
  <c r="AM34" i="32"/>
  <c r="AO34" i="32"/>
  <c r="AP34" i="32" s="1"/>
  <c r="AU34" i="32"/>
  <c r="AV34" i="32" s="1"/>
  <c r="AW34" i="32"/>
  <c r="AX34" i="32" s="1"/>
  <c r="AQ34" i="32"/>
  <c r="AR34" i="32" s="1"/>
  <c r="AS34" i="32"/>
  <c r="AT34" i="32" s="1"/>
  <c r="AK35" i="32"/>
  <c r="AI30" i="32"/>
  <c r="V30" i="36" s="1"/>
  <c r="AD32" i="32"/>
  <c r="E37" i="38" s="1"/>
  <c r="S32" i="36"/>
  <c r="F29" i="36"/>
  <c r="S31" i="36"/>
  <c r="T31" i="36"/>
  <c r="H34" i="38"/>
  <c r="V29" i="36"/>
  <c r="AJ29" i="32"/>
  <c r="AG32" i="32"/>
  <c r="F37" i="38" s="1"/>
  <c r="H34" i="36"/>
  <c r="N34" i="36"/>
  <c r="D33" i="32"/>
  <c r="E33" i="32" s="1"/>
  <c r="O31" i="32"/>
  <c r="F36" i="38"/>
  <c r="U31" i="36"/>
  <c r="AH31" i="32"/>
  <c r="G36" i="38" s="1"/>
  <c r="C38" i="38"/>
  <c r="K17" i="32"/>
  <c r="L17" i="32"/>
  <c r="B39" i="38"/>
  <c r="J35" i="36"/>
  <c r="R35" i="36"/>
  <c r="K35" i="36"/>
  <c r="E35" i="36"/>
  <c r="A40" i="38"/>
  <c r="L35" i="36"/>
  <c r="U16" i="32"/>
  <c r="BA35" i="32"/>
  <c r="AL35" i="32"/>
  <c r="BB35" i="32" s="1"/>
  <c r="BC35" i="32" s="1"/>
  <c r="S34" i="32"/>
  <c r="C39" i="38"/>
  <c r="J34" i="32"/>
  <c r="D34" i="32" s="1"/>
  <c r="B35" i="32"/>
  <c r="H35" i="36" s="1"/>
  <c r="F35" i="32"/>
  <c r="G35" i="32" s="1"/>
  <c r="H35" i="32"/>
  <c r="I35" i="32" s="1"/>
  <c r="A36" i="32"/>
  <c r="Z36" i="32" s="1"/>
  <c r="Y36" i="32" s="1"/>
  <c r="M35" i="32"/>
  <c r="L34" i="39" l="1"/>
  <c r="AC34" i="39" s="1"/>
  <c r="O32" i="39"/>
  <c r="I43" i="37" a="1"/>
  <c r="I43" i="37" s="1"/>
  <c r="T34" i="39"/>
  <c r="X34" i="39"/>
  <c r="V34" i="39"/>
  <c r="AA40" i="36"/>
  <c r="AM40" i="36"/>
  <c r="AG40" i="36"/>
  <c r="AJ39" i="36"/>
  <c r="AD39" i="36"/>
  <c r="AP39" i="36"/>
  <c r="AE35" i="32"/>
  <c r="AF35" i="32"/>
  <c r="H34" i="39"/>
  <c r="C45" i="37"/>
  <c r="E34" i="32"/>
  <c r="P32" i="39"/>
  <c r="A47" i="37"/>
  <c r="A36" i="39"/>
  <c r="C44" i="37"/>
  <c r="D33" i="39"/>
  <c r="B35" i="39"/>
  <c r="AB35" i="39" s="1"/>
  <c r="M35" i="39"/>
  <c r="E35" i="39"/>
  <c r="G35" i="39"/>
  <c r="L35" i="39" s="1"/>
  <c r="B46" i="37"/>
  <c r="D34" i="39"/>
  <c r="A35" i="36"/>
  <c r="AN34" i="32"/>
  <c r="AA34" i="32" s="1"/>
  <c r="AB34" i="32" s="1"/>
  <c r="AC34" i="32" s="1"/>
  <c r="B30" i="36"/>
  <c r="C31" i="39"/>
  <c r="J31" i="39" s="1"/>
  <c r="I31" i="36" s="1"/>
  <c r="I30" i="39"/>
  <c r="D41" i="37" s="1"/>
  <c r="AW35" i="32"/>
  <c r="AX35" i="32" s="1"/>
  <c r="AU35" i="32"/>
  <c r="AV35" i="32" s="1"/>
  <c r="AS35" i="32"/>
  <c r="AT35" i="32" s="1"/>
  <c r="AM35" i="32"/>
  <c r="AQ35" i="32"/>
  <c r="AR35" i="32" s="1"/>
  <c r="AY35" i="32"/>
  <c r="AZ35" i="32" s="1"/>
  <c r="AO35" i="32"/>
  <c r="AP35" i="32" s="1"/>
  <c r="F30" i="36"/>
  <c r="AJ30" i="32"/>
  <c r="H35" i="38"/>
  <c r="J35" i="38"/>
  <c r="AK36" i="32"/>
  <c r="D38" i="38"/>
  <c r="AD33" i="32"/>
  <c r="E38" i="38" s="1"/>
  <c r="U32" i="36"/>
  <c r="AH32" i="32"/>
  <c r="G37" i="38" s="1"/>
  <c r="T32" i="36"/>
  <c r="AG33" i="32"/>
  <c r="U33" i="36" s="1"/>
  <c r="D37" i="38"/>
  <c r="B40" i="38"/>
  <c r="AI31" i="32"/>
  <c r="V31" i="36" s="1"/>
  <c r="N35" i="36"/>
  <c r="N17" i="32"/>
  <c r="P17" i="32"/>
  <c r="T17" i="32"/>
  <c r="C18" i="32"/>
  <c r="O32" i="32"/>
  <c r="P17" i="36"/>
  <c r="I38" i="38"/>
  <c r="O33" i="36"/>
  <c r="V33" i="32"/>
  <c r="R36" i="36"/>
  <c r="J36" i="36"/>
  <c r="K36" i="36"/>
  <c r="L36" i="36"/>
  <c r="A41" i="38"/>
  <c r="E36" i="36"/>
  <c r="O34" i="36"/>
  <c r="I39" i="38"/>
  <c r="AL36" i="32"/>
  <c r="BB36" i="32" s="1"/>
  <c r="BC36" i="32" s="1"/>
  <c r="BA36" i="32"/>
  <c r="J35" i="32"/>
  <c r="S35" i="32"/>
  <c r="H36" i="32"/>
  <c r="I36" i="32" s="1"/>
  <c r="A37" i="32"/>
  <c r="Z37" i="32" s="1"/>
  <c r="Y37" i="32" s="1"/>
  <c r="M36" i="32"/>
  <c r="F36" i="32"/>
  <c r="G36" i="32" s="1"/>
  <c r="B36" i="32"/>
  <c r="A36" i="36" s="1"/>
  <c r="V34" i="32"/>
  <c r="AC35" i="39" l="1"/>
  <c r="T35" i="39"/>
  <c r="V35" i="39"/>
  <c r="X35" i="39"/>
  <c r="Z33" i="39"/>
  <c r="AA33" i="39" s="1"/>
  <c r="Y33" i="39"/>
  <c r="W33" i="39"/>
  <c r="U34" i="39"/>
  <c r="Z34" i="39"/>
  <c r="AA34" i="39" s="1"/>
  <c r="W34" i="39"/>
  <c r="Y34" i="39"/>
  <c r="U33" i="39"/>
  <c r="N34" i="39"/>
  <c r="AO39" i="36"/>
  <c r="AC39" i="36"/>
  <c r="AI39" i="36"/>
  <c r="AG41" i="36"/>
  <c r="AM41" i="36"/>
  <c r="AA41" i="36"/>
  <c r="AJ40" i="36"/>
  <c r="AP40" i="36"/>
  <c r="AD40" i="36"/>
  <c r="AO38" i="36"/>
  <c r="AQ38" i="36" s="1"/>
  <c r="AN39" i="36" s="1"/>
  <c r="AI38" i="36"/>
  <c r="AK38" i="36" s="1"/>
  <c r="AH39" i="36" s="1"/>
  <c r="AC38" i="36"/>
  <c r="AE38" i="36" s="1"/>
  <c r="AB39" i="36" s="1"/>
  <c r="AE36" i="32"/>
  <c r="A48" i="37"/>
  <c r="A37" i="39"/>
  <c r="F34" i="39"/>
  <c r="Q34" i="39" s="1"/>
  <c r="M36" i="39"/>
  <c r="B36" i="39"/>
  <c r="AB36" i="39" s="1"/>
  <c r="E36" i="39"/>
  <c r="G36" i="39"/>
  <c r="N33" i="39"/>
  <c r="K33" i="39"/>
  <c r="G44" i="37" s="1"/>
  <c r="F33" i="39"/>
  <c r="Q33" i="39" s="1"/>
  <c r="K34" i="39"/>
  <c r="G45" i="37" s="1"/>
  <c r="H35" i="39"/>
  <c r="AF36" i="32"/>
  <c r="B47" i="37"/>
  <c r="AN35" i="32"/>
  <c r="AA35" i="32" s="1"/>
  <c r="AB35" i="32" s="1"/>
  <c r="AC35" i="32" s="1"/>
  <c r="B31" i="36"/>
  <c r="C32" i="39"/>
  <c r="J32" i="39" s="1"/>
  <c r="I32" i="36" s="1"/>
  <c r="I31" i="39"/>
  <c r="D42" i="37" s="1"/>
  <c r="AM36" i="32"/>
  <c r="AW36" i="32"/>
  <c r="AX36" i="32" s="1"/>
  <c r="AO36" i="32"/>
  <c r="AP36" i="32" s="1"/>
  <c r="AY36" i="32"/>
  <c r="AZ36" i="32" s="1"/>
  <c r="AS36" i="32"/>
  <c r="AT36" i="32" s="1"/>
  <c r="AU36" i="32"/>
  <c r="AV36" i="32" s="1"/>
  <c r="AQ36" i="32"/>
  <c r="AR36" i="32" s="1"/>
  <c r="AG34" i="32"/>
  <c r="F39" i="38" s="1"/>
  <c r="AK37" i="32"/>
  <c r="B41" i="38"/>
  <c r="AD34" i="32"/>
  <c r="S34" i="36"/>
  <c r="AI32" i="32"/>
  <c r="AJ32" i="32" s="1"/>
  <c r="AH33" i="32"/>
  <c r="G38" i="38" s="1"/>
  <c r="F38" i="38"/>
  <c r="S33" i="36"/>
  <c r="J36" i="38"/>
  <c r="T33" i="36"/>
  <c r="F31" i="36"/>
  <c r="AJ31" i="32"/>
  <c r="H36" i="38"/>
  <c r="N36" i="36"/>
  <c r="H36" i="36"/>
  <c r="O33" i="32"/>
  <c r="L18" i="32"/>
  <c r="K18" i="32"/>
  <c r="R37" i="36"/>
  <c r="E37" i="36"/>
  <c r="J37" i="36"/>
  <c r="K37" i="36"/>
  <c r="A42" i="38"/>
  <c r="L37" i="36"/>
  <c r="D35" i="32"/>
  <c r="E35" i="32" s="1"/>
  <c r="U17" i="32"/>
  <c r="C40" i="38"/>
  <c r="BA37" i="32"/>
  <c r="AL37" i="32"/>
  <c r="BB37" i="32" s="1"/>
  <c r="BC37" i="32" s="1"/>
  <c r="J36" i="32"/>
  <c r="S36" i="32"/>
  <c r="M37" i="32"/>
  <c r="B37" i="32"/>
  <c r="A37" i="36" s="1"/>
  <c r="F37" i="32"/>
  <c r="G37" i="32" s="1"/>
  <c r="A38" i="32"/>
  <c r="Z38" i="32" s="1"/>
  <c r="Y38" i="32" s="1"/>
  <c r="H37" i="32"/>
  <c r="I37" i="32" s="1"/>
  <c r="L36" i="39" l="1"/>
  <c r="AC36" i="39" s="1"/>
  <c r="O34" i="39"/>
  <c r="P34" i="39" s="1"/>
  <c r="I45" i="37" a="1"/>
  <c r="I45" i="37" s="1"/>
  <c r="O33" i="39"/>
  <c r="P33" i="39" s="1"/>
  <c r="I44" i="37" a="1"/>
  <c r="I44" i="37" s="1"/>
  <c r="T36" i="39"/>
  <c r="X36" i="39"/>
  <c r="V36" i="39"/>
  <c r="AQ39" i="36"/>
  <c r="AN40" i="36" s="1"/>
  <c r="AK39" i="36"/>
  <c r="AH40" i="36" s="1"/>
  <c r="AE39" i="36"/>
  <c r="AB40" i="36" s="1"/>
  <c r="AE37" i="32"/>
  <c r="AF37" i="32"/>
  <c r="AG42" i="36"/>
  <c r="AM42" i="36"/>
  <c r="AA42" i="36"/>
  <c r="AD41" i="36"/>
  <c r="AP41" i="36"/>
  <c r="AJ41" i="36"/>
  <c r="C46" i="37"/>
  <c r="D35" i="39"/>
  <c r="M37" i="39"/>
  <c r="B37" i="39"/>
  <c r="AB37" i="39" s="1"/>
  <c r="E37" i="39"/>
  <c r="G37" i="39"/>
  <c r="A49" i="37"/>
  <c r="A38" i="39"/>
  <c r="B48" i="37"/>
  <c r="H36" i="39"/>
  <c r="AN36" i="32"/>
  <c r="AA36" i="32" s="1"/>
  <c r="AB36" i="32" s="1"/>
  <c r="AC36" i="32" s="1"/>
  <c r="B32" i="36"/>
  <c r="C33" i="39"/>
  <c r="J33" i="39" s="1"/>
  <c r="I33" i="36" s="1"/>
  <c r="I32" i="39"/>
  <c r="D43" i="37" s="1"/>
  <c r="AU37" i="32"/>
  <c r="AV37" i="32" s="1"/>
  <c r="AM37" i="32"/>
  <c r="AW37" i="32"/>
  <c r="AX37" i="32" s="1"/>
  <c r="AY37" i="32"/>
  <c r="AZ37" i="32" s="1"/>
  <c r="AO37" i="32"/>
  <c r="AP37" i="32" s="1"/>
  <c r="AQ37" i="32"/>
  <c r="AR37" i="32" s="1"/>
  <c r="AS37" i="32"/>
  <c r="AT37" i="32" s="1"/>
  <c r="U34" i="36"/>
  <c r="AI33" i="32"/>
  <c r="AJ33" i="32" s="1"/>
  <c r="J37" i="38"/>
  <c r="AK38" i="32"/>
  <c r="D39" i="38"/>
  <c r="V32" i="36"/>
  <c r="F32" i="36"/>
  <c r="D40" i="38"/>
  <c r="AD35" i="32"/>
  <c r="H37" i="38"/>
  <c r="AG35" i="32"/>
  <c r="U35" i="36" s="1"/>
  <c r="V35" i="32"/>
  <c r="B42" i="38"/>
  <c r="C41" i="38"/>
  <c r="D36" i="32"/>
  <c r="E36" i="32" s="1"/>
  <c r="O34" i="32"/>
  <c r="R38" i="36"/>
  <c r="A43" i="38"/>
  <c r="J38" i="36"/>
  <c r="K38" i="36"/>
  <c r="L38" i="36"/>
  <c r="E38" i="36"/>
  <c r="P18" i="36"/>
  <c r="N37" i="36"/>
  <c r="T18" i="32"/>
  <c r="C19" i="32"/>
  <c r="P18" i="32"/>
  <c r="N18" i="32"/>
  <c r="I40" i="38"/>
  <c r="O35" i="36"/>
  <c r="T34" i="36"/>
  <c r="E39" i="38"/>
  <c r="H37" i="36"/>
  <c r="AL38" i="32"/>
  <c r="BB38" i="32" s="1"/>
  <c r="BC38" i="32" s="1"/>
  <c r="BA38" i="32"/>
  <c r="J37" i="32"/>
  <c r="S37" i="32"/>
  <c r="AH34" i="32"/>
  <c r="G39" i="38" s="1"/>
  <c r="F38" i="32"/>
  <c r="G38" i="32" s="1"/>
  <c r="H38" i="32"/>
  <c r="I38" i="32" s="1"/>
  <c r="A39" i="32"/>
  <c r="Z39" i="32" s="1"/>
  <c r="Y39" i="32" s="1"/>
  <c r="B38" i="32"/>
  <c r="A38" i="36" s="1"/>
  <c r="M38" i="32"/>
  <c r="L37" i="39" l="1"/>
  <c r="AC37" i="39" s="1"/>
  <c r="T37" i="39"/>
  <c r="X37" i="39"/>
  <c r="V37" i="39"/>
  <c r="Z35" i="39"/>
  <c r="AA35" i="39" s="1"/>
  <c r="W35" i="39"/>
  <c r="Y35" i="39"/>
  <c r="U35" i="39"/>
  <c r="H37" i="39"/>
  <c r="AD42" i="36"/>
  <c r="AP42" i="36"/>
  <c r="AJ42" i="36"/>
  <c r="AG43" i="36"/>
  <c r="AM43" i="36"/>
  <c r="AA43" i="36"/>
  <c r="AO40" i="36"/>
  <c r="AQ40" i="36" s="1"/>
  <c r="AN41" i="36" s="1"/>
  <c r="AI40" i="36"/>
  <c r="AK40" i="36" s="1"/>
  <c r="AH41" i="36" s="1"/>
  <c r="AC40" i="36"/>
  <c r="AE40" i="36" s="1"/>
  <c r="AB41" i="36" s="1"/>
  <c r="AE38" i="32"/>
  <c r="AF38" i="32"/>
  <c r="D36" i="39"/>
  <c r="C47" i="37"/>
  <c r="B38" i="39"/>
  <c r="AB38" i="39" s="1"/>
  <c r="M38" i="39"/>
  <c r="E38" i="39"/>
  <c r="G38" i="39"/>
  <c r="N35" i="39"/>
  <c r="F35" i="39"/>
  <c r="Q35" i="39" s="1"/>
  <c r="K35" i="39"/>
  <c r="G46" i="37" s="1"/>
  <c r="B49" i="37"/>
  <c r="A39" i="39"/>
  <c r="A50" i="37"/>
  <c r="AN37" i="32"/>
  <c r="AA37" i="32" s="1"/>
  <c r="AB37" i="32" s="1"/>
  <c r="AC37" i="32" s="1"/>
  <c r="B33" i="36"/>
  <c r="C34" i="39"/>
  <c r="J34" i="39" s="1"/>
  <c r="I34" i="36" s="1"/>
  <c r="I33" i="39"/>
  <c r="D44" i="37" s="1"/>
  <c r="J38" i="38"/>
  <c r="F33" i="36"/>
  <c r="H38" i="38"/>
  <c r="V33" i="36"/>
  <c r="AW38" i="32"/>
  <c r="AX38" i="32" s="1"/>
  <c r="AM38" i="32"/>
  <c r="AO38" i="32"/>
  <c r="AP38" i="32" s="1"/>
  <c r="AS38" i="32"/>
  <c r="AT38" i="32" s="1"/>
  <c r="AY38" i="32"/>
  <c r="AZ38" i="32" s="1"/>
  <c r="AU38" i="32"/>
  <c r="AV38" i="32" s="1"/>
  <c r="AQ38" i="32"/>
  <c r="AR38" i="32" s="1"/>
  <c r="AK39" i="32"/>
  <c r="AD36" i="32"/>
  <c r="D41" i="38"/>
  <c r="F40" i="38"/>
  <c r="S35" i="36"/>
  <c r="B43" i="38"/>
  <c r="H38" i="36"/>
  <c r="O35" i="32"/>
  <c r="C42" i="38"/>
  <c r="U18" i="32"/>
  <c r="O36" i="36"/>
  <c r="I41" i="38"/>
  <c r="V36" i="32"/>
  <c r="L19" i="32"/>
  <c r="K19" i="32"/>
  <c r="N38" i="36"/>
  <c r="T35" i="36"/>
  <c r="E40" i="38"/>
  <c r="R39" i="36"/>
  <c r="J39" i="36"/>
  <c r="K39" i="36"/>
  <c r="A44" i="38"/>
  <c r="L39" i="36"/>
  <c r="E39" i="36"/>
  <c r="D37" i="32"/>
  <c r="E37" i="32" s="1"/>
  <c r="BA39" i="32"/>
  <c r="AL39" i="32"/>
  <c r="BB39" i="32" s="1"/>
  <c r="BC39" i="32" s="1"/>
  <c r="S38" i="32"/>
  <c r="AH35" i="32"/>
  <c r="G40" i="38" s="1"/>
  <c r="C43" i="38"/>
  <c r="AI34" i="32"/>
  <c r="AG36" i="32"/>
  <c r="J38" i="32"/>
  <c r="D38" i="32" s="1"/>
  <c r="M39" i="32"/>
  <c r="B39" i="32"/>
  <c r="N39" i="36" s="1"/>
  <c r="F39" i="32"/>
  <c r="G39" i="32" s="1"/>
  <c r="H39" i="32"/>
  <c r="I39" i="32" s="1"/>
  <c r="A40" i="32"/>
  <c r="Z40" i="32" s="1"/>
  <c r="Y40" i="32" s="1"/>
  <c r="L38" i="39" l="1"/>
  <c r="AC38" i="39" s="1"/>
  <c r="O35" i="39"/>
  <c r="I46" i="37" a="1"/>
  <c r="I46" i="37" s="1"/>
  <c r="T38" i="39"/>
  <c r="V38" i="39"/>
  <c r="X38" i="39"/>
  <c r="U36" i="39"/>
  <c r="Z36" i="39"/>
  <c r="AA36" i="39" s="1"/>
  <c r="W36" i="39"/>
  <c r="Y36" i="39"/>
  <c r="K36" i="39"/>
  <c r="G47" i="37" s="1"/>
  <c r="AE39" i="32"/>
  <c r="AF39" i="32"/>
  <c r="H38" i="39"/>
  <c r="AJ43" i="36"/>
  <c r="AO41" i="36"/>
  <c r="AQ41" i="36" s="1"/>
  <c r="AN42" i="36" s="1"/>
  <c r="AI41" i="36"/>
  <c r="AK41" i="36" s="1"/>
  <c r="AH42" i="36" s="1"/>
  <c r="AC41" i="36"/>
  <c r="AE41" i="36" s="1"/>
  <c r="AB42" i="36" s="1"/>
  <c r="AM44" i="36"/>
  <c r="AA44" i="36"/>
  <c r="AG44" i="36"/>
  <c r="AP43" i="36"/>
  <c r="AD43" i="36"/>
  <c r="D38" i="39"/>
  <c r="E38" i="32"/>
  <c r="B50" i="37"/>
  <c r="A39" i="36"/>
  <c r="B39" i="39"/>
  <c r="AB39" i="39" s="1"/>
  <c r="M39" i="39"/>
  <c r="E39" i="39"/>
  <c r="G39" i="39"/>
  <c r="C49" i="37"/>
  <c r="P35" i="39"/>
  <c r="A51" i="37"/>
  <c r="A40" i="39"/>
  <c r="C48" i="37"/>
  <c r="D37" i="39"/>
  <c r="N36" i="39"/>
  <c r="F36" i="39"/>
  <c r="Q36" i="39" s="1"/>
  <c r="AN38" i="32"/>
  <c r="AA38" i="32" s="1"/>
  <c r="AB38" i="32" s="1"/>
  <c r="AC38" i="32" s="1"/>
  <c r="AO39" i="32"/>
  <c r="AP39" i="32" s="1"/>
  <c r="B34" i="36"/>
  <c r="C35" i="39"/>
  <c r="J35" i="39" s="1"/>
  <c r="I35" i="36" s="1"/>
  <c r="I34" i="39"/>
  <c r="D45" i="37" s="1"/>
  <c r="AY39" i="32"/>
  <c r="AZ39" i="32" s="1"/>
  <c r="AS39" i="32"/>
  <c r="AT39" i="32" s="1"/>
  <c r="AU39" i="32"/>
  <c r="AV39" i="32" s="1"/>
  <c r="AQ39" i="32"/>
  <c r="AR39" i="32" s="1"/>
  <c r="AM39" i="32"/>
  <c r="AW39" i="32"/>
  <c r="AX39" i="32" s="1"/>
  <c r="AK40" i="32"/>
  <c r="AD37" i="32"/>
  <c r="E42" i="38" s="1"/>
  <c r="D42" i="38"/>
  <c r="S36" i="36"/>
  <c r="B44" i="38"/>
  <c r="V37" i="32"/>
  <c r="H39" i="36"/>
  <c r="P19" i="36"/>
  <c r="U36" i="36"/>
  <c r="F41" i="38"/>
  <c r="O36" i="32"/>
  <c r="E41" i="38"/>
  <c r="T36" i="36"/>
  <c r="T19" i="32"/>
  <c r="N19" i="32"/>
  <c r="C20" i="32"/>
  <c r="P19" i="32"/>
  <c r="A45" i="38"/>
  <c r="J40" i="36"/>
  <c r="E40" i="36"/>
  <c r="K40" i="36"/>
  <c r="L40" i="36"/>
  <c r="R40" i="36"/>
  <c r="F34" i="36"/>
  <c r="J39" i="38"/>
  <c r="V34" i="36"/>
  <c r="H39" i="38"/>
  <c r="I43" i="38"/>
  <c r="O38" i="36"/>
  <c r="I42" i="38"/>
  <c r="O37" i="36"/>
  <c r="BA40" i="32"/>
  <c r="AL40" i="32"/>
  <c r="BB40" i="32" s="1"/>
  <c r="BC40" i="32" s="1"/>
  <c r="C44" i="38"/>
  <c r="J39" i="32"/>
  <c r="S39" i="32"/>
  <c r="AH36" i="32"/>
  <c r="G41" i="38" s="1"/>
  <c r="AI35" i="32"/>
  <c r="AJ34" i="32"/>
  <c r="AG37" i="32"/>
  <c r="F40" i="32"/>
  <c r="G40" i="32" s="1"/>
  <c r="H40" i="32"/>
  <c r="I40" i="32" s="1"/>
  <c r="B40" i="32"/>
  <c r="A40" i="36" s="1"/>
  <c r="M40" i="32"/>
  <c r="A41" i="32"/>
  <c r="Z41" i="32" s="1"/>
  <c r="Y41" i="32" s="1"/>
  <c r="V38" i="32"/>
  <c r="L39" i="39" l="1"/>
  <c r="AC39" i="39" s="1"/>
  <c r="O36" i="39"/>
  <c r="P36" i="39" s="1"/>
  <c r="I47" i="37" a="1"/>
  <c r="I47" i="37" s="1"/>
  <c r="T39" i="39"/>
  <c r="V39" i="39"/>
  <c r="X39" i="39"/>
  <c r="U38" i="39"/>
  <c r="Z38" i="39"/>
  <c r="AA38" i="39" s="1"/>
  <c r="Y38" i="39"/>
  <c r="W38" i="39"/>
  <c r="Z37" i="39"/>
  <c r="AA37" i="39" s="1"/>
  <c r="W37" i="39"/>
  <c r="Y37" i="39"/>
  <c r="U37" i="39"/>
  <c r="N38" i="39"/>
  <c r="F38" i="39"/>
  <c r="Q38" i="39" s="1"/>
  <c r="AF40" i="32"/>
  <c r="AO43" i="36"/>
  <c r="H39" i="39"/>
  <c r="AC42" i="36"/>
  <c r="AE42" i="36" s="1"/>
  <c r="AB43" i="36" s="1"/>
  <c r="AO42" i="36"/>
  <c r="AQ42" i="36" s="1"/>
  <c r="AN43" i="36" s="1"/>
  <c r="AI42" i="36"/>
  <c r="AK42" i="36" s="1"/>
  <c r="AH43" i="36" s="1"/>
  <c r="AD44" i="36"/>
  <c r="AP44" i="36"/>
  <c r="AA45" i="36"/>
  <c r="AM45" i="36"/>
  <c r="AG45" i="36"/>
  <c r="AJ44" i="36"/>
  <c r="AC43" i="36"/>
  <c r="AI43" i="36"/>
  <c r="AE40" i="32"/>
  <c r="M40" i="39"/>
  <c r="B40" i="39"/>
  <c r="AB40" i="39" s="1"/>
  <c r="E40" i="39"/>
  <c r="G40" i="39"/>
  <c r="N37" i="39"/>
  <c r="F37" i="39"/>
  <c r="Q37" i="39" s="1"/>
  <c r="K38" i="39"/>
  <c r="G49" i="37" s="1"/>
  <c r="B51" i="37"/>
  <c r="A41" i="39"/>
  <c r="A52" i="37"/>
  <c r="K37" i="39"/>
  <c r="G48" i="37" s="1"/>
  <c r="AY40" i="32"/>
  <c r="AZ40" i="32" s="1"/>
  <c r="AN39" i="32"/>
  <c r="AA39" i="32" s="1"/>
  <c r="AB39" i="32" s="1"/>
  <c r="AC39" i="32" s="1"/>
  <c r="B35" i="36"/>
  <c r="I35" i="39"/>
  <c r="D46" i="37" s="1"/>
  <c r="C36" i="39"/>
  <c r="J36" i="39" s="1"/>
  <c r="I36" i="36" s="1"/>
  <c r="AS40" i="32"/>
  <c r="AT40" i="32" s="1"/>
  <c r="AQ40" i="32"/>
  <c r="AR40" i="32" s="1"/>
  <c r="AU40" i="32"/>
  <c r="AV40" i="32" s="1"/>
  <c r="AM40" i="32"/>
  <c r="AW40" i="32"/>
  <c r="AX40" i="32" s="1"/>
  <c r="AO40" i="32"/>
  <c r="AP40" i="32" s="1"/>
  <c r="B45" i="38"/>
  <c r="N40" i="36"/>
  <c r="J40" i="32"/>
  <c r="D40" i="32" s="1"/>
  <c r="C51" i="37" s="1"/>
  <c r="AK41" i="32"/>
  <c r="AD38" i="32"/>
  <c r="S38" i="36"/>
  <c r="AG38" i="32"/>
  <c r="F43" i="38" s="1"/>
  <c r="S37" i="36"/>
  <c r="T37" i="36"/>
  <c r="U37" i="36"/>
  <c r="F42" i="38"/>
  <c r="U19" i="32"/>
  <c r="D39" i="32"/>
  <c r="E39" i="32" s="1"/>
  <c r="K20" i="32"/>
  <c r="L20" i="32"/>
  <c r="R41" i="36"/>
  <c r="J41" i="36"/>
  <c r="K41" i="36"/>
  <c r="E41" i="36"/>
  <c r="A46" i="38"/>
  <c r="L41" i="36"/>
  <c r="H40" i="36"/>
  <c r="F35" i="36"/>
  <c r="J40" i="38"/>
  <c r="H40" i="38"/>
  <c r="V35" i="36"/>
  <c r="O37" i="32"/>
  <c r="AL41" i="32"/>
  <c r="BB41" i="32" s="1"/>
  <c r="BC41" i="32" s="1"/>
  <c r="BA41" i="32"/>
  <c r="AI36" i="32"/>
  <c r="AJ35" i="32"/>
  <c r="S40" i="32"/>
  <c r="AH37" i="32"/>
  <c r="G42" i="38" s="1"/>
  <c r="A42" i="32"/>
  <c r="Z42" i="32" s="1"/>
  <c r="Y42" i="32" s="1"/>
  <c r="M41" i="32"/>
  <c r="H41" i="32"/>
  <c r="I41" i="32" s="1"/>
  <c r="B41" i="32"/>
  <c r="H41" i="36" s="1"/>
  <c r="F41" i="32"/>
  <c r="G41" i="32" s="1"/>
  <c r="L40" i="39" l="1"/>
  <c r="AC40" i="39"/>
  <c r="O38" i="39"/>
  <c r="P38" i="39" s="1"/>
  <c r="I49" i="37" a="1"/>
  <c r="I49" i="37" s="1"/>
  <c r="O37" i="39"/>
  <c r="P37" i="39" s="1"/>
  <c r="I48" i="37" a="1"/>
  <c r="I48" i="37" s="1"/>
  <c r="T40" i="39"/>
  <c r="V40" i="39"/>
  <c r="X40" i="39"/>
  <c r="H40" i="39"/>
  <c r="AQ43" i="36"/>
  <c r="AN44" i="36" s="1"/>
  <c r="AE41" i="32"/>
  <c r="AF41" i="32"/>
  <c r="AK43" i="36"/>
  <c r="AH44" i="36" s="1"/>
  <c r="AE43" i="36"/>
  <c r="AB44" i="36" s="1"/>
  <c r="AD45" i="36"/>
  <c r="AP45" i="36"/>
  <c r="AG46" i="36"/>
  <c r="AA46" i="36"/>
  <c r="AM46" i="36"/>
  <c r="AJ45" i="36"/>
  <c r="D40" i="39"/>
  <c r="E40" i="32"/>
  <c r="C50" i="37"/>
  <c r="D39" i="39"/>
  <c r="B52" i="37"/>
  <c r="A41" i="36"/>
  <c r="B41" i="39"/>
  <c r="AB41" i="39" s="1"/>
  <c r="M41" i="39"/>
  <c r="E41" i="39"/>
  <c r="G41" i="39"/>
  <c r="A42" i="39"/>
  <c r="A53" i="37"/>
  <c r="AN40" i="32"/>
  <c r="AA40" i="32" s="1"/>
  <c r="AB40" i="32" s="1"/>
  <c r="AC40" i="32" s="1"/>
  <c r="B36" i="36"/>
  <c r="C37" i="39"/>
  <c r="J37" i="39" s="1"/>
  <c r="I37" i="36" s="1"/>
  <c r="I36" i="39"/>
  <c r="D47" i="37" s="1"/>
  <c r="V40" i="32"/>
  <c r="AO41" i="32"/>
  <c r="AP41" i="32" s="1"/>
  <c r="I45" i="38"/>
  <c r="AY41" i="32"/>
  <c r="AZ41" i="32" s="1"/>
  <c r="AU41" i="32"/>
  <c r="AV41" i="32" s="1"/>
  <c r="AQ41" i="32"/>
  <c r="AR41" i="32" s="1"/>
  <c r="AM41" i="32"/>
  <c r="AW41" i="32"/>
  <c r="AX41" i="32" s="1"/>
  <c r="AS41" i="32"/>
  <c r="AT41" i="32" s="1"/>
  <c r="U38" i="36"/>
  <c r="O40" i="36"/>
  <c r="AK42" i="32"/>
  <c r="AG39" i="32"/>
  <c r="U39" i="36" s="1"/>
  <c r="S39" i="36"/>
  <c r="AD39" i="32"/>
  <c r="D43" i="38"/>
  <c r="C45" i="38"/>
  <c r="F36" i="36"/>
  <c r="J41" i="38"/>
  <c r="H41" i="38"/>
  <c r="V36" i="36"/>
  <c r="N41" i="36"/>
  <c r="T20" i="32"/>
  <c r="N20" i="32"/>
  <c r="P20" i="32"/>
  <c r="C21" i="32"/>
  <c r="P20" i="36"/>
  <c r="O38" i="32"/>
  <c r="T38" i="36"/>
  <c r="E43" i="38"/>
  <c r="O39" i="36"/>
  <c r="I44" i="38"/>
  <c r="J42" i="36"/>
  <c r="K42" i="36"/>
  <c r="R42" i="36"/>
  <c r="L42" i="36"/>
  <c r="A47" i="38"/>
  <c r="E42" i="36"/>
  <c r="B46" i="38"/>
  <c r="V39" i="32"/>
  <c r="AL42" i="32"/>
  <c r="BA42" i="32"/>
  <c r="J41" i="32"/>
  <c r="D41" i="32" s="1"/>
  <c r="D41" i="39" s="1"/>
  <c r="AH38" i="32"/>
  <c r="G43" i="38" s="1"/>
  <c r="C46" i="38"/>
  <c r="AJ36" i="32"/>
  <c r="S41" i="32"/>
  <c r="AI37" i="32"/>
  <c r="B42" i="32"/>
  <c r="N42" i="36" s="1"/>
  <c r="F42" i="32"/>
  <c r="G42" i="32" s="1"/>
  <c r="M42" i="32"/>
  <c r="A43" i="32"/>
  <c r="Z43" i="32" s="1"/>
  <c r="Y43" i="32" s="1"/>
  <c r="H42" i="32"/>
  <c r="I42" i="32" s="1"/>
  <c r="L41" i="39" l="1"/>
  <c r="AC41" i="39" s="1"/>
  <c r="T41" i="39"/>
  <c r="U41" i="39" s="1"/>
  <c r="X41" i="39"/>
  <c r="Y41" i="39" s="1"/>
  <c r="V41" i="39"/>
  <c r="W41" i="39" s="1"/>
  <c r="Z39" i="39"/>
  <c r="AA39" i="39" s="1"/>
  <c r="Y39" i="39"/>
  <c r="W39" i="39"/>
  <c r="U40" i="39"/>
  <c r="Z40" i="39"/>
  <c r="AA40" i="39" s="1"/>
  <c r="W40" i="39"/>
  <c r="Y40" i="39"/>
  <c r="N41" i="39"/>
  <c r="Z41" i="39"/>
  <c r="U39" i="39"/>
  <c r="N40" i="39"/>
  <c r="AO45" i="36"/>
  <c r="AI45" i="36"/>
  <c r="F40" i="39"/>
  <c r="Q40" i="39" s="1"/>
  <c r="AP46" i="36"/>
  <c r="AO46" i="36"/>
  <c r="AD46" i="36"/>
  <c r="AC46" i="36"/>
  <c r="AM47" i="36"/>
  <c r="AG47" i="36"/>
  <c r="AA47" i="36"/>
  <c r="AC45" i="36"/>
  <c r="AI46" i="36"/>
  <c r="AJ46" i="36"/>
  <c r="AC44" i="36"/>
  <c r="AE44" i="36" s="1"/>
  <c r="AB45" i="36" s="1"/>
  <c r="AI44" i="36"/>
  <c r="AK44" i="36" s="1"/>
  <c r="AH45" i="36" s="1"/>
  <c r="AO44" i="36"/>
  <c r="AQ44" i="36" s="1"/>
  <c r="AN45" i="36" s="1"/>
  <c r="C52" i="37"/>
  <c r="E41" i="32"/>
  <c r="AU42" i="32"/>
  <c r="AV42" i="32" s="1"/>
  <c r="H41" i="39"/>
  <c r="F41" i="39"/>
  <c r="A42" i="36"/>
  <c r="BB42" i="32"/>
  <c r="BC42" i="32" s="1"/>
  <c r="AE42" i="32" s="1"/>
  <c r="A43" i="39"/>
  <c r="A54" i="37"/>
  <c r="B53" i="37"/>
  <c r="B42" i="39"/>
  <c r="AB42" i="39" s="1"/>
  <c r="M42" i="39"/>
  <c r="E42" i="39"/>
  <c r="G42" i="39"/>
  <c r="L42" i="39" s="1"/>
  <c r="AF42" i="32"/>
  <c r="N39" i="39"/>
  <c r="K39" i="39"/>
  <c r="G50" i="37" s="1"/>
  <c r="F39" i="39"/>
  <c r="Q39" i="39" s="1"/>
  <c r="K40" i="39"/>
  <c r="G51" i="37" s="1"/>
  <c r="K41" i="39"/>
  <c r="G52" i="37" s="1"/>
  <c r="AN41" i="32"/>
  <c r="AA41" i="32" s="1"/>
  <c r="AB41" i="32" s="1"/>
  <c r="B37" i="36"/>
  <c r="I37" i="39"/>
  <c r="D48" i="37" s="1"/>
  <c r="C38" i="39"/>
  <c r="J38" i="39" s="1"/>
  <c r="I38" i="36" s="1"/>
  <c r="AO42" i="32"/>
  <c r="AP42" i="32" s="1"/>
  <c r="AS42" i="32"/>
  <c r="AT42" i="32" s="1"/>
  <c r="AM42" i="32"/>
  <c r="AY42" i="32"/>
  <c r="AZ42" i="32" s="1"/>
  <c r="AQ42" i="32"/>
  <c r="AR42" i="32" s="1"/>
  <c r="AW42" i="32"/>
  <c r="AX42" i="32" s="1"/>
  <c r="F44" i="38"/>
  <c r="AK43" i="32"/>
  <c r="AD40" i="32"/>
  <c r="S40" i="36"/>
  <c r="D44" i="38"/>
  <c r="V41" i="32"/>
  <c r="H42" i="36"/>
  <c r="B47" i="38"/>
  <c r="AG40" i="32"/>
  <c r="U40" i="36" s="1"/>
  <c r="E44" i="38"/>
  <c r="T39" i="36"/>
  <c r="V37" i="36"/>
  <c r="H42" i="38"/>
  <c r="J42" i="38"/>
  <c r="F37" i="36"/>
  <c r="L21" i="32"/>
  <c r="K21" i="32"/>
  <c r="R43" i="36"/>
  <c r="E43" i="36"/>
  <c r="L43" i="36"/>
  <c r="J43" i="36"/>
  <c r="A48" i="38"/>
  <c r="K43" i="36"/>
  <c r="U20" i="32"/>
  <c r="O41" i="36"/>
  <c r="I46" i="38"/>
  <c r="O39" i="32"/>
  <c r="AL43" i="32"/>
  <c r="BA43" i="32"/>
  <c r="AH39" i="32"/>
  <c r="G44" i="38" s="1"/>
  <c r="J42" i="32"/>
  <c r="C47" i="38"/>
  <c r="AI38" i="32"/>
  <c r="AJ37" i="32"/>
  <c r="S42" i="32"/>
  <c r="H43" i="32"/>
  <c r="I43" i="32" s="1"/>
  <c r="A44" i="32"/>
  <c r="Z44" i="32" s="1"/>
  <c r="Y44" i="32" s="1"/>
  <c r="B43" i="32"/>
  <c r="H43" i="36" s="1"/>
  <c r="F43" i="32"/>
  <c r="G43" i="32" s="1"/>
  <c r="M43" i="32"/>
  <c r="AA41" i="39" l="1"/>
  <c r="Q41" i="39"/>
  <c r="AC42" i="39"/>
  <c r="O40" i="39"/>
  <c r="P40" i="39" s="1"/>
  <c r="I51" i="37" a="1"/>
  <c r="I51" i="37" s="1"/>
  <c r="O39" i="39"/>
  <c r="I50" i="37" a="1"/>
  <c r="I50" i="37" s="1"/>
  <c r="O41" i="39"/>
  <c r="P41" i="39" s="1"/>
  <c r="I52" i="37" a="1"/>
  <c r="I52" i="37" s="1"/>
  <c r="T42" i="39"/>
  <c r="V42" i="39"/>
  <c r="X42" i="39"/>
  <c r="B48" i="38"/>
  <c r="AQ45" i="36"/>
  <c r="AN46" i="36" s="1"/>
  <c r="AQ46" i="36" s="1"/>
  <c r="AN47" i="36" s="1"/>
  <c r="AK45" i="36"/>
  <c r="AH46" i="36" s="1"/>
  <c r="AK46" i="36" s="1"/>
  <c r="AH47" i="36" s="1"/>
  <c r="AU43" i="32"/>
  <c r="AV43" i="32" s="1"/>
  <c r="AM43" i="32"/>
  <c r="AN43" i="32" s="1"/>
  <c r="AA43" i="32" s="1"/>
  <c r="AB43" i="32" s="1"/>
  <c r="AD43" i="32" s="1"/>
  <c r="T43" i="36" s="1"/>
  <c r="J43" i="32"/>
  <c r="D43" i="32" s="1"/>
  <c r="E43" i="32" s="1"/>
  <c r="AY43" i="32"/>
  <c r="AZ43" i="32" s="1"/>
  <c r="AQ43" i="32"/>
  <c r="AR43" i="32" s="1"/>
  <c r="AS43" i="32"/>
  <c r="AT43" i="32" s="1"/>
  <c r="A43" i="36"/>
  <c r="BB43" i="32"/>
  <c r="BC43" i="32" s="1"/>
  <c r="AE43" i="32" s="1"/>
  <c r="AW43" i="32"/>
  <c r="AX43" i="32" s="1"/>
  <c r="AO43" i="32"/>
  <c r="AP43" i="32" s="1"/>
  <c r="H42" i="39"/>
  <c r="AJ47" i="36"/>
  <c r="AD47" i="36"/>
  <c r="AP47" i="36"/>
  <c r="AE45" i="36"/>
  <c r="AB46" i="36" s="1"/>
  <c r="AE46" i="36" s="1"/>
  <c r="AB47" i="36" s="1"/>
  <c r="P39" i="39"/>
  <c r="G43" i="39"/>
  <c r="M43" i="39"/>
  <c r="E43" i="39"/>
  <c r="B43" i="39"/>
  <c r="AB43" i="39" s="1"/>
  <c r="B54" i="37"/>
  <c r="C48" i="38"/>
  <c r="AF43" i="32"/>
  <c r="A44" i="39"/>
  <c r="A55" i="37"/>
  <c r="AD41" i="32"/>
  <c r="AC41" i="32"/>
  <c r="S41" i="36" s="1"/>
  <c r="AN42" i="32"/>
  <c r="AA42" i="32" s="1"/>
  <c r="AB42" i="32" s="1"/>
  <c r="AC42" i="32" s="1"/>
  <c r="B38" i="36"/>
  <c r="C39" i="39"/>
  <c r="J39" i="39" s="1"/>
  <c r="I39" i="36" s="1"/>
  <c r="I38" i="39"/>
  <c r="D49" i="37" s="1"/>
  <c r="N43" i="36"/>
  <c r="AK44" i="32"/>
  <c r="D45" i="38"/>
  <c r="F45" i="38"/>
  <c r="AI39" i="32"/>
  <c r="AJ39" i="32" s="1"/>
  <c r="N21" i="32"/>
  <c r="T21" i="32"/>
  <c r="C22" i="32"/>
  <c r="P21" i="32"/>
  <c r="P21" i="36"/>
  <c r="J43" i="38"/>
  <c r="H43" i="38"/>
  <c r="F38" i="36"/>
  <c r="V38" i="36"/>
  <c r="L44" i="36"/>
  <c r="A49" i="38"/>
  <c r="R44" i="36"/>
  <c r="J44" i="36"/>
  <c r="K44" i="36"/>
  <c r="E44" i="36"/>
  <c r="E45" i="38"/>
  <c r="T40" i="36"/>
  <c r="O40" i="32"/>
  <c r="AG41" i="32"/>
  <c r="D42" i="32"/>
  <c r="E42" i="32" s="1"/>
  <c r="AL44" i="32"/>
  <c r="BA44" i="32"/>
  <c r="AJ38" i="32"/>
  <c r="AH40" i="32"/>
  <c r="G45" i="38" s="1"/>
  <c r="S43" i="32"/>
  <c r="M44" i="32"/>
  <c r="H44" i="32"/>
  <c r="I44" i="32" s="1"/>
  <c r="A45" i="32"/>
  <c r="Z45" i="32" s="1"/>
  <c r="Y45" i="32" s="1"/>
  <c r="B44" i="32"/>
  <c r="H44" i="36" s="1"/>
  <c r="F44" i="32"/>
  <c r="G44" i="32" s="1"/>
  <c r="L43" i="39" l="1"/>
  <c r="AC43" i="39" s="1"/>
  <c r="T43" i="39"/>
  <c r="V43" i="39"/>
  <c r="X43" i="39"/>
  <c r="D43" i="39"/>
  <c r="F43" i="39" s="1"/>
  <c r="V43" i="32"/>
  <c r="I48" i="38"/>
  <c r="O43" i="36"/>
  <c r="C54" i="37"/>
  <c r="B49" i="38"/>
  <c r="C50" i="38"/>
  <c r="E48" i="38"/>
  <c r="H43" i="39"/>
  <c r="AC43" i="32"/>
  <c r="D48" i="38" s="1"/>
  <c r="AU44" i="32"/>
  <c r="AV44" i="32" s="1"/>
  <c r="AM44" i="32"/>
  <c r="AN44" i="32" s="1"/>
  <c r="AA44" i="32" s="1"/>
  <c r="AB44" i="32" s="1"/>
  <c r="AG43" i="32"/>
  <c r="AQ44" i="32"/>
  <c r="AR44" i="32" s="1"/>
  <c r="J44" i="32"/>
  <c r="D44" i="32" s="1"/>
  <c r="E44" i="32" s="1"/>
  <c r="BB44" i="32"/>
  <c r="BC44" i="32" s="1"/>
  <c r="AE44" i="32" s="1"/>
  <c r="AW44" i="32"/>
  <c r="AX44" i="32" s="1"/>
  <c r="A44" i="36"/>
  <c r="AS44" i="32"/>
  <c r="AT44" i="32" s="1"/>
  <c r="AY44" i="32"/>
  <c r="AZ44" i="32" s="1"/>
  <c r="AO44" i="32"/>
  <c r="AP44" i="32" s="1"/>
  <c r="B55" i="37"/>
  <c r="D42" i="39"/>
  <c r="C53" i="37"/>
  <c r="C49" i="38"/>
  <c r="AF44" i="32"/>
  <c r="E44" i="39"/>
  <c r="G44" i="39"/>
  <c r="L44" i="39" s="1"/>
  <c r="M44" i="39"/>
  <c r="B44" i="39"/>
  <c r="AB44" i="39" s="1"/>
  <c r="A45" i="39"/>
  <c r="A56" i="37"/>
  <c r="D46" i="38"/>
  <c r="B39" i="36"/>
  <c r="C40" i="39"/>
  <c r="J40" i="39" s="1"/>
  <c r="I39" i="39"/>
  <c r="D50" i="37" s="1"/>
  <c r="N44" i="36"/>
  <c r="AK45" i="32"/>
  <c r="AD42" i="32"/>
  <c r="T42" i="36" s="1"/>
  <c r="D47" i="38"/>
  <c r="F39" i="36"/>
  <c r="H44" i="38"/>
  <c r="J44" i="38"/>
  <c r="AG42" i="32"/>
  <c r="U42" i="36" s="1"/>
  <c r="V39" i="36"/>
  <c r="I47" i="38"/>
  <c r="O42" i="36"/>
  <c r="V42" i="32"/>
  <c r="K22" i="32"/>
  <c r="L22" i="32"/>
  <c r="A50" i="38"/>
  <c r="K45" i="36"/>
  <c r="L45" i="36"/>
  <c r="E45" i="36"/>
  <c r="R45" i="36"/>
  <c r="J45" i="36"/>
  <c r="E46" i="38"/>
  <c r="T41" i="36"/>
  <c r="O41" i="32"/>
  <c r="U21" i="32"/>
  <c r="F46" i="38"/>
  <c r="U41" i="36"/>
  <c r="AL45" i="32"/>
  <c r="BA45" i="32"/>
  <c r="AH41" i="32"/>
  <c r="G46" i="38" s="1"/>
  <c r="S44" i="32"/>
  <c r="AI40" i="32"/>
  <c r="F45" i="32"/>
  <c r="G45" i="32" s="1"/>
  <c r="M45" i="32"/>
  <c r="B45" i="32"/>
  <c r="A45" i="36" s="1"/>
  <c r="H45" i="32"/>
  <c r="I45" i="32" s="1"/>
  <c r="A46" i="32"/>
  <c r="Q43" i="39" l="1"/>
  <c r="AC44" i="39"/>
  <c r="V44" i="32"/>
  <c r="O43" i="39"/>
  <c r="T44" i="39"/>
  <c r="X44" i="39"/>
  <c r="V44" i="39"/>
  <c r="U43" i="39"/>
  <c r="Z43" i="39"/>
  <c r="AA43" i="39" s="1"/>
  <c r="W43" i="39"/>
  <c r="Y43" i="39"/>
  <c r="U42" i="39"/>
  <c r="Z42" i="39"/>
  <c r="AA42" i="39" s="1"/>
  <c r="Y42" i="39"/>
  <c r="W42" i="39"/>
  <c r="Z46" i="32"/>
  <c r="Y46" i="32"/>
  <c r="C51" i="38" s="1"/>
  <c r="K43" i="39"/>
  <c r="G54" i="37" s="1"/>
  <c r="N43" i="39"/>
  <c r="P43" i="39" s="1"/>
  <c r="I54" i="37" a="1"/>
  <c r="I54" i="37" s="1"/>
  <c r="I40" i="36"/>
  <c r="AM45" i="32"/>
  <c r="AN45" i="32" s="1"/>
  <c r="AA45" i="32" s="1"/>
  <c r="AB45" i="32" s="1"/>
  <c r="AD45" i="32" s="1"/>
  <c r="AG44" i="32"/>
  <c r="U44" i="36" s="1"/>
  <c r="I49" i="38"/>
  <c r="S43" i="36"/>
  <c r="D44" i="39"/>
  <c r="AH43" i="32"/>
  <c r="G48" i="38" s="1"/>
  <c r="N45" i="36"/>
  <c r="J45" i="32"/>
  <c r="D45" i="32" s="1"/>
  <c r="E45" i="32" s="1"/>
  <c r="F48" i="38"/>
  <c r="U43" i="36"/>
  <c r="O44" i="36"/>
  <c r="C55" i="37"/>
  <c r="AO45" i="32"/>
  <c r="AP45" i="32" s="1"/>
  <c r="H44" i="39"/>
  <c r="B50" i="38"/>
  <c r="AQ45" i="32"/>
  <c r="AR45" i="32" s="1"/>
  <c r="AS45" i="32"/>
  <c r="AT45" i="32" s="1"/>
  <c r="AW45" i="32"/>
  <c r="AX45" i="32" s="1"/>
  <c r="AY45" i="32"/>
  <c r="AZ45" i="32" s="1"/>
  <c r="BB45" i="32"/>
  <c r="BC45" i="32" s="1"/>
  <c r="AE45" i="32" s="1"/>
  <c r="AU45" i="32"/>
  <c r="AV45" i="32" s="1"/>
  <c r="AD44" i="32"/>
  <c r="AC44" i="32"/>
  <c r="AI47" i="36"/>
  <c r="AK47" i="36" s="1"/>
  <c r="AC47" i="36"/>
  <c r="AE47" i="36" s="1"/>
  <c r="AO47" i="36"/>
  <c r="AQ47" i="36" s="1"/>
  <c r="N42" i="39"/>
  <c r="K42" i="39"/>
  <c r="G53" i="37" s="1"/>
  <c r="F42" i="39"/>
  <c r="Q42" i="39" s="1"/>
  <c r="B56" i="37"/>
  <c r="AF45" i="32"/>
  <c r="B45" i="39"/>
  <c r="AB45" i="39" s="1"/>
  <c r="G45" i="39"/>
  <c r="M45" i="39"/>
  <c r="E45" i="39"/>
  <c r="A57" i="37"/>
  <c r="A46" i="39"/>
  <c r="B40" i="36"/>
  <c r="C41" i="39"/>
  <c r="J41" i="39" s="1"/>
  <c r="I41" i="36" s="1"/>
  <c r="I40" i="39"/>
  <c r="D51" i="37" s="1"/>
  <c r="F47" i="38"/>
  <c r="H45" i="36"/>
  <c r="E47" i="38"/>
  <c r="AK46" i="32"/>
  <c r="S42" i="36"/>
  <c r="AH42" i="32"/>
  <c r="G47" i="38" s="1"/>
  <c r="P22" i="36"/>
  <c r="T22" i="32"/>
  <c r="N22" i="32"/>
  <c r="P22" i="32"/>
  <c r="C23" i="32"/>
  <c r="R46" i="36"/>
  <c r="A51" i="38"/>
  <c r="E46" i="36"/>
  <c r="J46" i="36"/>
  <c r="K46" i="36"/>
  <c r="L46" i="36"/>
  <c r="O42" i="32"/>
  <c r="V40" i="36"/>
  <c r="J45" i="38"/>
  <c r="H45" i="38"/>
  <c r="F40" i="36"/>
  <c r="BA46" i="32"/>
  <c r="AL46" i="32"/>
  <c r="BB46" i="32" s="1"/>
  <c r="BC46" i="32" s="1"/>
  <c r="AJ40" i="32"/>
  <c r="S45" i="32"/>
  <c r="AI41" i="32"/>
  <c r="F46" i="32"/>
  <c r="G46" i="32" s="1"/>
  <c r="B46" i="32"/>
  <c r="A46" i="36" s="1"/>
  <c r="A47" i="32"/>
  <c r="H46" i="32"/>
  <c r="I46" i="32" s="1"/>
  <c r="M46" i="32"/>
  <c r="L45" i="39" l="1"/>
  <c r="AC45" i="39" s="1"/>
  <c r="L46" i="39"/>
  <c r="AA46" i="39"/>
  <c r="Q46" i="39"/>
  <c r="AC46" i="39"/>
  <c r="X46" i="39"/>
  <c r="AB46" i="39"/>
  <c r="W46" i="39"/>
  <c r="Z46" i="39"/>
  <c r="T46" i="39"/>
  <c r="Y46" i="39"/>
  <c r="V46" i="39"/>
  <c r="O42" i="39"/>
  <c r="P42" i="39" s="1"/>
  <c r="I53" i="37" a="1"/>
  <c r="I53" i="37" s="1"/>
  <c r="T45" i="39"/>
  <c r="X45" i="39"/>
  <c r="V45" i="39"/>
  <c r="U44" i="39"/>
  <c r="Z44" i="39"/>
  <c r="AA44" i="39" s="1"/>
  <c r="W44" i="39"/>
  <c r="Y44" i="39"/>
  <c r="Z47" i="32"/>
  <c r="Y47" i="32"/>
  <c r="C52" i="38" s="1"/>
  <c r="F49" i="38"/>
  <c r="N44" i="39"/>
  <c r="C56" i="37"/>
  <c r="O45" i="36"/>
  <c r="K44" i="39"/>
  <c r="G55" i="37" s="1"/>
  <c r="F44" i="39"/>
  <c r="Q44" i="39" s="1"/>
  <c r="V45" i="32"/>
  <c r="I50" i="38"/>
  <c r="D45" i="39"/>
  <c r="AH44" i="32"/>
  <c r="G49" i="38" s="1"/>
  <c r="AI43" i="32"/>
  <c r="AJ43" i="32" s="1"/>
  <c r="J46" i="32"/>
  <c r="D46" i="32" s="1"/>
  <c r="E46" i="32" s="1"/>
  <c r="AM46" i="32"/>
  <c r="AN46" i="32" s="1"/>
  <c r="AA46" i="32" s="1"/>
  <c r="AB46" i="32" s="1"/>
  <c r="AD46" i="32" s="1"/>
  <c r="AC45" i="32"/>
  <c r="D50" i="38" s="1"/>
  <c r="H45" i="39"/>
  <c r="AG45" i="32"/>
  <c r="F50" i="38" s="1"/>
  <c r="AS46" i="32"/>
  <c r="AT46" i="32" s="1"/>
  <c r="AO46" i="32"/>
  <c r="AP46" i="32" s="1"/>
  <c r="AY46" i="32"/>
  <c r="AZ46" i="32" s="1"/>
  <c r="AU46" i="32"/>
  <c r="AV46" i="32" s="1"/>
  <c r="AQ46" i="32"/>
  <c r="AR46" i="32" s="1"/>
  <c r="AW46" i="32"/>
  <c r="AX46" i="32" s="1"/>
  <c r="E50" i="38"/>
  <c r="T45" i="36"/>
  <c r="S44" i="36"/>
  <c r="D49" i="38"/>
  <c r="T44" i="36"/>
  <c r="E49" i="38"/>
  <c r="AE46" i="32"/>
  <c r="AF46" i="32"/>
  <c r="G46" i="39"/>
  <c r="E46" i="39"/>
  <c r="M46" i="39"/>
  <c r="B46" i="39"/>
  <c r="A58" i="37"/>
  <c r="A47" i="39"/>
  <c r="C57" i="37"/>
  <c r="B57" i="37"/>
  <c r="B41" i="36"/>
  <c r="C42" i="39"/>
  <c r="J42" i="39" s="1"/>
  <c r="I41" i="39"/>
  <c r="D52" i="37" s="1"/>
  <c r="O46" i="36"/>
  <c r="O43" i="32"/>
  <c r="H46" i="36"/>
  <c r="N46" i="36"/>
  <c r="B51" i="38"/>
  <c r="AK47" i="32"/>
  <c r="AI42" i="32"/>
  <c r="V42" i="36" s="1"/>
  <c r="U22" i="32"/>
  <c r="J47" i="36"/>
  <c r="K47" i="36"/>
  <c r="R47" i="36"/>
  <c r="E47" i="36"/>
  <c r="A52" i="38"/>
  <c r="L47" i="36"/>
  <c r="V41" i="36"/>
  <c r="H46" i="38"/>
  <c r="F41" i="36"/>
  <c r="J46" i="38"/>
  <c r="L23" i="32"/>
  <c r="K23" i="32"/>
  <c r="BA47" i="32"/>
  <c r="AL47" i="32"/>
  <c r="BB47" i="32" s="1"/>
  <c r="BC47" i="32" s="1"/>
  <c r="S46" i="32"/>
  <c r="AJ41" i="32"/>
  <c r="B47" i="32"/>
  <c r="A48" i="32"/>
  <c r="F47" i="32"/>
  <c r="G47" i="32" s="1"/>
  <c r="H47" i="32"/>
  <c r="I47" i="32" s="1"/>
  <c r="M47" i="32"/>
  <c r="AA47" i="39" l="1"/>
  <c r="Q47" i="39"/>
  <c r="AC47" i="39"/>
  <c r="L47" i="39"/>
  <c r="X47" i="39"/>
  <c r="Z47" i="39"/>
  <c r="V47" i="39"/>
  <c r="T47" i="39"/>
  <c r="Y47" i="39"/>
  <c r="W47" i="39"/>
  <c r="AB47" i="39"/>
  <c r="O44" i="39"/>
  <c r="P44" i="39" s="1"/>
  <c r="I55" i="37" a="1"/>
  <c r="I55" i="37" s="1"/>
  <c r="K45" i="39"/>
  <c r="G56" i="37" s="1"/>
  <c r="Z45" i="39"/>
  <c r="AA45" i="39" s="1"/>
  <c r="W45" i="39"/>
  <c r="Y45" i="39"/>
  <c r="Z48" i="32"/>
  <c r="Y48" i="32"/>
  <c r="V46" i="32"/>
  <c r="D46" i="39"/>
  <c r="I51" i="38"/>
  <c r="U45" i="39"/>
  <c r="I57" i="37" a="1"/>
  <c r="I57" i="37" s="1"/>
  <c r="N45" i="39"/>
  <c r="J48" i="38"/>
  <c r="V43" i="36"/>
  <c r="H48" i="38"/>
  <c r="F43" i="36"/>
  <c r="AI44" i="32"/>
  <c r="AJ44" i="32" s="1"/>
  <c r="F45" i="39"/>
  <c r="Q45" i="39" s="1"/>
  <c r="U45" i="36"/>
  <c r="AH45" i="32"/>
  <c r="G50" i="38" s="1"/>
  <c r="AG46" i="32"/>
  <c r="AW47" i="32"/>
  <c r="AX47" i="32" s="1"/>
  <c r="K46" i="39"/>
  <c r="G57" i="37" s="1"/>
  <c r="H46" i="39"/>
  <c r="AC46" i="32"/>
  <c r="S46" i="36" s="1"/>
  <c r="J47" i="32"/>
  <c r="D47" i="32" s="1"/>
  <c r="E47" i="32" s="1"/>
  <c r="S45" i="36"/>
  <c r="AY47" i="32"/>
  <c r="AZ47" i="32" s="1"/>
  <c r="H47" i="36"/>
  <c r="AM47" i="32"/>
  <c r="AN47" i="32" s="1"/>
  <c r="AA47" i="32" s="1"/>
  <c r="AB47" i="32" s="1"/>
  <c r="AS47" i="32"/>
  <c r="AT47" i="32" s="1"/>
  <c r="AO47" i="32"/>
  <c r="AP47" i="32" s="1"/>
  <c r="AU47" i="32"/>
  <c r="AV47" i="32" s="1"/>
  <c r="A47" i="36"/>
  <c r="B52" i="38"/>
  <c r="N47" i="36"/>
  <c r="AQ47" i="32"/>
  <c r="AR47" i="32" s="1"/>
  <c r="F46" i="39"/>
  <c r="O46" i="39" s="1"/>
  <c r="E51" i="38"/>
  <c r="T46" i="36"/>
  <c r="I42" i="36"/>
  <c r="C43" i="39"/>
  <c r="J43" i="39" s="1"/>
  <c r="C53" i="38"/>
  <c r="M47" i="39"/>
  <c r="G47" i="39"/>
  <c r="E47" i="39"/>
  <c r="B47" i="39"/>
  <c r="AE47" i="32"/>
  <c r="AF47" i="32"/>
  <c r="B58" i="37"/>
  <c r="A48" i="39"/>
  <c r="A59" i="37"/>
  <c r="I42" i="39"/>
  <c r="D53" i="37" s="1"/>
  <c r="B42" i="36"/>
  <c r="O44" i="32"/>
  <c r="U46" i="36"/>
  <c r="F51" i="38"/>
  <c r="AK48" i="32"/>
  <c r="AJ42" i="32"/>
  <c r="H47" i="38"/>
  <c r="J47" i="38"/>
  <c r="F42" i="36"/>
  <c r="T23" i="32"/>
  <c r="C24" i="32"/>
  <c r="P23" i="32"/>
  <c r="N23" i="32"/>
  <c r="R48" i="36"/>
  <c r="K48" i="36"/>
  <c r="J48" i="36"/>
  <c r="A53" i="38"/>
  <c r="L48" i="36"/>
  <c r="E48" i="36"/>
  <c r="P23" i="36"/>
  <c r="BA48" i="32"/>
  <c r="AL48" i="32"/>
  <c r="S47" i="32"/>
  <c r="H48" i="32"/>
  <c r="I48" i="32" s="1"/>
  <c r="A49" i="32"/>
  <c r="B48" i="32"/>
  <c r="A48" i="36" s="1"/>
  <c r="F48" i="32"/>
  <c r="G48" i="32" s="1"/>
  <c r="M48" i="32"/>
  <c r="Q48" i="39" l="1"/>
  <c r="L48" i="39"/>
  <c r="AA48" i="39"/>
  <c r="AC48" i="39"/>
  <c r="T48" i="39"/>
  <c r="Y48" i="39"/>
  <c r="X48" i="39"/>
  <c r="Z48" i="39"/>
  <c r="W48" i="39"/>
  <c r="V48" i="39"/>
  <c r="AB48" i="39"/>
  <c r="O45" i="39"/>
  <c r="P45" i="39" s="1"/>
  <c r="N46" i="39"/>
  <c r="U46" i="39"/>
  <c r="Z49" i="32"/>
  <c r="Y49" i="32"/>
  <c r="P46" i="39"/>
  <c r="I59" i="37" a="1"/>
  <c r="I59" i="37" s="1"/>
  <c r="J49" i="38"/>
  <c r="H49" i="38"/>
  <c r="V44" i="36"/>
  <c r="F44" i="36"/>
  <c r="AI45" i="32"/>
  <c r="AJ45" i="32" s="1"/>
  <c r="O47" i="36"/>
  <c r="V47" i="32"/>
  <c r="I52" i="38"/>
  <c r="D47" i="39"/>
  <c r="U47" i="39" s="1"/>
  <c r="AU48" i="32"/>
  <c r="AV48" i="32" s="1"/>
  <c r="C58" i="37"/>
  <c r="D51" i="38"/>
  <c r="H48" i="36"/>
  <c r="AH46" i="32"/>
  <c r="AI46" i="32" s="1"/>
  <c r="AJ46" i="32" s="1"/>
  <c r="AY48" i="32"/>
  <c r="AZ48" i="32" s="1"/>
  <c r="J48" i="32"/>
  <c r="D48" i="32" s="1"/>
  <c r="E48" i="32" s="1"/>
  <c r="AG47" i="32"/>
  <c r="U47" i="36" s="1"/>
  <c r="B53" i="38"/>
  <c r="AO48" i="32"/>
  <c r="AP48" i="32" s="1"/>
  <c r="AS48" i="32"/>
  <c r="AT48" i="32" s="1"/>
  <c r="AW48" i="32"/>
  <c r="AX48" i="32" s="1"/>
  <c r="BB48" i="32"/>
  <c r="BC48" i="32" s="1"/>
  <c r="AE48" i="32" s="1"/>
  <c r="AM48" i="32"/>
  <c r="AN48" i="32" s="1"/>
  <c r="AA48" i="32" s="1"/>
  <c r="AB48" i="32" s="1"/>
  <c r="AD48" i="32" s="1"/>
  <c r="N48" i="36"/>
  <c r="AD47" i="32"/>
  <c r="AC47" i="32"/>
  <c r="AQ48" i="32"/>
  <c r="AR48" i="32" s="1"/>
  <c r="H47" i="39"/>
  <c r="B43" i="36"/>
  <c r="I43" i="36"/>
  <c r="I43" i="39"/>
  <c r="D54" i="37" s="1"/>
  <c r="C44" i="39"/>
  <c r="J44" i="39" s="1"/>
  <c r="C45" i="39" s="1"/>
  <c r="J45" i="39" s="1"/>
  <c r="C54" i="38"/>
  <c r="A49" i="39"/>
  <c r="A60" i="37"/>
  <c r="B59" i="37"/>
  <c r="E48" i="39"/>
  <c r="D48" i="39"/>
  <c r="N48" i="39" s="1"/>
  <c r="B48" i="39"/>
  <c r="G48" i="39"/>
  <c r="M48" i="39"/>
  <c r="AF48" i="32"/>
  <c r="O45" i="32"/>
  <c r="AK49" i="32"/>
  <c r="AM49" i="32" s="1"/>
  <c r="AN49" i="32" s="1"/>
  <c r="AA49" i="32" s="1"/>
  <c r="AB49" i="32" s="1"/>
  <c r="AD49" i="32" s="1"/>
  <c r="T49" i="36" s="1"/>
  <c r="K49" i="36"/>
  <c r="L49" i="36"/>
  <c r="E49" i="36"/>
  <c r="A54" i="38"/>
  <c r="R49" i="36"/>
  <c r="J49" i="36"/>
  <c r="U23" i="32"/>
  <c r="K24" i="32"/>
  <c r="L24" i="32"/>
  <c r="AL49" i="32"/>
  <c r="BB49" i="32" s="1"/>
  <c r="BC49" i="32" s="1"/>
  <c r="BA49" i="32"/>
  <c r="S48" i="32"/>
  <c r="M49" i="32"/>
  <c r="B49" i="32"/>
  <c r="B54" i="38" s="1"/>
  <c r="A50" i="32"/>
  <c r="F49" i="32"/>
  <c r="G49" i="32" s="1"/>
  <c r="H49" i="32"/>
  <c r="I49" i="32" s="1"/>
  <c r="Q49" i="39" l="1"/>
  <c r="AC49" i="39"/>
  <c r="L49" i="39"/>
  <c r="AA49" i="39"/>
  <c r="Z49" i="39"/>
  <c r="X49" i="39"/>
  <c r="Y49" i="39"/>
  <c r="AB49" i="39"/>
  <c r="W49" i="39"/>
  <c r="V49" i="39"/>
  <c r="T49" i="39"/>
  <c r="I56" i="37" a="1"/>
  <c r="I56" i="37" s="1"/>
  <c r="K47" i="39"/>
  <c r="G58" i="37" s="1"/>
  <c r="U48" i="39"/>
  <c r="Z50" i="32"/>
  <c r="Y50" i="32"/>
  <c r="F47" i="39"/>
  <c r="O47" i="39" s="1"/>
  <c r="G51" i="38"/>
  <c r="H50" i="38"/>
  <c r="N47" i="39"/>
  <c r="P47" i="39" s="1"/>
  <c r="V45" i="36"/>
  <c r="J50" i="38"/>
  <c r="F45" i="36"/>
  <c r="F52" i="38"/>
  <c r="C59" i="37"/>
  <c r="I53" i="38"/>
  <c r="O48" i="36"/>
  <c r="V48" i="32"/>
  <c r="AW49" i="32"/>
  <c r="AX49" i="32" s="1"/>
  <c r="A49" i="36"/>
  <c r="AS49" i="32"/>
  <c r="AT49" i="32" s="1"/>
  <c r="T48" i="36"/>
  <c r="E53" i="38"/>
  <c r="J49" i="32"/>
  <c r="D49" i="32" s="1"/>
  <c r="E49" i="32" s="1"/>
  <c r="AG48" i="32"/>
  <c r="F53" i="38" s="1"/>
  <c r="H48" i="39"/>
  <c r="N49" i="36"/>
  <c r="K48" i="39"/>
  <c r="G59" i="37" s="1"/>
  <c r="AC48" i="32"/>
  <c r="D53" i="38" s="1"/>
  <c r="D52" i="38"/>
  <c r="S47" i="36"/>
  <c r="F48" i="39"/>
  <c r="O48" i="39" s="1"/>
  <c r="P48" i="39" s="1"/>
  <c r="E52" i="38"/>
  <c r="T47" i="36"/>
  <c r="AO49" i="32"/>
  <c r="AP49" i="32" s="1"/>
  <c r="AY49" i="32"/>
  <c r="AZ49" i="32" s="1"/>
  <c r="I45" i="36"/>
  <c r="B45" i="36"/>
  <c r="I45" i="39"/>
  <c r="D56" i="37" s="1"/>
  <c r="C46" i="39"/>
  <c r="J46" i="39" s="1"/>
  <c r="H49" i="36"/>
  <c r="AU49" i="32"/>
  <c r="AV49" i="32" s="1"/>
  <c r="AH47" i="32"/>
  <c r="G52" i="38" s="1"/>
  <c r="AQ49" i="32"/>
  <c r="AR49" i="32" s="1"/>
  <c r="I44" i="36"/>
  <c r="B44" i="36"/>
  <c r="I44" i="39"/>
  <c r="D55" i="37" s="1"/>
  <c r="C43" i="36"/>
  <c r="F54" i="37" s="1"/>
  <c r="E54" i="37"/>
  <c r="H54" i="37" s="1"/>
  <c r="C55" i="38"/>
  <c r="B49" i="39"/>
  <c r="G49" i="39"/>
  <c r="B14" i="33" s="1" a="1"/>
  <c r="B14" i="33" s="1"/>
  <c r="E49" i="39"/>
  <c r="M49" i="39"/>
  <c r="B60" i="37"/>
  <c r="A50" i="39"/>
  <c r="A61" i="37"/>
  <c r="I61" i="37" s="1" a="1"/>
  <c r="I61" i="37" s="1"/>
  <c r="AE49" i="32"/>
  <c r="AF49" i="32"/>
  <c r="J51" i="38"/>
  <c r="F46" i="36"/>
  <c r="V46" i="36"/>
  <c r="H51" i="38"/>
  <c r="O46" i="32"/>
  <c r="E54" i="38"/>
  <c r="AK50" i="32"/>
  <c r="AU50" i="32" s="1"/>
  <c r="AV50" i="32" s="1"/>
  <c r="C25" i="32"/>
  <c r="T24" i="32"/>
  <c r="N24" i="32"/>
  <c r="P24" i="32"/>
  <c r="R50" i="36"/>
  <c r="A55" i="38"/>
  <c r="J50" i="36"/>
  <c r="K50" i="36"/>
  <c r="L50" i="36"/>
  <c r="E50" i="36"/>
  <c r="P24" i="36"/>
  <c r="AL50" i="32"/>
  <c r="BB50" i="32" s="1"/>
  <c r="BC50" i="32" s="1"/>
  <c r="BA50" i="32"/>
  <c r="S49" i="32"/>
  <c r="F50" i="32"/>
  <c r="G50" i="32" s="1"/>
  <c r="H50" i="32"/>
  <c r="I50" i="32" s="1"/>
  <c r="A51" i="32"/>
  <c r="B50" i="32"/>
  <c r="B55" i="38" s="1"/>
  <c r="M50" i="32"/>
  <c r="Q50" i="39" l="1"/>
  <c r="AC50" i="39"/>
  <c r="L50" i="39"/>
  <c r="AA50" i="39"/>
  <c r="X50" i="39"/>
  <c r="V50" i="39"/>
  <c r="T50" i="39"/>
  <c r="Y50" i="39"/>
  <c r="W50" i="39"/>
  <c r="Z50" i="39"/>
  <c r="AB50" i="39"/>
  <c r="Z51" i="32"/>
  <c r="Y51" i="32"/>
  <c r="U50" i="39"/>
  <c r="I58" i="37" a="1"/>
  <c r="I58" i="37" s="1"/>
  <c r="O49" i="36"/>
  <c r="C60" i="37"/>
  <c r="D49" i="39"/>
  <c r="I54" i="38"/>
  <c r="U48" i="36"/>
  <c r="V49" i="32"/>
  <c r="AH48" i="32"/>
  <c r="G53" i="38" s="1"/>
  <c r="S48" i="36"/>
  <c r="AC49" i="32"/>
  <c r="D54" i="38" s="1"/>
  <c r="AG49" i="32"/>
  <c r="F54" i="38" s="1"/>
  <c r="J50" i="32"/>
  <c r="D50" i="32" s="1"/>
  <c r="O50" i="36" s="1"/>
  <c r="AI47" i="32"/>
  <c r="AJ47" i="32" s="1"/>
  <c r="AW50" i="32"/>
  <c r="AX50" i="32" s="1"/>
  <c r="H49" i="39"/>
  <c r="N50" i="36"/>
  <c r="AQ50" i="32"/>
  <c r="AR50" i="32" s="1"/>
  <c r="A50" i="36"/>
  <c r="H50" i="36"/>
  <c r="B46" i="36"/>
  <c r="I46" i="36"/>
  <c r="I46" i="39"/>
  <c r="D57" i="37" s="1"/>
  <c r="C47" i="39"/>
  <c r="J47" i="39" s="1"/>
  <c r="AO50" i="32"/>
  <c r="AP50" i="32" s="1"/>
  <c r="AS50" i="32"/>
  <c r="AT50" i="32" s="1"/>
  <c r="AM50" i="32"/>
  <c r="AN50" i="32" s="1"/>
  <c r="AA50" i="32" s="1"/>
  <c r="AB50" i="32" s="1"/>
  <c r="AY50" i="32"/>
  <c r="AZ50" i="32" s="1"/>
  <c r="C45" i="36"/>
  <c r="F56" i="37" s="1"/>
  <c r="E56" i="37"/>
  <c r="H56" i="37" s="1"/>
  <c r="C44" i="36"/>
  <c r="F55" i="37" s="1"/>
  <c r="E55" i="37"/>
  <c r="H55" i="37" s="1"/>
  <c r="C56" i="38"/>
  <c r="A51" i="39"/>
  <c r="A62" i="37"/>
  <c r="I62" i="37" s="1" a="1"/>
  <c r="I62" i="37" s="1"/>
  <c r="G50" i="39"/>
  <c r="M50" i="39"/>
  <c r="B50" i="39"/>
  <c r="E50" i="39"/>
  <c r="AE50" i="32"/>
  <c r="AF50" i="32"/>
  <c r="B61" i="37"/>
  <c r="O47" i="32"/>
  <c r="AK51" i="32"/>
  <c r="AQ51" i="32" s="1"/>
  <c r="AR51" i="32" s="1"/>
  <c r="U24" i="32"/>
  <c r="L25" i="32"/>
  <c r="K25" i="32"/>
  <c r="R51" i="36"/>
  <c r="A56" i="38"/>
  <c r="E51" i="36"/>
  <c r="J51" i="36"/>
  <c r="K51" i="36"/>
  <c r="L51" i="36"/>
  <c r="BA51" i="32"/>
  <c r="AL51" i="32"/>
  <c r="BB51" i="32" s="1"/>
  <c r="BC51" i="32" s="1"/>
  <c r="S50" i="32"/>
  <c r="M51" i="32"/>
  <c r="B51" i="32"/>
  <c r="N51" i="36" s="1"/>
  <c r="F51" i="32"/>
  <c r="G51" i="32" s="1"/>
  <c r="A52" i="32"/>
  <c r="H51" i="32"/>
  <c r="I51" i="32" s="1"/>
  <c r="Q51" i="39" l="1"/>
  <c r="AC51" i="39"/>
  <c r="L51" i="39"/>
  <c r="AA51" i="39"/>
  <c r="Z51" i="39"/>
  <c r="X51" i="39"/>
  <c r="AB51" i="39"/>
  <c r="T51" i="39"/>
  <c r="Y51" i="39"/>
  <c r="W51" i="39"/>
  <c r="V51" i="39"/>
  <c r="N49" i="39"/>
  <c r="U49" i="39"/>
  <c r="K49" i="39"/>
  <c r="G60" i="37" s="1"/>
  <c r="Z52" i="32"/>
  <c r="Y52" i="32"/>
  <c r="U51" i="39"/>
  <c r="F49" i="39"/>
  <c r="O49" i="39" s="1"/>
  <c r="P49" i="39" s="1"/>
  <c r="V50" i="32"/>
  <c r="I55" i="38"/>
  <c r="E50" i="32"/>
  <c r="U49" i="36"/>
  <c r="S49" i="36"/>
  <c r="AO51" i="32"/>
  <c r="AP51" i="32" s="1"/>
  <c r="AU51" i="32"/>
  <c r="AV51" i="32" s="1"/>
  <c r="AI48" i="32"/>
  <c r="AJ48" i="32" s="1"/>
  <c r="AH49" i="32"/>
  <c r="G54" i="38" s="1"/>
  <c r="AG50" i="32"/>
  <c r="U50" i="36" s="1"/>
  <c r="H50" i="39"/>
  <c r="AS51" i="32"/>
  <c r="AT51" i="32" s="1"/>
  <c r="D50" i="39"/>
  <c r="N50" i="39" s="1"/>
  <c r="H51" i="36"/>
  <c r="AM51" i="32"/>
  <c r="AN51" i="32" s="1"/>
  <c r="AA51" i="32" s="1"/>
  <c r="AB51" i="32" s="1"/>
  <c r="B56" i="38"/>
  <c r="H52" i="38"/>
  <c r="AW51" i="32"/>
  <c r="AX51" i="32" s="1"/>
  <c r="J52" i="38"/>
  <c r="AY51" i="32"/>
  <c r="AZ51" i="32" s="1"/>
  <c r="A51" i="36"/>
  <c r="V47" i="36"/>
  <c r="J51" i="32"/>
  <c r="D51" i="32" s="1"/>
  <c r="F47" i="36"/>
  <c r="C61" i="37"/>
  <c r="AD50" i="32"/>
  <c r="AC50" i="32"/>
  <c r="I47" i="36"/>
  <c r="I47" i="39"/>
  <c r="D58" i="37" s="1"/>
  <c r="B47" i="36"/>
  <c r="C48" i="39"/>
  <c r="J48" i="39" s="1"/>
  <c r="K50" i="39"/>
  <c r="G61" i="37" s="1"/>
  <c r="C46" i="36"/>
  <c r="F57" i="37" s="1"/>
  <c r="E57" i="37"/>
  <c r="H57" i="37" s="1"/>
  <c r="F55" i="38"/>
  <c r="C57" i="38"/>
  <c r="A52" i="39"/>
  <c r="A63" i="37"/>
  <c r="I63" i="37" s="1" a="1"/>
  <c r="I63" i="37" s="1"/>
  <c r="B62" i="37"/>
  <c r="B51" i="39"/>
  <c r="G51" i="39"/>
  <c r="E51" i="39"/>
  <c r="M51" i="39"/>
  <c r="AE51" i="32"/>
  <c r="AF51" i="32"/>
  <c r="H53" i="38"/>
  <c r="O48" i="32"/>
  <c r="AK52" i="32"/>
  <c r="AM52" i="32" s="1"/>
  <c r="AN52" i="32" s="1"/>
  <c r="AA52" i="32" s="1"/>
  <c r="AB52" i="32" s="1"/>
  <c r="P25" i="36"/>
  <c r="N25" i="32"/>
  <c r="P25" i="32"/>
  <c r="C26" i="32"/>
  <c r="T25" i="32"/>
  <c r="A57" i="38"/>
  <c r="J52" i="36"/>
  <c r="R52" i="36"/>
  <c r="L52" i="36"/>
  <c r="E52" i="36"/>
  <c r="N52" i="36"/>
  <c r="K52" i="36"/>
  <c r="AL52" i="32"/>
  <c r="BB52" i="32" s="1"/>
  <c r="BC52" i="32" s="1"/>
  <c r="BA52" i="32"/>
  <c r="S51" i="32"/>
  <c r="F52" i="32"/>
  <c r="G52" i="32" s="1"/>
  <c r="M52" i="32"/>
  <c r="B52" i="32"/>
  <c r="B57" i="38" s="1"/>
  <c r="H52" i="32"/>
  <c r="I52" i="32" s="1"/>
  <c r="A53" i="32"/>
  <c r="Q52" i="39" l="1"/>
  <c r="AC52" i="39"/>
  <c r="L52" i="39"/>
  <c r="AA52" i="39"/>
  <c r="T52" i="39"/>
  <c r="AB52" i="39"/>
  <c r="X52" i="39"/>
  <c r="W52" i="39"/>
  <c r="Y52" i="39"/>
  <c r="Z52" i="39"/>
  <c r="V52" i="39"/>
  <c r="U52" i="39"/>
  <c r="Z53" i="32"/>
  <c r="Y53" i="32"/>
  <c r="I60" i="37" a="1"/>
  <c r="I60" i="37" s="1"/>
  <c r="B16" i="33" a="1"/>
  <c r="B16" i="33" s="1"/>
  <c r="A19" i="33" s="1"/>
  <c r="H51" i="39"/>
  <c r="F48" i="36"/>
  <c r="J53" i="38"/>
  <c r="AH50" i="32"/>
  <c r="G55" i="38" s="1"/>
  <c r="AI49" i="32"/>
  <c r="AJ49" i="32" s="1"/>
  <c r="H52" i="36"/>
  <c r="V48" i="36"/>
  <c r="A52" i="36"/>
  <c r="F50" i="39"/>
  <c r="O50" i="39" s="1"/>
  <c r="P50" i="39" s="1"/>
  <c r="AQ52" i="32"/>
  <c r="AR52" i="32" s="1"/>
  <c r="J52" i="32"/>
  <c r="D52" i="32" s="1"/>
  <c r="O52" i="36" s="1"/>
  <c r="AW52" i="32"/>
  <c r="AX52" i="32" s="1"/>
  <c r="AG51" i="32"/>
  <c r="U51" i="36" s="1"/>
  <c r="AD52" i="32"/>
  <c r="AY52" i="32"/>
  <c r="AZ52" i="32" s="1"/>
  <c r="AS52" i="32"/>
  <c r="AT52" i="32" s="1"/>
  <c r="AO52" i="32"/>
  <c r="AP52" i="32" s="1"/>
  <c r="AC52" i="32" s="1"/>
  <c r="AU52" i="32"/>
  <c r="AV52" i="32" s="1"/>
  <c r="AD51" i="32"/>
  <c r="AC51" i="32"/>
  <c r="I56" i="38"/>
  <c r="O51" i="36"/>
  <c r="V51" i="32"/>
  <c r="E51" i="32"/>
  <c r="D51" i="39"/>
  <c r="K52" i="39" s="1"/>
  <c r="G63" i="37" s="1"/>
  <c r="C62" i="37"/>
  <c r="I48" i="39"/>
  <c r="D59" i="37" s="1"/>
  <c r="B48" i="36"/>
  <c r="I48" i="36"/>
  <c r="C49" i="39"/>
  <c r="J49" i="39" s="1"/>
  <c r="C47" i="36"/>
  <c r="F58" i="37" s="1"/>
  <c r="E58" i="37"/>
  <c r="H58" i="37" s="1"/>
  <c r="S50" i="36"/>
  <c r="D55" i="38"/>
  <c r="T50" i="36"/>
  <c r="E55" i="38"/>
  <c r="C58" i="38"/>
  <c r="B63" i="37"/>
  <c r="G52" i="39"/>
  <c r="D52" i="39"/>
  <c r="N52" i="39" s="1"/>
  <c r="E52" i="39"/>
  <c r="H52" i="39" s="1"/>
  <c r="B52" i="39"/>
  <c r="M52" i="39"/>
  <c r="A53" i="39"/>
  <c r="A64" i="37"/>
  <c r="I64" i="37" s="1" a="1"/>
  <c r="I64" i="37" s="1"/>
  <c r="AE52" i="32"/>
  <c r="AG52" i="32" s="1"/>
  <c r="AF52" i="32"/>
  <c r="V49" i="36"/>
  <c r="F49" i="36"/>
  <c r="H54" i="38"/>
  <c r="J54" i="38"/>
  <c r="O49" i="32"/>
  <c r="O50" i="32" s="1"/>
  <c r="O51" i="32" s="1"/>
  <c r="AK53" i="32"/>
  <c r="L26" i="32"/>
  <c r="C27" i="32" s="1"/>
  <c r="K26" i="32"/>
  <c r="U25" i="32"/>
  <c r="R53" i="36"/>
  <c r="N53" i="36"/>
  <c r="H53" i="36"/>
  <c r="J53" i="36"/>
  <c r="K53" i="36"/>
  <c r="B58" i="38"/>
  <c r="L53" i="36"/>
  <c r="E53" i="36"/>
  <c r="A58" i="38"/>
  <c r="BA53" i="32"/>
  <c r="AL53" i="32"/>
  <c r="AM53" i="32" s="1"/>
  <c r="AN53" i="32" s="1"/>
  <c r="AA53" i="32" s="1"/>
  <c r="S52" i="32"/>
  <c r="A54" i="32"/>
  <c r="H53" i="32"/>
  <c r="I53" i="32" s="1"/>
  <c r="J53" i="32" s="1"/>
  <c r="D53" i="32" s="1"/>
  <c r="M53" i="32"/>
  <c r="B53" i="32"/>
  <c r="A53" i="36" s="1"/>
  <c r="F53" i="32"/>
  <c r="G53" i="32" s="1"/>
  <c r="Q53" i="39" l="1"/>
  <c r="AC53" i="39"/>
  <c r="L53" i="39"/>
  <c r="AA53" i="39"/>
  <c r="X53" i="39"/>
  <c r="V53" i="39"/>
  <c r="AB53" i="39"/>
  <c r="T53" i="39"/>
  <c r="Z53" i="39"/>
  <c r="Y53" i="39"/>
  <c r="W53" i="39"/>
  <c r="Z54" i="32"/>
  <c r="Y54" i="32"/>
  <c r="U53" i="39"/>
  <c r="AI50" i="32"/>
  <c r="AJ50" i="32" s="1"/>
  <c r="C63" i="37"/>
  <c r="V52" i="32"/>
  <c r="I57" i="38"/>
  <c r="AB53" i="32"/>
  <c r="AD53" i="32" s="1"/>
  <c r="E52" i="32"/>
  <c r="F56" i="38"/>
  <c r="AO53" i="32"/>
  <c r="AP53" i="32" s="1"/>
  <c r="O52" i="32"/>
  <c r="AH51" i="32"/>
  <c r="G56" i="38" s="1"/>
  <c r="O53" i="36"/>
  <c r="O53" i="32"/>
  <c r="V53" i="32"/>
  <c r="I58" i="38"/>
  <c r="E53" i="32"/>
  <c r="S52" i="36"/>
  <c r="D57" i="38"/>
  <c r="AH52" i="32"/>
  <c r="G57" i="38" s="1"/>
  <c r="U52" i="36"/>
  <c r="F57" i="38"/>
  <c r="AQ53" i="32"/>
  <c r="AR53" i="32" s="1"/>
  <c r="AC53" i="32" s="1"/>
  <c r="BB53" i="32"/>
  <c r="BC53" i="32" s="1"/>
  <c r="AE53" i="32" s="1"/>
  <c r="AG53" i="32" s="1"/>
  <c r="N51" i="39"/>
  <c r="F51" i="39"/>
  <c r="O51" i="39" s="1"/>
  <c r="K51" i="39"/>
  <c r="G62" i="37" s="1"/>
  <c r="AY53" i="32"/>
  <c r="AZ53" i="32" s="1"/>
  <c r="AU53" i="32"/>
  <c r="AV53" i="32" s="1"/>
  <c r="E57" i="38"/>
  <c r="T52" i="36"/>
  <c r="AW53" i="32"/>
  <c r="AX53" i="32" s="1"/>
  <c r="AS53" i="32"/>
  <c r="AT53" i="32" s="1"/>
  <c r="S51" i="36"/>
  <c r="D56" i="38"/>
  <c r="F52" i="39"/>
  <c r="O52" i="39" s="1"/>
  <c r="P52" i="39" s="1"/>
  <c r="T51" i="36"/>
  <c r="E56" i="38"/>
  <c r="I49" i="36"/>
  <c r="I49" i="39"/>
  <c r="D60" i="37" s="1"/>
  <c r="B49" i="36"/>
  <c r="C50" i="39"/>
  <c r="J50" i="39" s="1"/>
  <c r="C51" i="39" s="1"/>
  <c r="J51" i="39" s="1"/>
  <c r="J55" i="38"/>
  <c r="H55" i="38"/>
  <c r="F50" i="36"/>
  <c r="V50" i="36"/>
  <c r="C48" i="36"/>
  <c r="F59" i="37" s="1"/>
  <c r="E59" i="37"/>
  <c r="H59" i="37" s="1"/>
  <c r="B53" i="39"/>
  <c r="D53" i="39"/>
  <c r="N53" i="39" s="1"/>
  <c r="E53" i="39"/>
  <c r="M53" i="39"/>
  <c r="G53" i="39"/>
  <c r="F53" i="39"/>
  <c r="O53" i="39" s="1"/>
  <c r="P53" i="39" s="1"/>
  <c r="A65" i="37"/>
  <c r="I65" i="37" s="1" a="1"/>
  <c r="I65" i="37" s="1"/>
  <c r="A54" i="39"/>
  <c r="A54" i="36"/>
  <c r="AF53" i="32"/>
  <c r="C64" i="37"/>
  <c r="B64" i="37"/>
  <c r="K27" i="32"/>
  <c r="L27" i="32"/>
  <c r="AK54" i="32"/>
  <c r="J54" i="36"/>
  <c r="K54" i="36"/>
  <c r="L54" i="36"/>
  <c r="R54" i="36"/>
  <c r="A59" i="38"/>
  <c r="C59" i="38"/>
  <c r="E54" i="36"/>
  <c r="P26" i="36"/>
  <c r="P26" i="32"/>
  <c r="N26" i="32"/>
  <c r="T26" i="32"/>
  <c r="BA54" i="32"/>
  <c r="AL54" i="32"/>
  <c r="BB54" i="32" s="1"/>
  <c r="BC54" i="32" s="1"/>
  <c r="S53" i="32"/>
  <c r="B54" i="32"/>
  <c r="B59" i="38" s="1"/>
  <c r="F54" i="32"/>
  <c r="G54" i="32" s="1"/>
  <c r="A55" i="32"/>
  <c r="H54" i="32"/>
  <c r="I54" i="32" s="1"/>
  <c r="M54" i="32"/>
  <c r="AC54" i="39" l="1"/>
  <c r="Q54" i="39"/>
  <c r="L54" i="39"/>
  <c r="AA54" i="39"/>
  <c r="AB54" i="39"/>
  <c r="X54" i="39"/>
  <c r="Z54" i="39"/>
  <c r="V54" i="39"/>
  <c r="T54" i="39"/>
  <c r="Y54" i="39"/>
  <c r="W54" i="39"/>
  <c r="Z55" i="32"/>
  <c r="Y55" i="32"/>
  <c r="U54" i="39"/>
  <c r="AO54" i="32"/>
  <c r="AP54" i="32" s="1"/>
  <c r="J54" i="32"/>
  <c r="D54" i="32" s="1"/>
  <c r="K53" i="39"/>
  <c r="G64" i="37" s="1"/>
  <c r="AY54" i="32"/>
  <c r="AZ54" i="32" s="1"/>
  <c r="N54" i="36"/>
  <c r="H54" i="36"/>
  <c r="AI51" i="32"/>
  <c r="F51" i="36" s="1"/>
  <c r="P51" i="39"/>
  <c r="AI52" i="32"/>
  <c r="AJ52" i="32" s="1"/>
  <c r="O54" i="32"/>
  <c r="E54" i="32"/>
  <c r="O54" i="36"/>
  <c r="V54" i="32"/>
  <c r="I59" i="38"/>
  <c r="S53" i="36"/>
  <c r="D58" i="38"/>
  <c r="T53" i="36"/>
  <c r="E58" i="38"/>
  <c r="AU54" i="32"/>
  <c r="AV54" i="32" s="1"/>
  <c r="I51" i="36"/>
  <c r="I51" i="39"/>
  <c r="D62" i="37" s="1"/>
  <c r="B51" i="36"/>
  <c r="C52" i="39"/>
  <c r="J52" i="39" s="1"/>
  <c r="F58" i="38"/>
  <c r="U53" i="36"/>
  <c r="AQ54" i="32"/>
  <c r="AR54" i="32" s="1"/>
  <c r="H53" i="39"/>
  <c r="V51" i="36"/>
  <c r="H56" i="38"/>
  <c r="J57" i="38"/>
  <c r="V52" i="36"/>
  <c r="H57" i="38"/>
  <c r="F52" i="36"/>
  <c r="AW54" i="32"/>
  <c r="AX54" i="32" s="1"/>
  <c r="AS54" i="32"/>
  <c r="AT54" i="32" s="1"/>
  <c r="AM54" i="32"/>
  <c r="AN54" i="32" s="1"/>
  <c r="AA54" i="32" s="1"/>
  <c r="AB54" i="32" s="1"/>
  <c r="I50" i="36"/>
  <c r="B50" i="36"/>
  <c r="I50" i="39"/>
  <c r="D61" i="37" s="1"/>
  <c r="C49" i="36"/>
  <c r="F60" i="37" s="1"/>
  <c r="E60" i="37"/>
  <c r="H60" i="37" s="1"/>
  <c r="E54" i="39"/>
  <c r="D54" i="39"/>
  <c r="N54" i="39" s="1"/>
  <c r="K54" i="39"/>
  <c r="G65" i="37" s="1"/>
  <c r="B54" i="39"/>
  <c r="G54" i="39"/>
  <c r="M54" i="39"/>
  <c r="AE54" i="32"/>
  <c r="AF54" i="32"/>
  <c r="C65" i="37"/>
  <c r="B65" i="37"/>
  <c r="A66" i="37"/>
  <c r="I66" i="37" s="1" a="1"/>
  <c r="I66" i="37" s="1"/>
  <c r="A55" i="39"/>
  <c r="T27" i="32"/>
  <c r="N27" i="32"/>
  <c r="U27" i="32" s="1"/>
  <c r="P27" i="32"/>
  <c r="AK55" i="32"/>
  <c r="R55" i="36"/>
  <c r="E55" i="36"/>
  <c r="J55" i="36"/>
  <c r="L55" i="36"/>
  <c r="A60" i="38"/>
  <c r="K55" i="36"/>
  <c r="C60" i="38"/>
  <c r="U26" i="32"/>
  <c r="BA55" i="32"/>
  <c r="AL55" i="32"/>
  <c r="AW55" i="32" s="1"/>
  <c r="AX55" i="32" s="1"/>
  <c r="S54" i="32"/>
  <c r="AH53" i="32"/>
  <c r="G58" i="38" s="1"/>
  <c r="B55" i="32"/>
  <c r="N55" i="36" s="1"/>
  <c r="H55" i="32"/>
  <c r="I55" i="32" s="1"/>
  <c r="A56" i="32"/>
  <c r="F55" i="32"/>
  <c r="G55" i="32" s="1"/>
  <c r="M55" i="32"/>
  <c r="AC55" i="39" l="1"/>
  <c r="L55" i="39"/>
  <c r="Q55" i="39"/>
  <c r="AA55" i="39"/>
  <c r="X55" i="39"/>
  <c r="Z55" i="39"/>
  <c r="W55" i="39"/>
  <c r="T55" i="39"/>
  <c r="AB55" i="39"/>
  <c r="Y55" i="39"/>
  <c r="V55" i="39"/>
  <c r="Z56" i="32"/>
  <c r="Y56" i="32"/>
  <c r="U55" i="39"/>
  <c r="AJ51" i="32"/>
  <c r="J56" i="38"/>
  <c r="AG54" i="32"/>
  <c r="AM55" i="32"/>
  <c r="AN55" i="32" s="1"/>
  <c r="AA55" i="32" s="1"/>
  <c r="AB55" i="32" s="1"/>
  <c r="AD55" i="32" s="1"/>
  <c r="F54" i="39"/>
  <c r="O54" i="39" s="1"/>
  <c r="H54" i="39"/>
  <c r="F59" i="38"/>
  <c r="U54" i="36"/>
  <c r="P54" i="39"/>
  <c r="H55" i="36"/>
  <c r="B60" i="38"/>
  <c r="AY55" i="32"/>
  <c r="AZ55" i="32" s="1"/>
  <c r="AD54" i="32"/>
  <c r="AC54" i="32"/>
  <c r="AO55" i="32"/>
  <c r="AP55" i="32" s="1"/>
  <c r="A55" i="36"/>
  <c r="J55" i="32"/>
  <c r="D55" i="32" s="1"/>
  <c r="I52" i="36"/>
  <c r="B52" i="36"/>
  <c r="I52" i="39"/>
  <c r="D63" i="37" s="1"/>
  <c r="C53" i="39"/>
  <c r="J53" i="39" s="1"/>
  <c r="BB55" i="32"/>
  <c r="BC55" i="32" s="1"/>
  <c r="AE55" i="32" s="1"/>
  <c r="AG55" i="32" s="1"/>
  <c r="AQ55" i="32"/>
  <c r="AR55" i="32" s="1"/>
  <c r="C51" i="36"/>
  <c r="F62" i="37" s="1"/>
  <c r="E62" i="37"/>
  <c r="H62" i="37" s="1"/>
  <c r="AS55" i="32"/>
  <c r="AT55" i="32" s="1"/>
  <c r="AU55" i="32"/>
  <c r="AV55" i="32" s="1"/>
  <c r="C50" i="36"/>
  <c r="F61" i="37" s="1"/>
  <c r="E61" i="37"/>
  <c r="H61" i="37" s="1"/>
  <c r="C61" i="38"/>
  <c r="AF55" i="32"/>
  <c r="G55" i="39"/>
  <c r="E55" i="39"/>
  <c r="H55" i="39" s="1"/>
  <c r="B55" i="39"/>
  <c r="M55" i="39"/>
  <c r="A56" i="39"/>
  <c r="A67" i="37"/>
  <c r="I67" i="37" s="1" a="1"/>
  <c r="I67" i="37" s="1"/>
  <c r="B66" i="37"/>
  <c r="C66" i="37"/>
  <c r="AY56" i="32"/>
  <c r="AZ56" i="32" s="1"/>
  <c r="AK56" i="32"/>
  <c r="AO56" i="32" s="1"/>
  <c r="AP56" i="32" s="1"/>
  <c r="R56" i="36"/>
  <c r="L56" i="36"/>
  <c r="A61" i="38"/>
  <c r="H56" i="36"/>
  <c r="J56" i="36"/>
  <c r="E56" i="36"/>
  <c r="K56" i="36"/>
  <c r="C28" i="32"/>
  <c r="P27" i="36"/>
  <c r="AL56" i="32"/>
  <c r="BB56" i="32" s="1"/>
  <c r="BC56" i="32" s="1"/>
  <c r="BA56" i="32"/>
  <c r="S55" i="32"/>
  <c r="AI53" i="32"/>
  <c r="H56" i="32"/>
  <c r="I56" i="32" s="1"/>
  <c r="A57" i="32"/>
  <c r="M56" i="32"/>
  <c r="B56" i="32"/>
  <c r="N56" i="36" s="1"/>
  <c r="F56" i="32"/>
  <c r="G56" i="32" s="1"/>
  <c r="L56" i="39" l="1"/>
  <c r="AA56" i="39"/>
  <c r="AC56" i="39"/>
  <c r="Q56" i="39"/>
  <c r="AB56" i="39"/>
  <c r="X56" i="39"/>
  <c r="V56" i="39"/>
  <c r="Z56" i="39"/>
  <c r="T56" i="39"/>
  <c r="Y56" i="39"/>
  <c r="W56" i="39"/>
  <c r="U56" i="39"/>
  <c r="Z57" i="32"/>
  <c r="Y57" i="32"/>
  <c r="B61" i="38"/>
  <c r="AC55" i="32"/>
  <c r="AH55" i="32" s="1"/>
  <c r="G60" i="38" s="1"/>
  <c r="J56" i="32"/>
  <c r="D56" i="32" s="1"/>
  <c r="D60" i="38"/>
  <c r="S55" i="36"/>
  <c r="O56" i="36"/>
  <c r="V56" i="32"/>
  <c r="E56" i="32"/>
  <c r="I61" i="38"/>
  <c r="F60" i="38"/>
  <c r="U55" i="36"/>
  <c r="D59" i="38"/>
  <c r="S54" i="36"/>
  <c r="E59" i="38"/>
  <c r="T54" i="36"/>
  <c r="AU56" i="32"/>
  <c r="AV56" i="32" s="1"/>
  <c r="B53" i="36"/>
  <c r="I53" i="39"/>
  <c r="D64" i="37" s="1"/>
  <c r="I53" i="36"/>
  <c r="C54" i="39"/>
  <c r="J54" i="39" s="1"/>
  <c r="C52" i="36"/>
  <c r="F63" i="37" s="1"/>
  <c r="E63" i="37"/>
  <c r="H63" i="37" s="1"/>
  <c r="AQ56" i="32"/>
  <c r="AR56" i="32" s="1"/>
  <c r="AH54" i="32"/>
  <c r="G59" i="38" s="1"/>
  <c r="AM56" i="32"/>
  <c r="AN56" i="32" s="1"/>
  <c r="AA56" i="32" s="1"/>
  <c r="AB56" i="32" s="1"/>
  <c r="F53" i="36"/>
  <c r="J58" i="38"/>
  <c r="H58" i="38"/>
  <c r="V53" i="36"/>
  <c r="AW56" i="32"/>
  <c r="AX56" i="32" s="1"/>
  <c r="A56" i="36"/>
  <c r="E55" i="32"/>
  <c r="I60" i="38"/>
  <c r="V55" i="32"/>
  <c r="O55" i="32"/>
  <c r="O56" i="32" s="1"/>
  <c r="O55" i="36"/>
  <c r="AS56" i="32"/>
  <c r="AT56" i="32" s="1"/>
  <c r="D55" i="39"/>
  <c r="T55" i="36"/>
  <c r="E60" i="38"/>
  <c r="C62" i="38"/>
  <c r="C67" i="37"/>
  <c r="B67" i="37"/>
  <c r="B56" i="39"/>
  <c r="E56" i="39"/>
  <c r="D56" i="39"/>
  <c r="N56" i="39" s="1"/>
  <c r="G56" i="39"/>
  <c r="M56" i="39"/>
  <c r="A57" i="39"/>
  <c r="A68" i="37"/>
  <c r="I68" i="37" s="1" a="1"/>
  <c r="I68" i="37" s="1"/>
  <c r="AF56" i="32"/>
  <c r="AE56" i="32"/>
  <c r="AG56" i="32" s="1"/>
  <c r="AK57" i="32"/>
  <c r="AS57" i="32" s="1"/>
  <c r="AT57" i="32" s="1"/>
  <c r="A62" i="38"/>
  <c r="K57" i="36"/>
  <c r="R57" i="36"/>
  <c r="L57" i="36"/>
  <c r="E57" i="36"/>
  <c r="J57" i="36"/>
  <c r="L28" i="32"/>
  <c r="K28" i="32"/>
  <c r="AL57" i="32"/>
  <c r="BB57" i="32" s="1"/>
  <c r="BC57" i="32" s="1"/>
  <c r="BA57" i="32"/>
  <c r="AJ53" i="32"/>
  <c r="S56" i="32"/>
  <c r="B57" i="32"/>
  <c r="H57" i="36" s="1"/>
  <c r="F57" i="32"/>
  <c r="G57" i="32" s="1"/>
  <c r="J57" i="32" s="1"/>
  <c r="D57" i="32" s="1"/>
  <c r="H57" i="32"/>
  <c r="I57" i="32" s="1"/>
  <c r="A58" i="32"/>
  <c r="M57" i="32"/>
  <c r="L57" i="39" l="1"/>
  <c r="AA57" i="39"/>
  <c r="AC57" i="39"/>
  <c r="Q57" i="39"/>
  <c r="Z57" i="39"/>
  <c r="Y57" i="39"/>
  <c r="T57" i="39"/>
  <c r="X57" i="39"/>
  <c r="AB57" i="39"/>
  <c r="W57" i="39"/>
  <c r="V57" i="39"/>
  <c r="U57" i="39"/>
  <c r="Z58" i="32"/>
  <c r="Y58" i="32"/>
  <c r="AO57" i="32"/>
  <c r="AP57" i="32" s="1"/>
  <c r="A57" i="36"/>
  <c r="N57" i="36"/>
  <c r="B62" i="38"/>
  <c r="AY57" i="32"/>
  <c r="AZ57" i="32" s="1"/>
  <c r="F61" i="38"/>
  <c r="U56" i="36"/>
  <c r="O57" i="36"/>
  <c r="V57" i="32"/>
  <c r="O57" i="32"/>
  <c r="E57" i="32"/>
  <c r="I62" i="38"/>
  <c r="AU57" i="32"/>
  <c r="AV57" i="32" s="1"/>
  <c r="H56" i="39"/>
  <c r="I54" i="39"/>
  <c r="D65" i="37" s="1"/>
  <c r="I54" i="36"/>
  <c r="B54" i="36"/>
  <c r="C55" i="39"/>
  <c r="AM57" i="32"/>
  <c r="AN57" i="32" s="1"/>
  <c r="AA57" i="32" s="1"/>
  <c r="AB57" i="32" s="1"/>
  <c r="AI54" i="32"/>
  <c r="AJ54" i="32" s="1"/>
  <c r="C53" i="36"/>
  <c r="F64" i="37" s="1"/>
  <c r="E64" i="37"/>
  <c r="H64" i="37" s="1"/>
  <c r="F56" i="39"/>
  <c r="O56" i="39" s="1"/>
  <c r="P56" i="39" s="1"/>
  <c r="AQ57" i="32"/>
  <c r="AR57" i="32" s="1"/>
  <c r="AD56" i="32"/>
  <c r="AC56" i="32"/>
  <c r="AW57" i="32"/>
  <c r="AX57" i="32" s="1"/>
  <c r="K56" i="39"/>
  <c r="G67" i="37" s="1"/>
  <c r="N55" i="39"/>
  <c r="F55" i="39"/>
  <c r="O55" i="39" s="1"/>
  <c r="K55" i="39"/>
  <c r="G66" i="37" s="1"/>
  <c r="C68" i="37"/>
  <c r="G68" i="37"/>
  <c r="B68" i="37"/>
  <c r="A58" i="39"/>
  <c r="A69" i="37"/>
  <c r="I69" i="37" s="1" a="1"/>
  <c r="I69" i="37" s="1"/>
  <c r="B57" i="39"/>
  <c r="M57" i="39"/>
  <c r="E57" i="39"/>
  <c r="D57" i="39"/>
  <c r="N57" i="39" s="1"/>
  <c r="G57" i="39"/>
  <c r="H57" i="39" s="1"/>
  <c r="K57" i="39"/>
  <c r="AF57" i="32"/>
  <c r="AE57" i="32"/>
  <c r="AG57" i="32" s="1"/>
  <c r="E13" i="37"/>
  <c r="H13" i="37" s="1"/>
  <c r="C2" i="36"/>
  <c r="F13" i="37" s="1"/>
  <c r="AK58" i="32"/>
  <c r="P28" i="36"/>
  <c r="C29" i="32"/>
  <c r="N28" i="32"/>
  <c r="P28" i="32"/>
  <c r="T28" i="32"/>
  <c r="R58" i="36"/>
  <c r="A63" i="38"/>
  <c r="C63" i="38"/>
  <c r="E58" i="36"/>
  <c r="J58" i="36"/>
  <c r="K58" i="36"/>
  <c r="L58" i="36"/>
  <c r="AL58" i="32"/>
  <c r="BB58" i="32" s="1"/>
  <c r="BC58" i="32" s="1"/>
  <c r="BA58" i="32"/>
  <c r="AI55" i="32"/>
  <c r="S57" i="32"/>
  <c r="H58" i="32"/>
  <c r="I58" i="32" s="1"/>
  <c r="A59" i="32"/>
  <c r="M58" i="32"/>
  <c r="B58" i="32"/>
  <c r="N58" i="36" s="1"/>
  <c r="F58" i="32"/>
  <c r="G58" i="32" s="1"/>
  <c r="J58" i="32" s="1"/>
  <c r="D58" i="32" s="1"/>
  <c r="L58" i="39" l="1"/>
  <c r="AA58" i="39"/>
  <c r="Q58" i="39"/>
  <c r="AC58" i="39"/>
  <c r="X58" i="39"/>
  <c r="W58" i="39"/>
  <c r="V58" i="39"/>
  <c r="AB58" i="39"/>
  <c r="Z58" i="39"/>
  <c r="Y58" i="39"/>
  <c r="T58" i="39"/>
  <c r="Z59" i="32"/>
  <c r="Y59" i="32"/>
  <c r="U58" i="39"/>
  <c r="AS58" i="32"/>
  <c r="AT58" i="32" s="1"/>
  <c r="AM58" i="32"/>
  <c r="AN58" i="32" s="1"/>
  <c r="AA58" i="32" s="1"/>
  <c r="AB58" i="32" s="1"/>
  <c r="AD58" i="32" s="1"/>
  <c r="O58" i="32"/>
  <c r="I63" i="38"/>
  <c r="O58" i="36"/>
  <c r="V58" i="32"/>
  <c r="E58" i="32"/>
  <c r="F62" i="38"/>
  <c r="U57" i="36"/>
  <c r="S56" i="36"/>
  <c r="D61" i="38"/>
  <c r="T56" i="36"/>
  <c r="E61" i="38"/>
  <c r="J60" i="38"/>
  <c r="H60" i="38"/>
  <c r="F55" i="36"/>
  <c r="V55" i="36"/>
  <c r="AW58" i="32"/>
  <c r="AX58" i="32" s="1"/>
  <c r="F54" i="36"/>
  <c r="H59" i="38"/>
  <c r="J59" i="38"/>
  <c r="V54" i="36"/>
  <c r="AD57" i="32"/>
  <c r="AC57" i="32"/>
  <c r="B63" i="38"/>
  <c r="A58" i="36"/>
  <c r="AO58" i="32"/>
  <c r="AP58" i="32" s="1"/>
  <c r="AY58" i="32"/>
  <c r="AZ58" i="32" s="1"/>
  <c r="H58" i="36"/>
  <c r="AU58" i="32"/>
  <c r="AV58" i="32" s="1"/>
  <c r="P55" i="39"/>
  <c r="J55" i="39"/>
  <c r="AQ58" i="32"/>
  <c r="AR58" i="32" s="1"/>
  <c r="C54" i="36"/>
  <c r="F65" i="37" s="1"/>
  <c r="E65" i="37"/>
  <c r="H65" i="37" s="1"/>
  <c r="AH56" i="32"/>
  <c r="G61" i="38" s="1"/>
  <c r="F57" i="39"/>
  <c r="O57" i="39" s="1"/>
  <c r="P57" i="39" s="1"/>
  <c r="C69" i="37"/>
  <c r="B69" i="37"/>
  <c r="D58" i="39"/>
  <c r="N58" i="39" s="1"/>
  <c r="E58" i="39"/>
  <c r="G58" i="39"/>
  <c r="M58" i="39"/>
  <c r="B58" i="39"/>
  <c r="H58" i="39"/>
  <c r="AE58" i="32"/>
  <c r="AF58" i="32"/>
  <c r="A70" i="37"/>
  <c r="I70" i="37" s="1" a="1"/>
  <c r="I70" i="37" s="1"/>
  <c r="A59" i="39"/>
  <c r="AO59" i="32"/>
  <c r="AP59" i="32" s="1"/>
  <c r="AS59" i="32"/>
  <c r="AT59" i="32" s="1"/>
  <c r="AK59" i="32"/>
  <c r="AM59" i="32" s="1"/>
  <c r="AN59" i="32" s="1"/>
  <c r="AA59" i="32" s="1"/>
  <c r="AB59" i="32" s="1"/>
  <c r="C64" i="38"/>
  <c r="J59" i="36"/>
  <c r="K59" i="36"/>
  <c r="R59" i="36"/>
  <c r="E59" i="36"/>
  <c r="B64" i="38"/>
  <c r="A64" i="38"/>
  <c r="L59" i="36"/>
  <c r="U28" i="32"/>
  <c r="L29" i="32"/>
  <c r="K29" i="32"/>
  <c r="AL59" i="32"/>
  <c r="BB59" i="32" s="1"/>
  <c r="BC59" i="32" s="1"/>
  <c r="BA59" i="32"/>
  <c r="AJ55" i="32"/>
  <c r="S58" i="32"/>
  <c r="M59" i="32"/>
  <c r="B59" i="32"/>
  <c r="J59" i="32" s="1"/>
  <c r="D59" i="32" s="1"/>
  <c r="F59" i="32"/>
  <c r="G59" i="32" s="1"/>
  <c r="H59" i="32"/>
  <c r="I59" i="32" s="1"/>
  <c r="A60" i="32"/>
  <c r="AA59" i="39" l="1"/>
  <c r="Q59" i="39"/>
  <c r="L59" i="39"/>
  <c r="AC59" i="39"/>
  <c r="X59" i="39"/>
  <c r="Z59" i="39"/>
  <c r="V59" i="39"/>
  <c r="T59" i="39"/>
  <c r="AB59" i="39"/>
  <c r="Y59" i="39"/>
  <c r="W59" i="39"/>
  <c r="U59" i="39"/>
  <c r="Z60" i="32"/>
  <c r="Y60" i="32"/>
  <c r="AC58" i="32"/>
  <c r="F58" i="39"/>
  <c r="O58" i="39" s="1"/>
  <c r="P58" i="39" s="1"/>
  <c r="AG58" i="32"/>
  <c r="AH57" i="32"/>
  <c r="G62" i="38" s="1"/>
  <c r="I64" i="38"/>
  <c r="V59" i="32"/>
  <c r="E59" i="32"/>
  <c r="O59" i="36"/>
  <c r="O59" i="32"/>
  <c r="AD59" i="32"/>
  <c r="F63" i="38"/>
  <c r="U58" i="36"/>
  <c r="S58" i="36"/>
  <c r="D63" i="38"/>
  <c r="T57" i="36"/>
  <c r="E62" i="38"/>
  <c r="AQ59" i="32"/>
  <c r="AR59" i="32" s="1"/>
  <c r="B55" i="36"/>
  <c r="I55" i="36"/>
  <c r="I55" i="39"/>
  <c r="D66" i="37" s="1"/>
  <c r="C56" i="39"/>
  <c r="J56" i="39" s="1"/>
  <c r="AU59" i="32"/>
  <c r="AV59" i="32" s="1"/>
  <c r="AC59" i="32" s="1"/>
  <c r="A59" i="36"/>
  <c r="H59" i="36"/>
  <c r="AY59" i="32"/>
  <c r="AZ59" i="32" s="1"/>
  <c r="N59" i="36"/>
  <c r="AW59" i="32"/>
  <c r="AX59" i="32" s="1"/>
  <c r="K58" i="39"/>
  <c r="G69" i="37" s="1"/>
  <c r="S57" i="36"/>
  <c r="D62" i="38"/>
  <c r="AI56" i="32"/>
  <c r="AJ56" i="32" s="1"/>
  <c r="E63" i="38"/>
  <c r="T58" i="36"/>
  <c r="C65" i="38"/>
  <c r="G70" i="37"/>
  <c r="B70" i="37"/>
  <c r="C70" i="37"/>
  <c r="A60" i="39"/>
  <c r="A71" i="37"/>
  <c r="I71" i="37" s="1" a="1"/>
  <c r="I71" i="37" s="1"/>
  <c r="A60" i="36"/>
  <c r="AE59" i="32"/>
  <c r="AG59" i="32" s="1"/>
  <c r="AF59" i="32"/>
  <c r="D59" i="39"/>
  <c r="N59" i="39" s="1"/>
  <c r="G59" i="39"/>
  <c r="K59" i="39"/>
  <c r="E59" i="39"/>
  <c r="F59" i="39" s="1"/>
  <c r="O59" i="39" s="1"/>
  <c r="P59" i="39" s="1"/>
  <c r="B59" i="39"/>
  <c r="M59" i="39"/>
  <c r="AO60" i="32"/>
  <c r="AP60" i="32" s="1"/>
  <c r="AW60" i="32"/>
  <c r="AX60" i="32" s="1"/>
  <c r="AK60" i="32"/>
  <c r="AM60" i="32" s="1"/>
  <c r="AN60" i="32" s="1"/>
  <c r="AA60" i="32" s="1"/>
  <c r="AB60" i="32" s="1"/>
  <c r="P29" i="32"/>
  <c r="N29" i="32"/>
  <c r="C30" i="32"/>
  <c r="T29" i="32"/>
  <c r="R60" i="36"/>
  <c r="J60" i="36"/>
  <c r="K60" i="36"/>
  <c r="A65" i="38"/>
  <c r="L60" i="36"/>
  <c r="B65" i="38"/>
  <c r="N60" i="36"/>
  <c r="E60" i="36"/>
  <c r="P29" i="36"/>
  <c r="AL60" i="32"/>
  <c r="AY60" i="32" s="1"/>
  <c r="AZ60" i="32" s="1"/>
  <c r="BA60" i="32"/>
  <c r="S59" i="32"/>
  <c r="F60" i="32"/>
  <c r="G60" i="32" s="1"/>
  <c r="H60" i="32"/>
  <c r="I60" i="32" s="1"/>
  <c r="A61" i="32"/>
  <c r="J60" i="32"/>
  <c r="D60" i="32" s="1"/>
  <c r="M60" i="32"/>
  <c r="B60" i="32"/>
  <c r="H60" i="36" s="1"/>
  <c r="L60" i="39" l="1"/>
  <c r="AA60" i="39"/>
  <c r="Q60" i="39"/>
  <c r="AC60" i="39"/>
  <c r="T60" i="39"/>
  <c r="AB60" i="39"/>
  <c r="Y60" i="39"/>
  <c r="X60" i="39"/>
  <c r="W60" i="39"/>
  <c r="V60" i="39"/>
  <c r="Z60" i="39"/>
  <c r="U60" i="39"/>
  <c r="Z61" i="32"/>
  <c r="Y61" i="32"/>
  <c r="AI57" i="32"/>
  <c r="AJ57" i="32" s="1"/>
  <c r="AH58" i="32"/>
  <c r="G63" i="38" s="1"/>
  <c r="O60" i="32"/>
  <c r="O60" i="36"/>
  <c r="I65" i="38"/>
  <c r="V60" i="32"/>
  <c r="E60" i="32"/>
  <c r="D64" i="38"/>
  <c r="S59" i="36"/>
  <c r="F64" i="38"/>
  <c r="U59" i="36"/>
  <c r="AD60" i="32"/>
  <c r="AC60" i="32"/>
  <c r="AS60" i="32"/>
  <c r="AT60" i="32" s="1"/>
  <c r="B56" i="36"/>
  <c r="I56" i="39"/>
  <c r="D67" i="37" s="1"/>
  <c r="I56" i="36"/>
  <c r="C57" i="39"/>
  <c r="J57" i="39" s="1"/>
  <c r="AU60" i="32"/>
  <c r="AV60" i="32" s="1"/>
  <c r="H59" i="39"/>
  <c r="BB60" i="32"/>
  <c r="BC60" i="32" s="1"/>
  <c r="J61" i="38"/>
  <c r="H61" i="38"/>
  <c r="V56" i="36"/>
  <c r="F56" i="36"/>
  <c r="T59" i="36"/>
  <c r="E64" i="38"/>
  <c r="AQ60" i="32"/>
  <c r="AR60" i="32" s="1"/>
  <c r="C55" i="36"/>
  <c r="F66" i="37" s="1"/>
  <c r="E66" i="37"/>
  <c r="H66" i="37" s="1"/>
  <c r="J63" i="38"/>
  <c r="V58" i="36"/>
  <c r="H63" i="38"/>
  <c r="F58" i="36"/>
  <c r="F57" i="36"/>
  <c r="H62" i="38"/>
  <c r="J62" i="38"/>
  <c r="V57" i="36"/>
  <c r="E61" i="32"/>
  <c r="E60" i="39"/>
  <c r="F60" i="39"/>
  <c r="O60" i="39" s="1"/>
  <c r="M60" i="39"/>
  <c r="B60" i="39"/>
  <c r="G60" i="39"/>
  <c r="H60" i="39" s="1"/>
  <c r="D60" i="39"/>
  <c r="N60" i="39" s="1"/>
  <c r="P60" i="39" s="1"/>
  <c r="K60" i="39"/>
  <c r="C71" i="37"/>
  <c r="G71" i="37"/>
  <c r="B71" i="37"/>
  <c r="AE60" i="32"/>
  <c r="AF60" i="32"/>
  <c r="BB61" i="32"/>
  <c r="BC61" i="32" s="1"/>
  <c r="B61" i="36"/>
  <c r="C61" i="36" s="1"/>
  <c r="A61" i="39"/>
  <c r="A72" i="37"/>
  <c r="I72" i="37" s="1" a="1"/>
  <c r="I72" i="37" s="1"/>
  <c r="I61" i="36"/>
  <c r="A61" i="36"/>
  <c r="AW61" i="32"/>
  <c r="AX61" i="32" s="1"/>
  <c r="AM61" i="32"/>
  <c r="AN61" i="32" s="1"/>
  <c r="AC61" i="32"/>
  <c r="AQ61" i="32"/>
  <c r="AR61" i="32" s="1"/>
  <c r="AU61" i="32"/>
  <c r="AV61" i="32" s="1"/>
  <c r="AY61" i="32"/>
  <c r="AZ61" i="32" s="1"/>
  <c r="AO61" i="32"/>
  <c r="AP61" i="32" s="1"/>
  <c r="AS61" i="32"/>
  <c r="AT61" i="32" s="1"/>
  <c r="AK61" i="32"/>
  <c r="K30" i="32"/>
  <c r="L30" i="32"/>
  <c r="U29" i="32"/>
  <c r="D61" i="32"/>
  <c r="G66" i="38"/>
  <c r="N61" i="36"/>
  <c r="K61" i="36"/>
  <c r="R61" i="36"/>
  <c r="H66" i="38"/>
  <c r="O61" i="36"/>
  <c r="L61" i="36"/>
  <c r="E61" i="36"/>
  <c r="S61" i="36"/>
  <c r="I66" i="38"/>
  <c r="P61" i="36"/>
  <c r="F61" i="36"/>
  <c r="J66" i="38"/>
  <c r="T61" i="36"/>
  <c r="U61" i="36"/>
  <c r="V61" i="36"/>
  <c r="A66" i="38"/>
  <c r="B66" i="38"/>
  <c r="C66" i="38"/>
  <c r="D66" i="38"/>
  <c r="H61" i="36"/>
  <c r="F66" i="38"/>
  <c r="E66" i="38"/>
  <c r="J61" i="36"/>
  <c r="AA61" i="32"/>
  <c r="AB61" i="32" s="1"/>
  <c r="AD61" i="32" s="1"/>
  <c r="BA61" i="32"/>
  <c r="AL61" i="32"/>
  <c r="AG60" i="32"/>
  <c r="S60" i="32"/>
  <c r="AH59" i="32"/>
  <c r="G64" i="38" s="1"/>
  <c r="J61" i="32"/>
  <c r="K61" i="32"/>
  <c r="L61" i="32"/>
  <c r="N61" i="32"/>
  <c r="C61" i="32"/>
  <c r="P61" i="32"/>
  <c r="M61" i="32"/>
  <c r="O61" i="32"/>
  <c r="V61" i="32"/>
  <c r="B61" i="32"/>
  <c r="A62" i="32"/>
  <c r="F61" i="32"/>
  <c r="G61" i="32" s="1"/>
  <c r="H61" i="32"/>
  <c r="I61" i="32" s="1"/>
  <c r="Q61" i="39" l="1"/>
  <c r="AC61" i="39"/>
  <c r="L61" i="39"/>
  <c r="AA61" i="39"/>
  <c r="Z61" i="39"/>
  <c r="X61" i="39"/>
  <c r="Y61" i="39"/>
  <c r="W61" i="39"/>
  <c r="V61" i="39"/>
  <c r="T61" i="39"/>
  <c r="AB61" i="39"/>
  <c r="U61" i="39"/>
  <c r="Z62" i="32"/>
  <c r="Y62" i="32"/>
  <c r="AI58" i="32"/>
  <c r="AJ58" i="32" s="1"/>
  <c r="E65" i="38"/>
  <c r="T60" i="36"/>
  <c r="S60" i="36"/>
  <c r="D65" i="38"/>
  <c r="F65" i="38"/>
  <c r="U60" i="36"/>
  <c r="B57" i="36"/>
  <c r="I57" i="36"/>
  <c r="I57" i="39"/>
  <c r="D68" i="37" s="1"/>
  <c r="C58" i="39"/>
  <c r="J58" i="39" s="1"/>
  <c r="C56" i="36"/>
  <c r="F67" i="37" s="1"/>
  <c r="E67" i="37"/>
  <c r="H67" i="37" s="1"/>
  <c r="E62" i="32"/>
  <c r="AE61" i="32"/>
  <c r="AF61" i="32"/>
  <c r="B62" i="36"/>
  <c r="C62" i="36" s="1"/>
  <c r="A62" i="39"/>
  <c r="A73" i="37"/>
  <c r="I73" i="37" s="1" a="1"/>
  <c r="I73" i="37" s="1"/>
  <c r="I62" i="36"/>
  <c r="BB62" i="32"/>
  <c r="BC62" i="32" s="1"/>
  <c r="A62" i="36"/>
  <c r="F72" i="37"/>
  <c r="G72" i="37"/>
  <c r="D72" i="37"/>
  <c r="H72" i="37"/>
  <c r="C72" i="37"/>
  <c r="B72" i="37"/>
  <c r="E72" i="37"/>
  <c r="O61" i="39"/>
  <c r="G61" i="39"/>
  <c r="P61" i="39"/>
  <c r="M61" i="39"/>
  <c r="D61" i="39"/>
  <c r="N61" i="39" s="1"/>
  <c r="F61" i="39"/>
  <c r="E61" i="39"/>
  <c r="H61" i="39"/>
  <c r="I61" i="39"/>
  <c r="J61" i="39"/>
  <c r="C61" i="39"/>
  <c r="K61" i="39"/>
  <c r="B61" i="39"/>
  <c r="AM62" i="32"/>
  <c r="AN62" i="32" s="1"/>
  <c r="AC62" i="32"/>
  <c r="AW62" i="32"/>
  <c r="AX62" i="32" s="1"/>
  <c r="AQ62" i="32"/>
  <c r="AR62" i="32" s="1"/>
  <c r="AU62" i="32"/>
  <c r="AV62" i="32" s="1"/>
  <c r="AY62" i="32"/>
  <c r="AZ62" i="32" s="1"/>
  <c r="AS62" i="32"/>
  <c r="AT62" i="32" s="1"/>
  <c r="AO62" i="32"/>
  <c r="AP62" i="32" s="1"/>
  <c r="AK62" i="32"/>
  <c r="N30" i="32"/>
  <c r="P30" i="32"/>
  <c r="C31" i="32"/>
  <c r="T30" i="32"/>
  <c r="P30" i="36"/>
  <c r="T62" i="36"/>
  <c r="U62" i="36"/>
  <c r="V62" i="36"/>
  <c r="R62" i="36"/>
  <c r="S62" i="36"/>
  <c r="I67" i="38"/>
  <c r="J67" i="38"/>
  <c r="H62" i="36"/>
  <c r="A67" i="38"/>
  <c r="O62" i="36"/>
  <c r="J62" i="36"/>
  <c r="F62" i="36"/>
  <c r="B67" i="38"/>
  <c r="P62" i="36"/>
  <c r="K62" i="36"/>
  <c r="D67" i="38"/>
  <c r="C67" i="38"/>
  <c r="L62" i="36"/>
  <c r="E67" i="38"/>
  <c r="H67" i="38"/>
  <c r="F67" i="38"/>
  <c r="G67" i="38"/>
  <c r="D62" i="32"/>
  <c r="E62" i="36"/>
  <c r="N62" i="36"/>
  <c r="AA62" i="32"/>
  <c r="AB62" i="32" s="1"/>
  <c r="AD62" i="32" s="1"/>
  <c r="AL62" i="32"/>
  <c r="BA62" i="32"/>
  <c r="AI59" i="32"/>
  <c r="U61" i="32"/>
  <c r="AH60" i="32"/>
  <c r="G65" i="38" s="1"/>
  <c r="AG61" i="32"/>
  <c r="AH61" i="32" s="1"/>
  <c r="S61" i="32"/>
  <c r="T61" i="32"/>
  <c r="B62" i="32"/>
  <c r="O62" i="32"/>
  <c r="C62" i="32"/>
  <c r="P62" i="32"/>
  <c r="A63" i="32"/>
  <c r="M62" i="32"/>
  <c r="N62" i="32"/>
  <c r="V62" i="32"/>
  <c r="F62" i="32"/>
  <c r="G62" i="32" s="1"/>
  <c r="H62" i="32"/>
  <c r="I62" i="32" s="1"/>
  <c r="L62" i="32"/>
  <c r="J62" i="32"/>
  <c r="K62" i="32"/>
  <c r="Q62" i="39" l="1"/>
  <c r="AC62" i="39"/>
  <c r="L62" i="39"/>
  <c r="AA62" i="39"/>
  <c r="X62" i="39"/>
  <c r="V62" i="39"/>
  <c r="T62" i="39"/>
  <c r="AB62" i="39"/>
  <c r="Y62" i="39"/>
  <c r="Z62" i="39"/>
  <c r="W62" i="39"/>
  <c r="U62" i="39"/>
  <c r="Z63" i="32"/>
  <c r="Y63" i="32"/>
  <c r="B58" i="36"/>
  <c r="I58" i="36"/>
  <c r="I58" i="39"/>
  <c r="D69" i="37" s="1"/>
  <c r="C59" i="39"/>
  <c r="J59" i="39" s="1"/>
  <c r="C57" i="36"/>
  <c r="F68" i="37" s="1"/>
  <c r="E68" i="37"/>
  <c r="H68" i="37" s="1"/>
  <c r="V59" i="36"/>
  <c r="F59" i="36"/>
  <c r="J64" i="38"/>
  <c r="H64" i="38"/>
  <c r="E63" i="32"/>
  <c r="I63" i="36"/>
  <c r="B63" i="36"/>
  <c r="C63" i="36" s="1"/>
  <c r="A74" i="37"/>
  <c r="I74" i="37" s="1" a="1"/>
  <c r="I74" i="37" s="1"/>
  <c r="BB63" i="32"/>
  <c r="BC63" i="32" s="1"/>
  <c r="A63" i="36"/>
  <c r="A63" i="39"/>
  <c r="H73" i="37"/>
  <c r="G73" i="37"/>
  <c r="D73" i="37"/>
  <c r="C73" i="37"/>
  <c r="B73" i="37"/>
  <c r="F73" i="37"/>
  <c r="E73" i="37"/>
  <c r="P62" i="39"/>
  <c r="J62" i="39"/>
  <c r="M62" i="39"/>
  <c r="B62" i="39"/>
  <c r="I62" i="39"/>
  <c r="G62" i="39"/>
  <c r="F62" i="39"/>
  <c r="K62" i="39"/>
  <c r="E62" i="39"/>
  <c r="D62" i="39"/>
  <c r="N62" i="39" s="1"/>
  <c r="C62" i="39"/>
  <c r="H62" i="39"/>
  <c r="O62" i="39"/>
  <c r="AE62" i="32"/>
  <c r="AF62" i="32"/>
  <c r="AS63" i="32"/>
  <c r="AT63" i="32" s="1"/>
  <c r="AW63" i="32"/>
  <c r="AX63" i="32" s="1"/>
  <c r="AM63" i="32"/>
  <c r="AN63" i="32" s="1"/>
  <c r="AC63" i="32"/>
  <c r="AY63" i="32"/>
  <c r="AZ63" i="32" s="1"/>
  <c r="AQ63" i="32"/>
  <c r="AR63" i="32" s="1"/>
  <c r="AU63" i="32"/>
  <c r="AV63" i="32" s="1"/>
  <c r="AO63" i="32"/>
  <c r="AP63" i="32" s="1"/>
  <c r="AK63" i="32"/>
  <c r="L31" i="32"/>
  <c r="K31" i="32"/>
  <c r="D63" i="32"/>
  <c r="R63" i="36"/>
  <c r="B68" i="38"/>
  <c r="A68" i="38"/>
  <c r="C68" i="38"/>
  <c r="D68" i="38"/>
  <c r="E63" i="36"/>
  <c r="H63" i="36"/>
  <c r="S63" i="36"/>
  <c r="E68" i="38"/>
  <c r="N63" i="36"/>
  <c r="F63" i="36"/>
  <c r="F68" i="38"/>
  <c r="O63" i="36"/>
  <c r="T63" i="36"/>
  <c r="U63" i="36"/>
  <c r="G68" i="38"/>
  <c r="P63" i="36"/>
  <c r="V63" i="36"/>
  <c r="H68" i="38"/>
  <c r="J63" i="36"/>
  <c r="J68" i="38"/>
  <c r="I68" i="38"/>
  <c r="K63" i="36"/>
  <c r="L63" i="36"/>
  <c r="U30" i="32"/>
  <c r="AA63" i="32"/>
  <c r="AB63" i="32" s="1"/>
  <c r="AD63" i="32" s="1"/>
  <c r="AL63" i="32"/>
  <c r="BA63" i="32"/>
  <c r="T62" i="32"/>
  <c r="AJ59" i="32"/>
  <c r="AI61" i="32"/>
  <c r="AG62" i="32"/>
  <c r="AI60" i="32"/>
  <c r="U62" i="32"/>
  <c r="S62" i="32"/>
  <c r="H63" i="32"/>
  <c r="I63" i="32" s="1"/>
  <c r="V63" i="32"/>
  <c r="A64" i="32"/>
  <c r="J63" i="32"/>
  <c r="L63" i="32"/>
  <c r="N63" i="32"/>
  <c r="P63" i="32"/>
  <c r="B63" i="32"/>
  <c r="C63" i="32"/>
  <c r="F63" i="32"/>
  <c r="G63" i="32" s="1"/>
  <c r="O63" i="32"/>
  <c r="K63" i="32"/>
  <c r="M63" i="32"/>
  <c r="Q63" i="39" l="1"/>
  <c r="AC63" i="39"/>
  <c r="L63" i="39"/>
  <c r="AA63" i="39"/>
  <c r="Z63" i="39"/>
  <c r="Y63" i="39"/>
  <c r="X63" i="39"/>
  <c r="W63" i="39"/>
  <c r="T63" i="39"/>
  <c r="AB63" i="39"/>
  <c r="V63" i="39"/>
  <c r="U63" i="39"/>
  <c r="Z64" i="32"/>
  <c r="Y64" i="32"/>
  <c r="I59" i="36"/>
  <c r="I59" i="39"/>
  <c r="D70" i="37" s="1"/>
  <c r="B59" i="36"/>
  <c r="C60" i="39"/>
  <c r="J60" i="39" s="1"/>
  <c r="J65" i="38"/>
  <c r="V60" i="36"/>
  <c r="H65" i="38"/>
  <c r="F60" i="36"/>
  <c r="C58" i="36"/>
  <c r="F69" i="37" s="1"/>
  <c r="E69" i="37"/>
  <c r="H69" i="37" s="1"/>
  <c r="E64" i="32"/>
  <c r="P63" i="39"/>
  <c r="B63" i="39"/>
  <c r="F63" i="39"/>
  <c r="K63" i="39"/>
  <c r="O63" i="39"/>
  <c r="E63" i="39"/>
  <c r="M63" i="39"/>
  <c r="D63" i="39"/>
  <c r="N63" i="39" s="1"/>
  <c r="G63" i="39"/>
  <c r="C63" i="39"/>
  <c r="I63" i="39"/>
  <c r="J63" i="39"/>
  <c r="H63" i="39"/>
  <c r="AE63" i="32"/>
  <c r="AF63" i="32"/>
  <c r="H74" i="37"/>
  <c r="G74" i="37"/>
  <c r="D74" i="37"/>
  <c r="F74" i="37"/>
  <c r="C74" i="37"/>
  <c r="B74" i="37"/>
  <c r="E74" i="37"/>
  <c r="I64" i="36"/>
  <c r="A75" i="37"/>
  <c r="I75" i="37" s="1" a="1"/>
  <c r="I75" i="37" s="1"/>
  <c r="BB64" i="32"/>
  <c r="BC64" i="32" s="1"/>
  <c r="A64" i="36"/>
  <c r="A64" i="39"/>
  <c r="B64" i="36"/>
  <c r="C64" i="36" s="1"/>
  <c r="AS64" i="32"/>
  <c r="AT64" i="32" s="1"/>
  <c r="AW64" i="32"/>
  <c r="AX64" i="32" s="1"/>
  <c r="AM64" i="32"/>
  <c r="AN64" i="32" s="1"/>
  <c r="AC64" i="32"/>
  <c r="AQ64" i="32"/>
  <c r="AR64" i="32" s="1"/>
  <c r="AU64" i="32"/>
  <c r="AV64" i="32" s="1"/>
  <c r="AO64" i="32"/>
  <c r="AP64" i="32" s="1"/>
  <c r="AY64" i="32"/>
  <c r="AZ64" i="32" s="1"/>
  <c r="AK64" i="32"/>
  <c r="V64" i="36"/>
  <c r="D64" i="32"/>
  <c r="T64" i="36"/>
  <c r="U64" i="36"/>
  <c r="A69" i="38"/>
  <c r="H64" i="36"/>
  <c r="B69" i="38"/>
  <c r="C69" i="38"/>
  <c r="J64" i="36"/>
  <c r="D69" i="38"/>
  <c r="E69" i="38"/>
  <c r="L64" i="36"/>
  <c r="H69" i="38"/>
  <c r="E64" i="36"/>
  <c r="F69" i="38"/>
  <c r="G69" i="38"/>
  <c r="I69" i="38"/>
  <c r="F64" i="36"/>
  <c r="J69" i="38"/>
  <c r="N64" i="36"/>
  <c r="R64" i="36"/>
  <c r="O64" i="36"/>
  <c r="S64" i="36"/>
  <c r="K64" i="36"/>
  <c r="P64" i="36"/>
  <c r="P31" i="36"/>
  <c r="P31" i="32"/>
  <c r="C32" i="32"/>
  <c r="T31" i="32"/>
  <c r="N31" i="32"/>
  <c r="AL64" i="32"/>
  <c r="BA64" i="32"/>
  <c r="AA64" i="32"/>
  <c r="AB64" i="32" s="1"/>
  <c r="AD64" i="32" s="1"/>
  <c r="S63" i="32"/>
  <c r="AH62" i="32"/>
  <c r="AJ61" i="32"/>
  <c r="U63" i="32"/>
  <c r="T63" i="32"/>
  <c r="AG63" i="32"/>
  <c r="AH63" i="32" s="1"/>
  <c r="AJ60" i="32"/>
  <c r="M64" i="32"/>
  <c r="N64" i="32"/>
  <c r="B64" i="32"/>
  <c r="O64" i="32"/>
  <c r="V64" i="32"/>
  <c r="A65" i="32"/>
  <c r="C64" i="32"/>
  <c r="F64" i="32"/>
  <c r="G64" i="32" s="1"/>
  <c r="H64" i="32"/>
  <c r="I64" i="32" s="1"/>
  <c r="J64" i="32"/>
  <c r="P64" i="32"/>
  <c r="L64" i="32"/>
  <c r="K64" i="32"/>
  <c r="Q64" i="39" l="1"/>
  <c r="AC64" i="39"/>
  <c r="L64" i="39"/>
  <c r="AA64" i="39"/>
  <c r="T64" i="39"/>
  <c r="AB64" i="39"/>
  <c r="X64" i="39"/>
  <c r="W64" i="39"/>
  <c r="Y64" i="39"/>
  <c r="Z64" i="39"/>
  <c r="V64" i="39"/>
  <c r="U64" i="39"/>
  <c r="Z65" i="32"/>
  <c r="Y65" i="32"/>
  <c r="B60" i="36"/>
  <c r="I60" i="39"/>
  <c r="D71" i="37" s="1"/>
  <c r="I60" i="36"/>
  <c r="C59" i="36"/>
  <c r="F70" i="37" s="1"/>
  <c r="E70" i="37"/>
  <c r="H70" i="37" s="1"/>
  <c r="E65" i="32"/>
  <c r="C75" i="37"/>
  <c r="H75" i="37"/>
  <c r="F75" i="37"/>
  <c r="G75" i="37"/>
  <c r="E75" i="37"/>
  <c r="D75" i="37"/>
  <c r="B75" i="37"/>
  <c r="I65" i="36"/>
  <c r="A76" i="37"/>
  <c r="I76" i="37" s="1" a="1"/>
  <c r="I76" i="37" s="1"/>
  <c r="A65" i="39"/>
  <c r="BB65" i="32"/>
  <c r="BC65" i="32" s="1"/>
  <c r="A65" i="36"/>
  <c r="B65" i="36"/>
  <c r="C65" i="36" s="1"/>
  <c r="K64" i="39"/>
  <c r="P64" i="39"/>
  <c r="J64" i="39"/>
  <c r="F64" i="39"/>
  <c r="M64" i="39"/>
  <c r="E64" i="39"/>
  <c r="B64" i="39"/>
  <c r="D64" i="39"/>
  <c r="N64" i="39" s="1"/>
  <c r="O64" i="39"/>
  <c r="I64" i="39"/>
  <c r="H64" i="39"/>
  <c r="C64" i="39"/>
  <c r="G64" i="39"/>
  <c r="AE64" i="32"/>
  <c r="AF64" i="32"/>
  <c r="AO65" i="32"/>
  <c r="AP65" i="32" s="1"/>
  <c r="AS65" i="32"/>
  <c r="AT65" i="32" s="1"/>
  <c r="AW65" i="32"/>
  <c r="AX65" i="32" s="1"/>
  <c r="AM65" i="32"/>
  <c r="AN65" i="32" s="1"/>
  <c r="AC65" i="32"/>
  <c r="AQ65" i="32"/>
  <c r="AR65" i="32" s="1"/>
  <c r="AY65" i="32"/>
  <c r="AZ65" i="32" s="1"/>
  <c r="AU65" i="32"/>
  <c r="AV65" i="32" s="1"/>
  <c r="AK65" i="32"/>
  <c r="K32" i="32"/>
  <c r="L32" i="32"/>
  <c r="U31" i="32"/>
  <c r="D65" i="32"/>
  <c r="S65" i="36"/>
  <c r="T65" i="36"/>
  <c r="R65" i="36"/>
  <c r="C70" i="38"/>
  <c r="N65" i="36"/>
  <c r="F70" i="38"/>
  <c r="U65" i="36"/>
  <c r="D70" i="38"/>
  <c r="O65" i="36"/>
  <c r="V65" i="36"/>
  <c r="E70" i="38"/>
  <c r="P65" i="36"/>
  <c r="G70" i="38"/>
  <c r="J65" i="36"/>
  <c r="H70" i="38"/>
  <c r="H65" i="36"/>
  <c r="J70" i="38"/>
  <c r="I70" i="38"/>
  <c r="K65" i="36"/>
  <c r="B70" i="38"/>
  <c r="L65" i="36"/>
  <c r="E65" i="36"/>
  <c r="A70" i="38"/>
  <c r="F65" i="36"/>
  <c r="AA65" i="32"/>
  <c r="AB65" i="32" s="1"/>
  <c r="AD65" i="32" s="1"/>
  <c r="AL65" i="32"/>
  <c r="BA65" i="32"/>
  <c r="U64" i="32"/>
  <c r="AI63" i="32"/>
  <c r="T64" i="32"/>
  <c r="AG64" i="32"/>
  <c r="S64" i="32"/>
  <c r="AI62" i="32"/>
  <c r="F65" i="32"/>
  <c r="G65" i="32" s="1"/>
  <c r="H65" i="32"/>
  <c r="I65" i="32" s="1"/>
  <c r="V65" i="32"/>
  <c r="J65" i="32"/>
  <c r="O65" i="32"/>
  <c r="P65" i="32"/>
  <c r="A66" i="32"/>
  <c r="B65" i="32"/>
  <c r="C65" i="32"/>
  <c r="K65" i="32"/>
  <c r="N65" i="32"/>
  <c r="L65" i="32"/>
  <c r="M65" i="32"/>
  <c r="Q65" i="39" l="1"/>
  <c r="AC65" i="39"/>
  <c r="L65" i="39"/>
  <c r="AA65" i="39"/>
  <c r="X65" i="39"/>
  <c r="V65" i="39"/>
  <c r="AB65" i="39"/>
  <c r="Y65" i="39"/>
  <c r="W65" i="39"/>
  <c r="Z65" i="39"/>
  <c r="T65" i="39"/>
  <c r="U65" i="39"/>
  <c r="Z66" i="32"/>
  <c r="Y66" i="32"/>
  <c r="C60" i="36"/>
  <c r="F71" i="37" s="1"/>
  <c r="E71" i="37"/>
  <c r="H71" i="37" s="1"/>
  <c r="E66" i="32"/>
  <c r="B65" i="39"/>
  <c r="C65" i="39"/>
  <c r="M65" i="39"/>
  <c r="K65" i="39"/>
  <c r="J65" i="39"/>
  <c r="F65" i="39"/>
  <c r="I65" i="39"/>
  <c r="H65" i="39"/>
  <c r="G65" i="39"/>
  <c r="D65" i="39"/>
  <c r="N65" i="39" s="1"/>
  <c r="E65" i="39"/>
  <c r="P65" i="39"/>
  <c r="O65" i="39"/>
  <c r="AE65" i="32"/>
  <c r="AF65" i="32"/>
  <c r="A77" i="37"/>
  <c r="I77" i="37" s="1" a="1"/>
  <c r="I77" i="37" s="1"/>
  <c r="I66" i="36"/>
  <c r="A66" i="39"/>
  <c r="BB66" i="32"/>
  <c r="BC66" i="32" s="1"/>
  <c r="B66" i="36"/>
  <c r="C66" i="36" s="1"/>
  <c r="A66" i="36"/>
  <c r="F76" i="37"/>
  <c r="H76" i="37"/>
  <c r="C76" i="37"/>
  <c r="D76" i="37"/>
  <c r="G76" i="37"/>
  <c r="E76" i="37"/>
  <c r="B76" i="37"/>
  <c r="AY66" i="32"/>
  <c r="AZ66" i="32" s="1"/>
  <c r="AO66" i="32"/>
  <c r="AP66" i="32" s="1"/>
  <c r="AS66" i="32"/>
  <c r="AT66" i="32" s="1"/>
  <c r="AC66" i="32"/>
  <c r="AW66" i="32"/>
  <c r="AX66" i="32" s="1"/>
  <c r="AM66" i="32"/>
  <c r="AN66" i="32" s="1"/>
  <c r="AQ66" i="32"/>
  <c r="AR66" i="32" s="1"/>
  <c r="AU66" i="32"/>
  <c r="AV66" i="32" s="1"/>
  <c r="AK66" i="32"/>
  <c r="D66" i="32"/>
  <c r="V66" i="36"/>
  <c r="E71" i="38"/>
  <c r="J66" i="36"/>
  <c r="F66" i="36"/>
  <c r="F71" i="38"/>
  <c r="K66" i="36"/>
  <c r="G71" i="38"/>
  <c r="L66" i="36"/>
  <c r="H71" i="38"/>
  <c r="R66" i="36"/>
  <c r="S66" i="36"/>
  <c r="I71" i="38"/>
  <c r="O66" i="36"/>
  <c r="T66" i="36"/>
  <c r="J71" i="38"/>
  <c r="P66" i="36"/>
  <c r="U66" i="36"/>
  <c r="A71" i="38"/>
  <c r="B71" i="38"/>
  <c r="D71" i="38"/>
  <c r="C71" i="38"/>
  <c r="H66" i="36"/>
  <c r="E66" i="36"/>
  <c r="N66" i="36"/>
  <c r="P32" i="32"/>
  <c r="N32" i="32"/>
  <c r="C33" i="32"/>
  <c r="T32" i="32"/>
  <c r="P32" i="36"/>
  <c r="AA66" i="32"/>
  <c r="AB66" i="32" s="1"/>
  <c r="AD66" i="32" s="1"/>
  <c r="BA66" i="32"/>
  <c r="AL66" i="32"/>
  <c r="U65" i="32"/>
  <c r="T65" i="32"/>
  <c r="S65" i="32"/>
  <c r="AG65" i="32"/>
  <c r="AJ63" i="32"/>
  <c r="AJ62" i="32"/>
  <c r="AH64" i="32"/>
  <c r="K66" i="32"/>
  <c r="L66" i="32"/>
  <c r="M66" i="32"/>
  <c r="B66" i="32"/>
  <c r="O66" i="32"/>
  <c r="P66" i="32"/>
  <c r="C66" i="32"/>
  <c r="V66" i="32"/>
  <c r="A67" i="32"/>
  <c r="F66" i="32"/>
  <c r="G66" i="32" s="1"/>
  <c r="H66" i="32"/>
  <c r="I66" i="32" s="1"/>
  <c r="N66" i="32"/>
  <c r="J66" i="32"/>
  <c r="AC66" i="39" l="1"/>
  <c r="Q66" i="39"/>
  <c r="L66" i="39"/>
  <c r="AA66" i="39"/>
  <c r="AB66" i="39"/>
  <c r="X66" i="39"/>
  <c r="W66" i="39"/>
  <c r="V66" i="39"/>
  <c r="Z66" i="39"/>
  <c r="T66" i="39"/>
  <c r="Y66" i="39"/>
  <c r="U66" i="39"/>
  <c r="Z67" i="32"/>
  <c r="Y67" i="32"/>
  <c r="E67" i="32"/>
  <c r="P66" i="39"/>
  <c r="F66" i="39"/>
  <c r="C66" i="39"/>
  <c r="O66" i="39"/>
  <c r="K66" i="39"/>
  <c r="M66" i="39"/>
  <c r="J66" i="39"/>
  <c r="B66" i="39"/>
  <c r="D66" i="39"/>
  <c r="N66" i="39" s="1"/>
  <c r="I66" i="39"/>
  <c r="H66" i="39"/>
  <c r="G66" i="39"/>
  <c r="E66" i="39"/>
  <c r="AE66" i="32"/>
  <c r="AF66" i="32"/>
  <c r="H77" i="37"/>
  <c r="C77" i="37"/>
  <c r="D77" i="37"/>
  <c r="G77" i="37"/>
  <c r="B77" i="37"/>
  <c r="F77" i="37"/>
  <c r="E77" i="37"/>
  <c r="I67" i="36"/>
  <c r="A67" i="39"/>
  <c r="BB67" i="32"/>
  <c r="BC67" i="32" s="1"/>
  <c r="B67" i="36"/>
  <c r="C67" i="36" s="1"/>
  <c r="A78" i="37"/>
  <c r="I78" i="37" s="1" a="1"/>
  <c r="I78" i="37" s="1"/>
  <c r="A67" i="36"/>
  <c r="AY67" i="32"/>
  <c r="AZ67" i="32" s="1"/>
  <c r="AO67" i="32"/>
  <c r="AP67" i="32" s="1"/>
  <c r="AS67" i="32"/>
  <c r="AT67" i="32" s="1"/>
  <c r="AM67" i="32"/>
  <c r="AN67" i="32" s="1"/>
  <c r="AW67" i="32"/>
  <c r="AX67" i="32" s="1"/>
  <c r="AC67" i="32"/>
  <c r="AU67" i="32"/>
  <c r="AV67" i="32" s="1"/>
  <c r="AQ67" i="32"/>
  <c r="AR67" i="32" s="1"/>
  <c r="AK67" i="32"/>
  <c r="U32" i="32"/>
  <c r="S67" i="36"/>
  <c r="V67" i="36"/>
  <c r="D67" i="32"/>
  <c r="R67" i="36"/>
  <c r="G72" i="38"/>
  <c r="H72" i="38"/>
  <c r="E67" i="36"/>
  <c r="J72" i="38"/>
  <c r="I72" i="38"/>
  <c r="F67" i="36"/>
  <c r="O67" i="36"/>
  <c r="J67" i="36"/>
  <c r="L67" i="36"/>
  <c r="A72" i="38"/>
  <c r="N67" i="36"/>
  <c r="K67" i="36"/>
  <c r="B72" i="38"/>
  <c r="T67" i="36"/>
  <c r="U67" i="36"/>
  <c r="C72" i="38"/>
  <c r="P67" i="36"/>
  <c r="F72" i="38"/>
  <c r="D72" i="38"/>
  <c r="E72" i="38"/>
  <c r="H67" i="36"/>
  <c r="K33" i="32"/>
  <c r="L33" i="32"/>
  <c r="AA67" i="32"/>
  <c r="AB67" i="32" s="1"/>
  <c r="AD67" i="32" s="1"/>
  <c r="AL67" i="32"/>
  <c r="BA67" i="32"/>
  <c r="AI64" i="32"/>
  <c r="U66" i="32"/>
  <c r="T66" i="32"/>
  <c r="AG66" i="32"/>
  <c r="S66" i="32"/>
  <c r="AH65" i="32"/>
  <c r="C67" i="32"/>
  <c r="P67" i="32"/>
  <c r="F67" i="32"/>
  <c r="G67" i="32" s="1"/>
  <c r="H67" i="32"/>
  <c r="I67" i="32" s="1"/>
  <c r="V67" i="32"/>
  <c r="M67" i="32"/>
  <c r="N67" i="32"/>
  <c r="O67" i="32"/>
  <c r="A68" i="32"/>
  <c r="B67" i="32"/>
  <c r="L67" i="32"/>
  <c r="J67" i="32"/>
  <c r="K67" i="32"/>
  <c r="AC67" i="39" l="1"/>
  <c r="L67" i="39"/>
  <c r="AA67" i="39"/>
  <c r="Q67" i="39"/>
  <c r="X67" i="39"/>
  <c r="Z67" i="39"/>
  <c r="T67" i="39"/>
  <c r="Y67" i="39"/>
  <c r="W67" i="39"/>
  <c r="AB67" i="39"/>
  <c r="V67" i="39"/>
  <c r="U67" i="39"/>
  <c r="Z68" i="32"/>
  <c r="Y68" i="32"/>
  <c r="E68" i="32"/>
  <c r="I68" i="36"/>
  <c r="A68" i="39"/>
  <c r="BB68" i="32"/>
  <c r="BC68" i="32" s="1"/>
  <c r="B68" i="36"/>
  <c r="C68" i="36" s="1"/>
  <c r="A79" i="37"/>
  <c r="I79" i="37" s="1" a="1"/>
  <c r="I79" i="37" s="1"/>
  <c r="A68" i="36"/>
  <c r="O67" i="39"/>
  <c r="B67" i="39"/>
  <c r="P67" i="39"/>
  <c r="D67" i="39"/>
  <c r="N67" i="39" s="1"/>
  <c r="C67" i="39"/>
  <c r="M67" i="39"/>
  <c r="F67" i="39"/>
  <c r="K67" i="39"/>
  <c r="J67" i="39"/>
  <c r="E67" i="39"/>
  <c r="I67" i="39"/>
  <c r="H67" i="39"/>
  <c r="G67" i="39"/>
  <c r="AF67" i="32"/>
  <c r="AE67" i="32"/>
  <c r="H78" i="37"/>
  <c r="G78" i="37"/>
  <c r="D78" i="37"/>
  <c r="B78" i="37"/>
  <c r="C78" i="37"/>
  <c r="F78" i="37"/>
  <c r="E78" i="37"/>
  <c r="AU68" i="32"/>
  <c r="AV68" i="32" s="1"/>
  <c r="AY68" i="32"/>
  <c r="AZ68" i="32" s="1"/>
  <c r="AO68" i="32"/>
  <c r="AP68" i="32" s="1"/>
  <c r="AS68" i="32"/>
  <c r="AT68" i="32" s="1"/>
  <c r="AW68" i="32"/>
  <c r="AX68" i="32" s="1"/>
  <c r="AM68" i="32"/>
  <c r="AN68" i="32" s="1"/>
  <c r="AC68" i="32"/>
  <c r="AQ68" i="32"/>
  <c r="AR68" i="32" s="1"/>
  <c r="AK68" i="32"/>
  <c r="P33" i="32"/>
  <c r="N33" i="32"/>
  <c r="C34" i="32"/>
  <c r="T33" i="32"/>
  <c r="D68" i="32"/>
  <c r="U68" i="36"/>
  <c r="I73" i="38"/>
  <c r="L68" i="36"/>
  <c r="V68" i="36"/>
  <c r="J73" i="38"/>
  <c r="A73" i="38"/>
  <c r="F68" i="36"/>
  <c r="B73" i="38"/>
  <c r="D73" i="38"/>
  <c r="C73" i="38"/>
  <c r="E73" i="38"/>
  <c r="H68" i="36"/>
  <c r="R68" i="36"/>
  <c r="F73" i="38"/>
  <c r="N68" i="36"/>
  <c r="H73" i="38"/>
  <c r="S68" i="36"/>
  <c r="G73" i="38"/>
  <c r="O68" i="36"/>
  <c r="J68" i="36"/>
  <c r="T68" i="36"/>
  <c r="E68" i="36"/>
  <c r="K68" i="36"/>
  <c r="P68" i="36"/>
  <c r="P33" i="36"/>
  <c r="AL68" i="32"/>
  <c r="BA68" i="32"/>
  <c r="AA68" i="32"/>
  <c r="AB68" i="32" s="1"/>
  <c r="AD68" i="32" s="1"/>
  <c r="AI65" i="32"/>
  <c r="AG67" i="32"/>
  <c r="U67" i="32"/>
  <c r="T67" i="32"/>
  <c r="S67" i="32"/>
  <c r="AH66" i="32"/>
  <c r="AJ64" i="32"/>
  <c r="A69" i="32"/>
  <c r="K68" i="32"/>
  <c r="M68" i="32"/>
  <c r="J68" i="32"/>
  <c r="L68" i="32"/>
  <c r="N68" i="32"/>
  <c r="O68" i="32"/>
  <c r="P68" i="32"/>
  <c r="B68" i="32"/>
  <c r="C68" i="32"/>
  <c r="V68" i="32"/>
  <c r="H68" i="32"/>
  <c r="I68" i="32" s="1"/>
  <c r="F68" i="32"/>
  <c r="G68" i="32" s="1"/>
  <c r="L68" i="39" l="1"/>
  <c r="AA68" i="39"/>
  <c r="Q68" i="39"/>
  <c r="AC68" i="39"/>
  <c r="AB68" i="39"/>
  <c r="X68" i="39"/>
  <c r="V68" i="39"/>
  <c r="Z68" i="39"/>
  <c r="Y68" i="39"/>
  <c r="T68" i="39"/>
  <c r="W68" i="39"/>
  <c r="U68" i="39"/>
  <c r="Z69" i="32"/>
  <c r="Y69" i="32"/>
  <c r="E69" i="32"/>
  <c r="C79" i="37"/>
  <c r="H79" i="37"/>
  <c r="F79" i="37"/>
  <c r="E79" i="37"/>
  <c r="G79" i="37"/>
  <c r="D79" i="37"/>
  <c r="B79" i="37"/>
  <c r="A80" i="37"/>
  <c r="I80" i="37" s="1" a="1"/>
  <c r="I80" i="37" s="1"/>
  <c r="BB69" i="32"/>
  <c r="BC69" i="32" s="1"/>
  <c r="B69" i="36"/>
  <c r="C69" i="36" s="1"/>
  <c r="A69" i="39"/>
  <c r="I69" i="36"/>
  <c r="A69" i="36"/>
  <c r="AF68" i="32"/>
  <c r="AE68" i="32"/>
  <c r="F68" i="39"/>
  <c r="C68" i="39"/>
  <c r="J68" i="39"/>
  <c r="H68" i="39"/>
  <c r="G68" i="39"/>
  <c r="O68" i="39"/>
  <c r="D68" i="39"/>
  <c r="N68" i="39" s="1"/>
  <c r="M68" i="39"/>
  <c r="K68" i="39"/>
  <c r="B68" i="39"/>
  <c r="E68" i="39"/>
  <c r="P68" i="39"/>
  <c r="I68" i="39"/>
  <c r="AU69" i="32"/>
  <c r="AV69" i="32" s="1"/>
  <c r="AY69" i="32"/>
  <c r="AZ69" i="32" s="1"/>
  <c r="AO69" i="32"/>
  <c r="AP69" i="32" s="1"/>
  <c r="AS69" i="32"/>
  <c r="AT69" i="32" s="1"/>
  <c r="AW69" i="32"/>
  <c r="AX69" i="32" s="1"/>
  <c r="AQ69" i="32"/>
  <c r="AR69" i="32" s="1"/>
  <c r="AC69" i="32"/>
  <c r="AM69" i="32"/>
  <c r="AN69" i="32" s="1"/>
  <c r="AK69" i="32"/>
  <c r="U69" i="36"/>
  <c r="D69" i="32"/>
  <c r="S69" i="36"/>
  <c r="T69" i="36"/>
  <c r="N69" i="36"/>
  <c r="B74" i="38"/>
  <c r="O69" i="36"/>
  <c r="H69" i="36"/>
  <c r="R69" i="36"/>
  <c r="A74" i="38"/>
  <c r="P69" i="36"/>
  <c r="V69" i="36"/>
  <c r="C74" i="38"/>
  <c r="K69" i="36"/>
  <c r="F74" i="38"/>
  <c r="D74" i="38"/>
  <c r="L69" i="36"/>
  <c r="E69" i="36"/>
  <c r="E74" i="38"/>
  <c r="F69" i="36"/>
  <c r="G74" i="38"/>
  <c r="J74" i="38"/>
  <c r="H74" i="38"/>
  <c r="I74" i="38"/>
  <c r="J69" i="36"/>
  <c r="K34" i="32"/>
  <c r="L34" i="32"/>
  <c r="U33" i="32"/>
  <c r="AL69" i="32"/>
  <c r="BA69" i="32"/>
  <c r="AA69" i="32"/>
  <c r="AB69" i="32" s="1"/>
  <c r="AD69" i="32" s="1"/>
  <c r="S68" i="32"/>
  <c r="AH67" i="32"/>
  <c r="AI66" i="32"/>
  <c r="U68" i="32"/>
  <c r="AG68" i="32"/>
  <c r="AJ65" i="32"/>
  <c r="T68" i="32"/>
  <c r="N69" i="32"/>
  <c r="C69" i="32"/>
  <c r="P69" i="32"/>
  <c r="F69" i="32"/>
  <c r="G69" i="32" s="1"/>
  <c r="H69" i="32"/>
  <c r="I69" i="32" s="1"/>
  <c r="J69" i="32"/>
  <c r="K69" i="32"/>
  <c r="L69" i="32"/>
  <c r="M69" i="32"/>
  <c r="O69" i="32"/>
  <c r="A70" i="32"/>
  <c r="B69" i="32"/>
  <c r="V69" i="32"/>
  <c r="L69" i="39" l="1"/>
  <c r="AA69" i="39"/>
  <c r="Q69" i="39"/>
  <c r="AC69" i="39"/>
  <c r="Z69" i="39"/>
  <c r="Y69" i="39"/>
  <c r="V69" i="39"/>
  <c r="X69" i="39"/>
  <c r="T69" i="39"/>
  <c r="W69" i="39"/>
  <c r="AB69" i="39"/>
  <c r="Z70" i="32"/>
  <c r="Y70" i="32"/>
  <c r="U69" i="39"/>
  <c r="E70" i="32"/>
  <c r="B69" i="39"/>
  <c r="K69" i="39"/>
  <c r="J69" i="39"/>
  <c r="I69" i="39"/>
  <c r="E69" i="39"/>
  <c r="C69" i="39"/>
  <c r="F69" i="39"/>
  <c r="O69" i="39"/>
  <c r="M69" i="39"/>
  <c r="H69" i="39"/>
  <c r="D69" i="39"/>
  <c r="N69" i="39" s="1"/>
  <c r="P69" i="39"/>
  <c r="G69" i="39"/>
  <c r="F80" i="37"/>
  <c r="H80" i="37"/>
  <c r="C80" i="37"/>
  <c r="G80" i="37"/>
  <c r="D80" i="37"/>
  <c r="B80" i="37"/>
  <c r="E80" i="37"/>
  <c r="AF69" i="32"/>
  <c r="AE69" i="32"/>
  <c r="A70" i="39"/>
  <c r="BB70" i="32"/>
  <c r="BC70" i="32" s="1"/>
  <c r="B70" i="36"/>
  <c r="C70" i="36" s="1"/>
  <c r="A81" i="37"/>
  <c r="I81" i="37" s="1" a="1"/>
  <c r="I81" i="37" s="1"/>
  <c r="A70" i="36"/>
  <c r="I70" i="36"/>
  <c r="AQ70" i="32"/>
  <c r="AR70" i="32" s="1"/>
  <c r="AU70" i="32"/>
  <c r="AV70" i="32" s="1"/>
  <c r="AY70" i="32"/>
  <c r="AZ70" i="32" s="1"/>
  <c r="AW70" i="32"/>
  <c r="AX70" i="32" s="1"/>
  <c r="AO70" i="32"/>
  <c r="AP70" i="32" s="1"/>
  <c r="AS70" i="32"/>
  <c r="AT70" i="32" s="1"/>
  <c r="AM70" i="32"/>
  <c r="AN70" i="32" s="1"/>
  <c r="AC70" i="32"/>
  <c r="AK70" i="32"/>
  <c r="P34" i="36"/>
  <c r="N34" i="32"/>
  <c r="P34" i="32"/>
  <c r="C35" i="32"/>
  <c r="T34" i="32"/>
  <c r="S70" i="36"/>
  <c r="A75" i="38"/>
  <c r="B75" i="38"/>
  <c r="C75" i="38"/>
  <c r="D75" i="38"/>
  <c r="R70" i="36"/>
  <c r="E75" i="38"/>
  <c r="O70" i="36"/>
  <c r="T70" i="36"/>
  <c r="F75" i="38"/>
  <c r="P70" i="36"/>
  <c r="H75" i="38"/>
  <c r="U70" i="36"/>
  <c r="G75" i="38"/>
  <c r="H70" i="36"/>
  <c r="E70" i="36"/>
  <c r="V70" i="36"/>
  <c r="I75" i="38"/>
  <c r="J70" i="36"/>
  <c r="F70" i="36"/>
  <c r="J75" i="38"/>
  <c r="K70" i="36"/>
  <c r="D70" i="32"/>
  <c r="L70" i="36"/>
  <c r="N70" i="36"/>
  <c r="AA70" i="32"/>
  <c r="AB70" i="32" s="1"/>
  <c r="AD70" i="32" s="1"/>
  <c r="AL70" i="32"/>
  <c r="BA70" i="32"/>
  <c r="AI67" i="32"/>
  <c r="S69" i="32"/>
  <c r="AJ66" i="32"/>
  <c r="T69" i="32"/>
  <c r="AH68" i="32"/>
  <c r="U69" i="32"/>
  <c r="AG69" i="32"/>
  <c r="A71" i="32"/>
  <c r="C70" i="32"/>
  <c r="V70" i="32"/>
  <c r="F70" i="32"/>
  <c r="G70" i="32" s="1"/>
  <c r="H70" i="32"/>
  <c r="I70" i="32" s="1"/>
  <c r="J70" i="32"/>
  <c r="K70" i="32"/>
  <c r="L70" i="32"/>
  <c r="M70" i="32"/>
  <c r="N70" i="32"/>
  <c r="B70" i="32"/>
  <c r="O70" i="32"/>
  <c r="P70" i="32"/>
  <c r="L70" i="39" l="1"/>
  <c r="AA70" i="39"/>
  <c r="Q70" i="39"/>
  <c r="AC70" i="39"/>
  <c r="Z70" i="39"/>
  <c r="X70" i="39"/>
  <c r="W70" i="39"/>
  <c r="T70" i="39"/>
  <c r="AB70" i="39"/>
  <c r="Y70" i="39"/>
  <c r="V70" i="39"/>
  <c r="U70" i="39"/>
  <c r="Z71" i="32"/>
  <c r="Y71" i="32"/>
  <c r="E71" i="32"/>
  <c r="C70" i="39"/>
  <c r="K70" i="39"/>
  <c r="B70" i="39"/>
  <c r="I70" i="39"/>
  <c r="M70" i="39"/>
  <c r="P70" i="39"/>
  <c r="H70" i="39"/>
  <c r="O70" i="39"/>
  <c r="F70" i="39"/>
  <c r="E70" i="39"/>
  <c r="G70" i="39"/>
  <c r="D70" i="39"/>
  <c r="N70" i="39" s="1"/>
  <c r="J70" i="39"/>
  <c r="AF70" i="32"/>
  <c r="AE70" i="32"/>
  <c r="H81" i="37"/>
  <c r="G81" i="37"/>
  <c r="D81" i="37"/>
  <c r="C81" i="37"/>
  <c r="E81" i="37"/>
  <c r="F81" i="37"/>
  <c r="B81" i="37"/>
  <c r="A71" i="39"/>
  <c r="BB71" i="32"/>
  <c r="BC71" i="32" s="1"/>
  <c r="B71" i="36"/>
  <c r="C71" i="36" s="1"/>
  <c r="A71" i="36"/>
  <c r="I71" i="36"/>
  <c r="A82" i="37"/>
  <c r="I82" i="37" s="1" a="1"/>
  <c r="I82" i="37" s="1"/>
  <c r="AQ71" i="32"/>
  <c r="AR71" i="32" s="1"/>
  <c r="AU71" i="32"/>
  <c r="AV71" i="32" s="1"/>
  <c r="AY71" i="32"/>
  <c r="AZ71" i="32" s="1"/>
  <c r="AO71" i="32"/>
  <c r="AP71" i="32" s="1"/>
  <c r="AS71" i="32"/>
  <c r="AT71" i="32" s="1"/>
  <c r="AM71" i="32"/>
  <c r="AN71" i="32" s="1"/>
  <c r="AC71" i="32"/>
  <c r="AW71" i="32"/>
  <c r="AX71" i="32" s="1"/>
  <c r="AK71" i="32"/>
  <c r="D71" i="32"/>
  <c r="U71" i="36"/>
  <c r="V71" i="36"/>
  <c r="C76" i="38"/>
  <c r="F76" i="38"/>
  <c r="D76" i="38"/>
  <c r="J71" i="36"/>
  <c r="E76" i="38"/>
  <c r="K71" i="36"/>
  <c r="G76" i="38"/>
  <c r="H76" i="38"/>
  <c r="O71" i="36"/>
  <c r="I76" i="38"/>
  <c r="N71" i="36"/>
  <c r="J76" i="38"/>
  <c r="R71" i="36"/>
  <c r="P71" i="36"/>
  <c r="S71" i="36"/>
  <c r="E71" i="36"/>
  <c r="B76" i="38"/>
  <c r="T71" i="36"/>
  <c r="A76" i="38"/>
  <c r="F71" i="36"/>
  <c r="L71" i="36"/>
  <c r="H71" i="36"/>
  <c r="K35" i="32"/>
  <c r="L35" i="32"/>
  <c r="U34" i="32"/>
  <c r="AA71" i="32"/>
  <c r="AB71" i="32" s="1"/>
  <c r="AD71" i="32" s="1"/>
  <c r="AL71" i="32"/>
  <c r="BA71" i="32"/>
  <c r="S70" i="32"/>
  <c r="AH69" i="32"/>
  <c r="U70" i="32"/>
  <c r="T70" i="32"/>
  <c r="AI68" i="32"/>
  <c r="AG70" i="32"/>
  <c r="AJ67" i="32"/>
  <c r="L71" i="32"/>
  <c r="N71" i="32"/>
  <c r="O71" i="32"/>
  <c r="P71" i="32"/>
  <c r="B71" i="32"/>
  <c r="C71" i="32"/>
  <c r="F71" i="32"/>
  <c r="G71" i="32" s="1"/>
  <c r="V71" i="32"/>
  <c r="A72" i="32"/>
  <c r="H71" i="32"/>
  <c r="I71" i="32" s="1"/>
  <c r="M71" i="32"/>
  <c r="J71" i="32"/>
  <c r="K71" i="32"/>
  <c r="AA71" i="39" l="1"/>
  <c r="L71" i="39"/>
  <c r="Q71" i="39"/>
  <c r="AC71" i="39"/>
  <c r="X71" i="39"/>
  <c r="Z71" i="39"/>
  <c r="V71" i="39"/>
  <c r="T71" i="39"/>
  <c r="AB71" i="39"/>
  <c r="W71" i="39"/>
  <c r="Y71" i="39"/>
  <c r="U71" i="39"/>
  <c r="Z72" i="32"/>
  <c r="Y72" i="32"/>
  <c r="E72" i="32"/>
  <c r="D71" i="39"/>
  <c r="N71" i="39" s="1"/>
  <c r="E71" i="39"/>
  <c r="G71" i="39"/>
  <c r="O71" i="39"/>
  <c r="C71" i="39"/>
  <c r="M71" i="39"/>
  <c r="J71" i="39"/>
  <c r="F71" i="39"/>
  <c r="P71" i="39"/>
  <c r="K71" i="39"/>
  <c r="B71" i="39"/>
  <c r="H71" i="39"/>
  <c r="I71" i="39"/>
  <c r="AE71" i="32"/>
  <c r="AF71" i="32"/>
  <c r="H82" i="37"/>
  <c r="G82" i="37"/>
  <c r="D82" i="37"/>
  <c r="F82" i="37"/>
  <c r="C82" i="37"/>
  <c r="B82" i="37"/>
  <c r="E82" i="37"/>
  <c r="BB72" i="32"/>
  <c r="BC72" i="32" s="1"/>
  <c r="B72" i="36"/>
  <c r="C72" i="36" s="1"/>
  <c r="A83" i="37"/>
  <c r="I83" i="37" s="1" a="1"/>
  <c r="I83" i="37" s="1"/>
  <c r="A72" i="36"/>
  <c r="I72" i="36"/>
  <c r="A72" i="39"/>
  <c r="AM72" i="32"/>
  <c r="AN72" i="32" s="1"/>
  <c r="AC72" i="32"/>
  <c r="AQ72" i="32"/>
  <c r="AR72" i="32" s="1"/>
  <c r="AU72" i="32"/>
  <c r="AV72" i="32" s="1"/>
  <c r="AY72" i="32"/>
  <c r="AZ72" i="32" s="1"/>
  <c r="AO72" i="32"/>
  <c r="AP72" i="32" s="1"/>
  <c r="AW72" i="32"/>
  <c r="AX72" i="32" s="1"/>
  <c r="AS72" i="32"/>
  <c r="AT72" i="32" s="1"/>
  <c r="AK72" i="32"/>
  <c r="T35" i="32"/>
  <c r="C36" i="32"/>
  <c r="P35" i="32"/>
  <c r="N35" i="32"/>
  <c r="P35" i="36"/>
  <c r="R72" i="36"/>
  <c r="U72" i="36"/>
  <c r="D72" i="32"/>
  <c r="T72" i="36"/>
  <c r="E77" i="38"/>
  <c r="F72" i="36"/>
  <c r="V72" i="36"/>
  <c r="F77" i="38"/>
  <c r="G77" i="38"/>
  <c r="H77" i="38"/>
  <c r="I77" i="38"/>
  <c r="H72" i="36"/>
  <c r="K72" i="36"/>
  <c r="J77" i="38"/>
  <c r="J72" i="36"/>
  <c r="A77" i="38"/>
  <c r="L72" i="36"/>
  <c r="B77" i="38"/>
  <c r="N72" i="36"/>
  <c r="D77" i="38"/>
  <c r="C77" i="38"/>
  <c r="O72" i="36"/>
  <c r="S72" i="36"/>
  <c r="E72" i="36"/>
  <c r="P72" i="36"/>
  <c r="BA72" i="32"/>
  <c r="AL72" i="32"/>
  <c r="AA72" i="32"/>
  <c r="AB72" i="32" s="1"/>
  <c r="AD72" i="32" s="1"/>
  <c r="AJ68" i="32"/>
  <c r="AI69" i="32"/>
  <c r="AG71" i="32"/>
  <c r="U71" i="32"/>
  <c r="AH70" i="32"/>
  <c r="S71" i="32"/>
  <c r="T71" i="32"/>
  <c r="J72" i="32"/>
  <c r="K72" i="32"/>
  <c r="L72" i="32"/>
  <c r="M72" i="32"/>
  <c r="N72" i="32"/>
  <c r="O72" i="32"/>
  <c r="P72" i="32"/>
  <c r="B72" i="32"/>
  <c r="C72" i="32"/>
  <c r="V72" i="32"/>
  <c r="F72" i="32"/>
  <c r="G72" i="32" s="1"/>
  <c r="H72" i="32"/>
  <c r="I72" i="32" s="1"/>
  <c r="A73" i="32"/>
  <c r="AA72" i="39" l="1"/>
  <c r="L72" i="39"/>
  <c r="Q72" i="39"/>
  <c r="AC72" i="39"/>
  <c r="T72" i="39"/>
  <c r="Z72" i="39"/>
  <c r="AB72" i="39"/>
  <c r="Y72" i="39"/>
  <c r="X72" i="39"/>
  <c r="W72" i="39"/>
  <c r="V72" i="39"/>
  <c r="U72" i="39"/>
  <c r="Z73" i="32"/>
  <c r="Y73" i="32"/>
  <c r="E73" i="32"/>
  <c r="B73" i="36"/>
  <c r="C73" i="36" s="1"/>
  <c r="A84" i="37"/>
  <c r="I84" i="37" s="1" a="1"/>
  <c r="I84" i="37" s="1"/>
  <c r="I73" i="36"/>
  <c r="A73" i="39"/>
  <c r="BB73" i="32"/>
  <c r="BC73" i="32" s="1"/>
  <c r="A73" i="36"/>
  <c r="E72" i="39"/>
  <c r="J72" i="39"/>
  <c r="P72" i="39"/>
  <c r="H72" i="39"/>
  <c r="D72" i="39"/>
  <c r="N72" i="39" s="1"/>
  <c r="F72" i="39"/>
  <c r="I72" i="39"/>
  <c r="O72" i="39"/>
  <c r="B72" i="39"/>
  <c r="M72" i="39"/>
  <c r="G72" i="39"/>
  <c r="C72" i="39"/>
  <c r="K72" i="39"/>
  <c r="AE72" i="32"/>
  <c r="AF72" i="32"/>
  <c r="C83" i="37"/>
  <c r="G83" i="37"/>
  <c r="D83" i="37"/>
  <c r="H83" i="37"/>
  <c r="F83" i="37"/>
  <c r="E83" i="37"/>
  <c r="B83" i="37"/>
  <c r="AW73" i="32"/>
  <c r="AX73" i="32" s="1"/>
  <c r="AM73" i="32"/>
  <c r="AN73" i="32" s="1"/>
  <c r="AC73" i="32"/>
  <c r="AQ73" i="32"/>
  <c r="AR73" i="32" s="1"/>
  <c r="AU73" i="32"/>
  <c r="AV73" i="32" s="1"/>
  <c r="AY73" i="32"/>
  <c r="AZ73" i="32" s="1"/>
  <c r="AO73" i="32"/>
  <c r="AP73" i="32" s="1"/>
  <c r="AS73" i="32"/>
  <c r="AT73" i="32" s="1"/>
  <c r="AK73" i="32"/>
  <c r="D73" i="32"/>
  <c r="G78" i="38"/>
  <c r="N73" i="36"/>
  <c r="K73" i="36"/>
  <c r="J78" i="38"/>
  <c r="H78" i="38"/>
  <c r="O73" i="36"/>
  <c r="L73" i="36"/>
  <c r="E73" i="36"/>
  <c r="R73" i="36"/>
  <c r="I78" i="38"/>
  <c r="P73" i="36"/>
  <c r="F73" i="36"/>
  <c r="S73" i="36"/>
  <c r="T73" i="36"/>
  <c r="B78" i="38"/>
  <c r="U73" i="36"/>
  <c r="V73" i="36"/>
  <c r="A78" i="38"/>
  <c r="C78" i="38"/>
  <c r="F78" i="38"/>
  <c r="D78" i="38"/>
  <c r="H73" i="36"/>
  <c r="E78" i="38"/>
  <c r="J73" i="36"/>
  <c r="U35" i="32"/>
  <c r="K36" i="32"/>
  <c r="L36" i="32"/>
  <c r="AL73" i="32"/>
  <c r="BA73" i="32"/>
  <c r="AA73" i="32"/>
  <c r="AB73" i="32" s="1"/>
  <c r="AD73" i="32" s="1"/>
  <c r="AI70" i="32"/>
  <c r="T72" i="32"/>
  <c r="AH71" i="32"/>
  <c r="S72" i="32"/>
  <c r="AJ69" i="32"/>
  <c r="U72" i="32"/>
  <c r="AG72" i="32"/>
  <c r="J73" i="32"/>
  <c r="L73" i="32"/>
  <c r="F73" i="32"/>
  <c r="G73" i="32" s="1"/>
  <c r="V73" i="32"/>
  <c r="A74" i="32"/>
  <c r="H73" i="32"/>
  <c r="I73" i="32" s="1"/>
  <c r="K73" i="32"/>
  <c r="M73" i="32"/>
  <c r="N73" i="32"/>
  <c r="O73" i="32"/>
  <c r="C73" i="32"/>
  <c r="P73" i="32"/>
  <c r="B73" i="32"/>
  <c r="Q73" i="39" l="1"/>
  <c r="AC73" i="39"/>
  <c r="L73" i="39"/>
  <c r="AA73" i="39"/>
  <c r="Z73" i="39"/>
  <c r="X73" i="39"/>
  <c r="Y73" i="39"/>
  <c r="T73" i="39"/>
  <c r="AB73" i="39"/>
  <c r="W73" i="39"/>
  <c r="V73" i="39"/>
  <c r="U73" i="39"/>
  <c r="Z74" i="32"/>
  <c r="Y74" i="32"/>
  <c r="E74" i="32"/>
  <c r="B74" i="36"/>
  <c r="C74" i="36" s="1"/>
  <c r="I74" i="36"/>
  <c r="A74" i="39"/>
  <c r="A74" i="36"/>
  <c r="A85" i="37"/>
  <c r="I85" i="37" s="1" a="1"/>
  <c r="I85" i="37" s="1"/>
  <c r="BB74" i="32"/>
  <c r="BC74" i="32" s="1"/>
  <c r="AE73" i="32"/>
  <c r="AF73" i="32"/>
  <c r="O73" i="39"/>
  <c r="E73" i="39"/>
  <c r="D73" i="39"/>
  <c r="N73" i="39" s="1"/>
  <c r="P73" i="39"/>
  <c r="C73" i="39"/>
  <c r="B73" i="39"/>
  <c r="G73" i="39"/>
  <c r="M73" i="39"/>
  <c r="I73" i="39"/>
  <c r="K73" i="39"/>
  <c r="J73" i="39"/>
  <c r="F73" i="39"/>
  <c r="H73" i="39"/>
  <c r="F84" i="37"/>
  <c r="C84" i="37"/>
  <c r="G84" i="37"/>
  <c r="D84" i="37"/>
  <c r="H84" i="37"/>
  <c r="B84" i="37"/>
  <c r="E84" i="37"/>
  <c r="AM74" i="32"/>
  <c r="AN74" i="32" s="1"/>
  <c r="AC74" i="32"/>
  <c r="AW74" i="32"/>
  <c r="AX74" i="32" s="1"/>
  <c r="AQ74" i="32"/>
  <c r="AR74" i="32" s="1"/>
  <c r="AU74" i="32"/>
  <c r="AV74" i="32" s="1"/>
  <c r="AY74" i="32"/>
  <c r="AZ74" i="32" s="1"/>
  <c r="AS74" i="32"/>
  <c r="AT74" i="32" s="1"/>
  <c r="AO74" i="32"/>
  <c r="AP74" i="32" s="1"/>
  <c r="AK74" i="32"/>
  <c r="P36" i="36"/>
  <c r="T74" i="36"/>
  <c r="R74" i="36"/>
  <c r="S74" i="36"/>
  <c r="I79" i="38"/>
  <c r="J79" i="38"/>
  <c r="H74" i="36"/>
  <c r="A79" i="38"/>
  <c r="O74" i="36"/>
  <c r="J74" i="36"/>
  <c r="F74" i="36"/>
  <c r="B79" i="38"/>
  <c r="P74" i="36"/>
  <c r="K74" i="36"/>
  <c r="D79" i="38"/>
  <c r="C79" i="38"/>
  <c r="L74" i="36"/>
  <c r="U74" i="36"/>
  <c r="V74" i="36"/>
  <c r="E79" i="38"/>
  <c r="D74" i="32"/>
  <c r="F79" i="38"/>
  <c r="H79" i="38"/>
  <c r="G79" i="38"/>
  <c r="E74" i="36"/>
  <c r="N74" i="36"/>
  <c r="P36" i="32"/>
  <c r="C37" i="32"/>
  <c r="N36" i="32"/>
  <c r="T36" i="32"/>
  <c r="AA74" i="32"/>
  <c r="AB74" i="32" s="1"/>
  <c r="AD74" i="32" s="1"/>
  <c r="BA74" i="32"/>
  <c r="AL74" i="32"/>
  <c r="AJ70" i="32"/>
  <c r="AG73" i="32"/>
  <c r="U73" i="32"/>
  <c r="S73" i="32"/>
  <c r="AI71" i="32"/>
  <c r="T73" i="32"/>
  <c r="AH72" i="32"/>
  <c r="B74" i="32"/>
  <c r="O74" i="32"/>
  <c r="N74" i="32"/>
  <c r="P74" i="32"/>
  <c r="C74" i="32"/>
  <c r="F74" i="32"/>
  <c r="G74" i="32" s="1"/>
  <c r="V74" i="32"/>
  <c r="A75" i="32"/>
  <c r="H74" i="32"/>
  <c r="I74" i="32" s="1"/>
  <c r="J74" i="32"/>
  <c r="M74" i="32"/>
  <c r="L74" i="32"/>
  <c r="K74" i="32"/>
  <c r="Q74" i="39" l="1"/>
  <c r="AC74" i="39"/>
  <c r="L74" i="39"/>
  <c r="AA74" i="39"/>
  <c r="X74" i="39"/>
  <c r="V74" i="39"/>
  <c r="T74" i="39"/>
  <c r="Y74" i="39"/>
  <c r="W74" i="39"/>
  <c r="AB74" i="39"/>
  <c r="Z74" i="39"/>
  <c r="Z75" i="32"/>
  <c r="Y75" i="32"/>
  <c r="U74" i="39"/>
  <c r="E75" i="32"/>
  <c r="AE74" i="32"/>
  <c r="AF74" i="32"/>
  <c r="H85" i="37"/>
  <c r="G85" i="37"/>
  <c r="D85" i="37"/>
  <c r="C85" i="37"/>
  <c r="F85" i="37"/>
  <c r="E85" i="37"/>
  <c r="B85" i="37"/>
  <c r="K74" i="39"/>
  <c r="H74" i="39"/>
  <c r="O74" i="39"/>
  <c r="J74" i="39"/>
  <c r="M74" i="39"/>
  <c r="G74" i="39"/>
  <c r="F74" i="39"/>
  <c r="E74" i="39"/>
  <c r="B74" i="39"/>
  <c r="C74" i="39"/>
  <c r="I74" i="39"/>
  <c r="D74" i="39"/>
  <c r="N74" i="39" s="1"/>
  <c r="P74" i="39"/>
  <c r="I75" i="36"/>
  <c r="A75" i="39"/>
  <c r="B75" i="36"/>
  <c r="C75" i="36" s="1"/>
  <c r="A86" i="37"/>
  <c r="I86" i="37" s="1" a="1"/>
  <c r="I86" i="37" s="1"/>
  <c r="BB75" i="32"/>
  <c r="BC75" i="32" s="1"/>
  <c r="A75" i="36"/>
  <c r="AS75" i="32"/>
  <c r="AT75" i="32" s="1"/>
  <c r="AY75" i="32"/>
  <c r="AZ75" i="32" s="1"/>
  <c r="AW75" i="32"/>
  <c r="AX75" i="32" s="1"/>
  <c r="AM75" i="32"/>
  <c r="AN75" i="32" s="1"/>
  <c r="AC75" i="32"/>
  <c r="AQ75" i="32"/>
  <c r="AR75" i="32" s="1"/>
  <c r="AU75" i="32"/>
  <c r="AV75" i="32" s="1"/>
  <c r="AO75" i="32"/>
  <c r="AP75" i="32" s="1"/>
  <c r="AK75" i="32"/>
  <c r="L37" i="32"/>
  <c r="K37" i="32"/>
  <c r="D75" i="32"/>
  <c r="R75" i="36"/>
  <c r="V75" i="36"/>
  <c r="A80" i="38"/>
  <c r="B80" i="38"/>
  <c r="C80" i="38"/>
  <c r="D80" i="38"/>
  <c r="E75" i="36"/>
  <c r="H75" i="36"/>
  <c r="E80" i="38"/>
  <c r="N75" i="36"/>
  <c r="F75" i="36"/>
  <c r="F80" i="38"/>
  <c r="O75" i="36"/>
  <c r="G80" i="38"/>
  <c r="P75" i="36"/>
  <c r="J80" i="38"/>
  <c r="S75" i="36"/>
  <c r="H80" i="38"/>
  <c r="J75" i="36"/>
  <c r="T75" i="36"/>
  <c r="I80" i="38"/>
  <c r="K75" i="36"/>
  <c r="U75" i="36"/>
  <c r="L75" i="36"/>
  <c r="U36" i="32"/>
  <c r="AA75" i="32"/>
  <c r="AB75" i="32" s="1"/>
  <c r="AD75" i="32" s="1"/>
  <c r="AL75" i="32"/>
  <c r="BA75" i="32"/>
  <c r="T74" i="32"/>
  <c r="AI72" i="32"/>
  <c r="AG74" i="32"/>
  <c r="U74" i="32"/>
  <c r="AJ71" i="32"/>
  <c r="S74" i="32"/>
  <c r="AH73" i="32"/>
  <c r="H75" i="32"/>
  <c r="I75" i="32" s="1"/>
  <c r="V75" i="32"/>
  <c r="J75" i="32"/>
  <c r="K75" i="32"/>
  <c r="L75" i="32"/>
  <c r="M75" i="32"/>
  <c r="N75" i="32"/>
  <c r="O75" i="32"/>
  <c r="P75" i="32"/>
  <c r="B75" i="32"/>
  <c r="C75" i="32"/>
  <c r="A76" i="32"/>
  <c r="F75" i="32"/>
  <c r="G75" i="32" s="1"/>
  <c r="Q75" i="39" l="1"/>
  <c r="AC75" i="39"/>
  <c r="L75" i="39"/>
  <c r="AA75" i="39"/>
  <c r="Z75" i="39"/>
  <c r="T75" i="39"/>
  <c r="AB75" i="39"/>
  <c r="X75" i="39"/>
  <c r="Y75" i="39"/>
  <c r="W75" i="39"/>
  <c r="V75" i="39"/>
  <c r="Z76" i="32"/>
  <c r="Y76" i="32"/>
  <c r="U75" i="39"/>
  <c r="E76" i="32"/>
  <c r="P75" i="39"/>
  <c r="H75" i="39"/>
  <c r="B75" i="39"/>
  <c r="O75" i="39"/>
  <c r="G75" i="39"/>
  <c r="I75" i="39"/>
  <c r="K75" i="39"/>
  <c r="M75" i="39"/>
  <c r="F75" i="39"/>
  <c r="J75" i="39"/>
  <c r="E75" i="39"/>
  <c r="D75" i="39"/>
  <c r="N75" i="39" s="1"/>
  <c r="C75" i="39"/>
  <c r="AE75" i="32"/>
  <c r="AF75" i="32"/>
  <c r="I76" i="36"/>
  <c r="A76" i="39"/>
  <c r="A87" i="37"/>
  <c r="I87" i="37" s="1" a="1"/>
  <c r="I87" i="37" s="1"/>
  <c r="BB76" i="32"/>
  <c r="BC76" i="32" s="1"/>
  <c r="B76" i="36"/>
  <c r="C76" i="36" s="1"/>
  <c r="A76" i="36"/>
  <c r="H86" i="37"/>
  <c r="F86" i="37"/>
  <c r="G86" i="37"/>
  <c r="D86" i="37"/>
  <c r="B86" i="37"/>
  <c r="C86" i="37"/>
  <c r="E86" i="37"/>
  <c r="AS76" i="32"/>
  <c r="AT76" i="32" s="1"/>
  <c r="AW76" i="32"/>
  <c r="AX76" i="32" s="1"/>
  <c r="AM76" i="32"/>
  <c r="AN76" i="32" s="1"/>
  <c r="AC76" i="32"/>
  <c r="AQ76" i="32"/>
  <c r="AR76" i="32" s="1"/>
  <c r="AU76" i="32"/>
  <c r="AV76" i="32" s="1"/>
  <c r="AO76" i="32"/>
  <c r="AP76" i="32" s="1"/>
  <c r="AY76" i="32"/>
  <c r="AZ76" i="32" s="1"/>
  <c r="AK76" i="32"/>
  <c r="V76" i="36"/>
  <c r="D76" i="32"/>
  <c r="T76" i="36"/>
  <c r="U76" i="36"/>
  <c r="A81" i="38"/>
  <c r="H76" i="36"/>
  <c r="D81" i="38"/>
  <c r="R76" i="36"/>
  <c r="B81" i="38"/>
  <c r="S76" i="36"/>
  <c r="C81" i="38"/>
  <c r="J76" i="36"/>
  <c r="E81" i="38"/>
  <c r="L76" i="36"/>
  <c r="H81" i="38"/>
  <c r="F81" i="38"/>
  <c r="E76" i="36"/>
  <c r="G81" i="38"/>
  <c r="I81" i="38"/>
  <c r="F76" i="36"/>
  <c r="J81" i="38"/>
  <c r="N76" i="36"/>
  <c r="O76" i="36"/>
  <c r="P76" i="36"/>
  <c r="K76" i="36"/>
  <c r="P37" i="36"/>
  <c r="N37" i="32"/>
  <c r="P37" i="32"/>
  <c r="C38" i="32"/>
  <c r="T37" i="32"/>
  <c r="AA76" i="32"/>
  <c r="AB76" i="32" s="1"/>
  <c r="AD76" i="32" s="1"/>
  <c r="AL76" i="32"/>
  <c r="BA76" i="32"/>
  <c r="AI73" i="32"/>
  <c r="AH74" i="32"/>
  <c r="AJ72" i="32"/>
  <c r="AG75" i="32"/>
  <c r="S75" i="32"/>
  <c r="U75" i="32"/>
  <c r="T75" i="32"/>
  <c r="M76" i="32"/>
  <c r="B76" i="32"/>
  <c r="O76" i="32"/>
  <c r="F76" i="32"/>
  <c r="G76" i="32" s="1"/>
  <c r="V76" i="32"/>
  <c r="A77" i="32"/>
  <c r="H76" i="32"/>
  <c r="I76" i="32" s="1"/>
  <c r="J76" i="32"/>
  <c r="K76" i="32"/>
  <c r="L76" i="32"/>
  <c r="N76" i="32"/>
  <c r="P76" i="32"/>
  <c r="C76" i="32"/>
  <c r="Q76" i="39" l="1"/>
  <c r="AC76" i="39"/>
  <c r="L76" i="39"/>
  <c r="AA76" i="39"/>
  <c r="T76" i="39"/>
  <c r="AB76" i="39"/>
  <c r="X76" i="39"/>
  <c r="Y76" i="39"/>
  <c r="W76" i="39"/>
  <c r="V76" i="39"/>
  <c r="Z76" i="39"/>
  <c r="U76" i="39"/>
  <c r="Z77" i="32"/>
  <c r="Y77" i="32"/>
  <c r="E77" i="32"/>
  <c r="C87" i="37"/>
  <c r="H87" i="37"/>
  <c r="F87" i="37"/>
  <c r="E87" i="37"/>
  <c r="D87" i="37"/>
  <c r="G87" i="37"/>
  <c r="B87" i="37"/>
  <c r="A88" i="37"/>
  <c r="I88" i="37" s="1" a="1"/>
  <c r="I88" i="37" s="1"/>
  <c r="I77" i="36"/>
  <c r="A77" i="39"/>
  <c r="BB77" i="32"/>
  <c r="BC77" i="32" s="1"/>
  <c r="A77" i="36"/>
  <c r="B77" i="36"/>
  <c r="C77" i="36" s="1"/>
  <c r="AE76" i="32"/>
  <c r="AF76" i="32"/>
  <c r="K76" i="39"/>
  <c r="P76" i="39"/>
  <c r="B76" i="39"/>
  <c r="C76" i="39"/>
  <c r="J76" i="39"/>
  <c r="M76" i="39"/>
  <c r="D76" i="39"/>
  <c r="N76" i="39" s="1"/>
  <c r="O76" i="39"/>
  <c r="H76" i="39"/>
  <c r="I76" i="39"/>
  <c r="G76" i="39"/>
  <c r="F76" i="39"/>
  <c r="E76" i="39"/>
  <c r="AO77" i="32"/>
  <c r="AP77" i="32" s="1"/>
  <c r="AS77" i="32"/>
  <c r="AT77" i="32" s="1"/>
  <c r="AW77" i="32"/>
  <c r="AX77" i="32" s="1"/>
  <c r="AU77" i="32"/>
  <c r="AV77" i="32" s="1"/>
  <c r="AM77" i="32"/>
  <c r="AN77" i="32" s="1"/>
  <c r="AC77" i="32"/>
  <c r="AQ77" i="32"/>
  <c r="AR77" i="32" s="1"/>
  <c r="AY77" i="32"/>
  <c r="AZ77" i="32" s="1"/>
  <c r="AK77" i="32"/>
  <c r="L38" i="32"/>
  <c r="K38" i="32"/>
  <c r="U37" i="32"/>
  <c r="D77" i="32"/>
  <c r="T77" i="36"/>
  <c r="C82" i="38"/>
  <c r="N77" i="36"/>
  <c r="D82" i="38"/>
  <c r="O77" i="36"/>
  <c r="E82" i="38"/>
  <c r="P77" i="36"/>
  <c r="F82" i="38"/>
  <c r="R77" i="36"/>
  <c r="S77" i="36"/>
  <c r="G82" i="38"/>
  <c r="U77" i="36"/>
  <c r="H82" i="38"/>
  <c r="H77" i="36"/>
  <c r="J82" i="38"/>
  <c r="V77" i="36"/>
  <c r="I82" i="38"/>
  <c r="J77" i="36"/>
  <c r="K77" i="36"/>
  <c r="L77" i="36"/>
  <c r="E77" i="36"/>
  <c r="B82" i="38"/>
  <c r="A82" i="38"/>
  <c r="F77" i="36"/>
  <c r="AA77" i="32"/>
  <c r="AB77" i="32" s="1"/>
  <c r="AD77" i="32" s="1"/>
  <c r="BA77" i="32"/>
  <c r="AL77" i="32"/>
  <c r="AG76" i="32"/>
  <c r="AH76" i="32" s="1"/>
  <c r="U76" i="32"/>
  <c r="AI74" i="32"/>
  <c r="AJ73" i="32"/>
  <c r="AH75" i="32"/>
  <c r="T76" i="32"/>
  <c r="S76" i="32"/>
  <c r="F77" i="32"/>
  <c r="G77" i="32" s="1"/>
  <c r="H77" i="32"/>
  <c r="I77" i="32" s="1"/>
  <c r="V77" i="32"/>
  <c r="O77" i="32"/>
  <c r="P77" i="32"/>
  <c r="B77" i="32"/>
  <c r="C77" i="32"/>
  <c r="A78" i="32"/>
  <c r="J77" i="32"/>
  <c r="K77" i="32"/>
  <c r="N77" i="32"/>
  <c r="L77" i="32"/>
  <c r="M77" i="32"/>
  <c r="Q77" i="39" l="1"/>
  <c r="AC77" i="39"/>
  <c r="L77" i="39"/>
  <c r="AA77" i="39"/>
  <c r="X77" i="39"/>
  <c r="V77" i="39"/>
  <c r="AB77" i="39"/>
  <c r="T77" i="39"/>
  <c r="Y77" i="39"/>
  <c r="W77" i="39"/>
  <c r="Z77" i="39"/>
  <c r="U77" i="39"/>
  <c r="Z78" i="32"/>
  <c r="Y78" i="32"/>
  <c r="E78" i="32"/>
  <c r="P77" i="39"/>
  <c r="G77" i="39"/>
  <c r="E77" i="39"/>
  <c r="F77" i="39"/>
  <c r="O77" i="39"/>
  <c r="M77" i="39"/>
  <c r="B77" i="39"/>
  <c r="D77" i="39"/>
  <c r="N77" i="39" s="1"/>
  <c r="K77" i="39"/>
  <c r="C77" i="39"/>
  <c r="I77" i="39"/>
  <c r="J77" i="39"/>
  <c r="H77" i="39"/>
  <c r="F88" i="37"/>
  <c r="C88" i="37"/>
  <c r="H88" i="37"/>
  <c r="G88" i="37"/>
  <c r="D88" i="37"/>
  <c r="B88" i="37"/>
  <c r="E88" i="37"/>
  <c r="I78" i="36"/>
  <c r="A78" i="39"/>
  <c r="BB78" i="32"/>
  <c r="BC78" i="32" s="1"/>
  <c r="B78" i="36"/>
  <c r="C78" i="36" s="1"/>
  <c r="A78" i="36"/>
  <c r="A89" i="37"/>
  <c r="I89" i="37" s="1" a="1"/>
  <c r="I89" i="37" s="1"/>
  <c r="AE77" i="32"/>
  <c r="AF77" i="32"/>
  <c r="AY78" i="32"/>
  <c r="AZ78" i="32" s="1"/>
  <c r="AO78" i="32"/>
  <c r="AP78" i="32" s="1"/>
  <c r="AS78" i="32"/>
  <c r="AT78" i="32" s="1"/>
  <c r="AW78" i="32"/>
  <c r="AX78" i="32" s="1"/>
  <c r="AM78" i="32"/>
  <c r="AN78" i="32" s="1"/>
  <c r="AC78" i="32"/>
  <c r="AQ78" i="32"/>
  <c r="AR78" i="32" s="1"/>
  <c r="AU78" i="32"/>
  <c r="AV78" i="32" s="1"/>
  <c r="AK78" i="32"/>
  <c r="D78" i="32"/>
  <c r="V78" i="36"/>
  <c r="E83" i="38"/>
  <c r="J78" i="36"/>
  <c r="F78" i="36"/>
  <c r="H83" i="38"/>
  <c r="F83" i="38"/>
  <c r="K78" i="36"/>
  <c r="G83" i="38"/>
  <c r="L78" i="36"/>
  <c r="I83" i="38"/>
  <c r="O78" i="36"/>
  <c r="J83" i="38"/>
  <c r="P78" i="36"/>
  <c r="R78" i="36"/>
  <c r="S78" i="36"/>
  <c r="A83" i="38"/>
  <c r="D83" i="38"/>
  <c r="T78" i="36"/>
  <c r="B83" i="38"/>
  <c r="U78" i="36"/>
  <c r="C83" i="38"/>
  <c r="H78" i="36"/>
  <c r="E78" i="36"/>
  <c r="N78" i="36"/>
  <c r="P38" i="36"/>
  <c r="N38" i="32"/>
  <c r="C39" i="32"/>
  <c r="T38" i="32"/>
  <c r="P38" i="32"/>
  <c r="AA78" i="32"/>
  <c r="AB78" i="32" s="1"/>
  <c r="AD78" i="32" s="1"/>
  <c r="AL78" i="32"/>
  <c r="BA78" i="32"/>
  <c r="AI76" i="32"/>
  <c r="T77" i="32"/>
  <c r="U77" i="32"/>
  <c r="AJ74" i="32"/>
  <c r="AI75" i="32"/>
  <c r="AG77" i="32"/>
  <c r="S77" i="32"/>
  <c r="K78" i="32"/>
  <c r="M78" i="32"/>
  <c r="J78" i="32"/>
  <c r="L78" i="32"/>
  <c r="N78" i="32"/>
  <c r="O78" i="32"/>
  <c r="P78" i="32"/>
  <c r="B78" i="32"/>
  <c r="C78" i="32"/>
  <c r="F78" i="32"/>
  <c r="G78" i="32" s="1"/>
  <c r="V78" i="32"/>
  <c r="H78" i="32"/>
  <c r="I78" i="32" s="1"/>
  <c r="A79" i="32"/>
  <c r="AC78" i="39" l="1"/>
  <c r="L78" i="39"/>
  <c r="AA78" i="39"/>
  <c r="Q78" i="39"/>
  <c r="AB78" i="39"/>
  <c r="X78" i="39"/>
  <c r="W78" i="39"/>
  <c r="V78" i="39"/>
  <c r="Z78" i="39"/>
  <c r="Y78" i="39"/>
  <c r="T78" i="39"/>
  <c r="Z79" i="32"/>
  <c r="Y79" i="32"/>
  <c r="U78" i="39"/>
  <c r="E79" i="32"/>
  <c r="E78" i="39"/>
  <c r="H78" i="39"/>
  <c r="P78" i="39"/>
  <c r="G78" i="39"/>
  <c r="F78" i="39"/>
  <c r="C78" i="39"/>
  <c r="B78" i="39"/>
  <c r="M78" i="39"/>
  <c r="O78" i="39"/>
  <c r="I78" i="39"/>
  <c r="D78" i="39"/>
  <c r="N78" i="39" s="1"/>
  <c r="J78" i="39"/>
  <c r="K78" i="39"/>
  <c r="I79" i="36"/>
  <c r="A79" i="39"/>
  <c r="BB79" i="32"/>
  <c r="BC79" i="32" s="1"/>
  <c r="B79" i="36"/>
  <c r="C79" i="36" s="1"/>
  <c r="A79" i="36"/>
  <c r="A90" i="37"/>
  <c r="I90" i="37" s="1" a="1"/>
  <c r="I90" i="37" s="1"/>
  <c r="AE78" i="32"/>
  <c r="AF78" i="32"/>
  <c r="H89" i="37"/>
  <c r="D89" i="37"/>
  <c r="G89" i="37"/>
  <c r="C89" i="37"/>
  <c r="F89" i="37"/>
  <c r="E89" i="37"/>
  <c r="B89" i="37"/>
  <c r="AY79" i="32"/>
  <c r="AZ79" i="32" s="1"/>
  <c r="AO79" i="32"/>
  <c r="AP79" i="32" s="1"/>
  <c r="AS79" i="32"/>
  <c r="AT79" i="32" s="1"/>
  <c r="AW79" i="32"/>
  <c r="AX79" i="32" s="1"/>
  <c r="AM79" i="32"/>
  <c r="AN79" i="32" s="1"/>
  <c r="AC79" i="32"/>
  <c r="AU79" i="32"/>
  <c r="AV79" i="32" s="1"/>
  <c r="AQ79" i="32"/>
  <c r="AR79" i="32" s="1"/>
  <c r="AK79" i="32"/>
  <c r="K39" i="32"/>
  <c r="L39" i="32"/>
  <c r="U38" i="32"/>
  <c r="D79" i="32"/>
  <c r="R79" i="36"/>
  <c r="T79" i="36"/>
  <c r="G84" i="38"/>
  <c r="U79" i="36"/>
  <c r="H84" i="38"/>
  <c r="E79" i="36"/>
  <c r="V79" i="36"/>
  <c r="I84" i="38"/>
  <c r="F79" i="36"/>
  <c r="J84" i="38"/>
  <c r="O79" i="36"/>
  <c r="L79" i="36"/>
  <c r="J79" i="36"/>
  <c r="A84" i="38"/>
  <c r="N79" i="36"/>
  <c r="K79" i="36"/>
  <c r="B84" i="38"/>
  <c r="C84" i="38"/>
  <c r="P79" i="36"/>
  <c r="D84" i="38"/>
  <c r="F84" i="38"/>
  <c r="E84" i="38"/>
  <c r="S79" i="36"/>
  <c r="H79" i="36"/>
  <c r="AA79" i="32"/>
  <c r="AB79" i="32" s="1"/>
  <c r="AD79" i="32" s="1"/>
  <c r="BA79" i="32"/>
  <c r="AL79" i="32"/>
  <c r="S78" i="32"/>
  <c r="U78" i="32"/>
  <c r="T78" i="32"/>
  <c r="AJ75" i="32"/>
  <c r="AH77" i="32"/>
  <c r="AG78" i="32"/>
  <c r="AJ76" i="32"/>
  <c r="C79" i="32"/>
  <c r="P79" i="32"/>
  <c r="F79" i="32"/>
  <c r="G79" i="32" s="1"/>
  <c r="A80" i="32"/>
  <c r="H79" i="32"/>
  <c r="I79" i="32" s="1"/>
  <c r="J79" i="32"/>
  <c r="K79" i="32"/>
  <c r="L79" i="32"/>
  <c r="M79" i="32"/>
  <c r="N79" i="32"/>
  <c r="O79" i="32"/>
  <c r="V79" i="32"/>
  <c r="B79" i="32"/>
  <c r="AC79" i="39" l="1"/>
  <c r="L79" i="39"/>
  <c r="AA79" i="39"/>
  <c r="Q79" i="39"/>
  <c r="X79" i="39"/>
  <c r="AB79" i="39"/>
  <c r="W79" i="39"/>
  <c r="Z79" i="39"/>
  <c r="Y79" i="39"/>
  <c r="V79" i="39"/>
  <c r="T79" i="39"/>
  <c r="U79" i="39"/>
  <c r="Z80" i="32"/>
  <c r="Y80" i="32"/>
  <c r="E80" i="32"/>
  <c r="H90" i="37"/>
  <c r="F90" i="37"/>
  <c r="C90" i="37"/>
  <c r="G90" i="37"/>
  <c r="D90" i="37"/>
  <c r="B90" i="37"/>
  <c r="E90" i="37"/>
  <c r="AF79" i="32"/>
  <c r="AE79" i="32"/>
  <c r="G79" i="39"/>
  <c r="P79" i="39"/>
  <c r="O79" i="39"/>
  <c r="E79" i="39"/>
  <c r="K79" i="39"/>
  <c r="J79" i="39"/>
  <c r="I79" i="39"/>
  <c r="H79" i="39"/>
  <c r="M79" i="39"/>
  <c r="B79" i="39"/>
  <c r="F79" i="39"/>
  <c r="D79" i="39"/>
  <c r="N79" i="39" s="1"/>
  <c r="C79" i="39"/>
  <c r="I80" i="36"/>
  <c r="A80" i="39"/>
  <c r="BB80" i="32"/>
  <c r="BC80" i="32" s="1"/>
  <c r="A91" i="37"/>
  <c r="I91" i="37" s="1" a="1"/>
  <c r="I91" i="37" s="1"/>
  <c r="B80" i="36"/>
  <c r="C80" i="36" s="1"/>
  <c r="A80" i="36"/>
  <c r="AU80" i="32"/>
  <c r="AV80" i="32" s="1"/>
  <c r="AY80" i="32"/>
  <c r="AZ80" i="32" s="1"/>
  <c r="AO80" i="32"/>
  <c r="AP80" i="32" s="1"/>
  <c r="AS80" i="32"/>
  <c r="AT80" i="32" s="1"/>
  <c r="AW80" i="32"/>
  <c r="AX80" i="32" s="1"/>
  <c r="AM80" i="32"/>
  <c r="AN80" i="32" s="1"/>
  <c r="AC80" i="32"/>
  <c r="AQ80" i="32"/>
  <c r="AR80" i="32" s="1"/>
  <c r="AK80" i="32"/>
  <c r="D80" i="32"/>
  <c r="I85" i="38"/>
  <c r="L80" i="36"/>
  <c r="J85" i="38"/>
  <c r="R80" i="36"/>
  <c r="S80" i="36"/>
  <c r="A85" i="38"/>
  <c r="F80" i="36"/>
  <c r="D85" i="38"/>
  <c r="T80" i="36"/>
  <c r="B85" i="38"/>
  <c r="U80" i="36"/>
  <c r="C85" i="38"/>
  <c r="V80" i="36"/>
  <c r="E85" i="38"/>
  <c r="H80" i="36"/>
  <c r="H85" i="38"/>
  <c r="F85" i="38"/>
  <c r="N80" i="36"/>
  <c r="G85" i="38"/>
  <c r="O80" i="36"/>
  <c r="J80" i="36"/>
  <c r="K80" i="36"/>
  <c r="E80" i="36"/>
  <c r="P80" i="36"/>
  <c r="T39" i="32"/>
  <c r="P39" i="32"/>
  <c r="N39" i="32"/>
  <c r="C40" i="32"/>
  <c r="P39" i="36"/>
  <c r="AL80" i="32"/>
  <c r="AA80" i="32"/>
  <c r="AB80" i="32" s="1"/>
  <c r="AD80" i="32" s="1"/>
  <c r="BA80" i="32"/>
  <c r="T79" i="32"/>
  <c r="AH78" i="32"/>
  <c r="AI77" i="32"/>
  <c r="U79" i="32"/>
  <c r="AG79" i="32"/>
  <c r="S79" i="32"/>
  <c r="A81" i="32"/>
  <c r="K80" i="32"/>
  <c r="P80" i="32"/>
  <c r="B80" i="32"/>
  <c r="C80" i="32"/>
  <c r="F80" i="32"/>
  <c r="G80" i="32" s="1"/>
  <c r="V80" i="32"/>
  <c r="H80" i="32"/>
  <c r="I80" i="32" s="1"/>
  <c r="J80" i="32"/>
  <c r="L80" i="32"/>
  <c r="O80" i="32"/>
  <c r="M80" i="32"/>
  <c r="N80" i="32"/>
  <c r="L80" i="39" l="1"/>
  <c r="AA80" i="39"/>
  <c r="AC80" i="39"/>
  <c r="Q80" i="39"/>
  <c r="AB80" i="39"/>
  <c r="X80" i="39"/>
  <c r="V80" i="39"/>
  <c r="T80" i="39"/>
  <c r="Y80" i="39"/>
  <c r="Z80" i="39"/>
  <c r="W80" i="39"/>
  <c r="U80" i="39"/>
  <c r="Z81" i="32"/>
  <c r="Y81" i="32"/>
  <c r="E81" i="32"/>
  <c r="K80" i="39"/>
  <c r="J80" i="39"/>
  <c r="I80" i="39"/>
  <c r="H80" i="39"/>
  <c r="G80" i="39"/>
  <c r="B80" i="39"/>
  <c r="E80" i="39"/>
  <c r="D80" i="39"/>
  <c r="N80" i="39" s="1"/>
  <c r="C80" i="39"/>
  <c r="P80" i="39"/>
  <c r="O80" i="39"/>
  <c r="M80" i="39"/>
  <c r="F80" i="39"/>
  <c r="BB81" i="32"/>
  <c r="BC81" i="32" s="1"/>
  <c r="A81" i="39"/>
  <c r="B81" i="36"/>
  <c r="C81" i="36" s="1"/>
  <c r="I81" i="36"/>
  <c r="A92" i="37"/>
  <c r="I92" i="37" s="1" a="1"/>
  <c r="I92" i="37" s="1"/>
  <c r="A81" i="36"/>
  <c r="AF80" i="32"/>
  <c r="AE80" i="32"/>
  <c r="C91" i="37"/>
  <c r="H91" i="37"/>
  <c r="F91" i="37"/>
  <c r="E91" i="37"/>
  <c r="G91" i="37"/>
  <c r="D91" i="37"/>
  <c r="B91" i="37"/>
  <c r="AU81" i="32"/>
  <c r="AV81" i="32" s="1"/>
  <c r="AY81" i="32"/>
  <c r="AZ81" i="32" s="1"/>
  <c r="AO81" i="32"/>
  <c r="AP81" i="32" s="1"/>
  <c r="AS81" i="32"/>
  <c r="AT81" i="32" s="1"/>
  <c r="AW81" i="32"/>
  <c r="AX81" i="32" s="1"/>
  <c r="AQ81" i="32"/>
  <c r="AR81" i="32" s="1"/>
  <c r="AM81" i="32"/>
  <c r="AN81" i="32" s="1"/>
  <c r="AC81" i="32"/>
  <c r="AK81" i="32"/>
  <c r="U39" i="32"/>
  <c r="D81" i="32"/>
  <c r="V81" i="36"/>
  <c r="N81" i="36"/>
  <c r="B86" i="38"/>
  <c r="O81" i="36"/>
  <c r="H81" i="36"/>
  <c r="A86" i="38"/>
  <c r="P81" i="36"/>
  <c r="C86" i="38"/>
  <c r="K81" i="36"/>
  <c r="D86" i="38"/>
  <c r="L81" i="36"/>
  <c r="E81" i="36"/>
  <c r="E86" i="38"/>
  <c r="F81" i="36"/>
  <c r="F86" i="38"/>
  <c r="R81" i="36"/>
  <c r="G86" i="38"/>
  <c r="J86" i="38"/>
  <c r="S81" i="36"/>
  <c r="H86" i="38"/>
  <c r="T81" i="36"/>
  <c r="I86" i="38"/>
  <c r="U81" i="36"/>
  <c r="J81" i="36"/>
  <c r="K40" i="32"/>
  <c r="L40" i="32"/>
  <c r="AA81" i="32"/>
  <c r="AB81" i="32" s="1"/>
  <c r="AD81" i="32" s="1"/>
  <c r="AL81" i="32"/>
  <c r="BA81" i="32"/>
  <c r="T80" i="32"/>
  <c r="AG80" i="32"/>
  <c r="S80" i="32"/>
  <c r="AI78" i="32"/>
  <c r="AH79" i="32"/>
  <c r="U80" i="32"/>
  <c r="AJ77" i="32"/>
  <c r="C81" i="32"/>
  <c r="P81" i="32"/>
  <c r="K81" i="32"/>
  <c r="L81" i="32"/>
  <c r="O81" i="32"/>
  <c r="M81" i="32"/>
  <c r="N81" i="32"/>
  <c r="B81" i="32"/>
  <c r="F81" i="32"/>
  <c r="G81" i="32" s="1"/>
  <c r="V81" i="32"/>
  <c r="J81" i="32"/>
  <c r="H81" i="32"/>
  <c r="I81" i="32" s="1"/>
  <c r="A82" i="32"/>
  <c r="L81" i="39" l="1"/>
  <c r="AA81" i="39"/>
  <c r="AC81" i="39"/>
  <c r="Q81" i="39"/>
  <c r="Z81" i="39"/>
  <c r="AB81" i="39"/>
  <c r="Y81" i="39"/>
  <c r="X81" i="39"/>
  <c r="V81" i="39"/>
  <c r="W81" i="39"/>
  <c r="T81" i="39"/>
  <c r="Z82" i="32"/>
  <c r="Y82" i="32"/>
  <c r="U81" i="39"/>
  <c r="E82" i="32"/>
  <c r="F92" i="37"/>
  <c r="G92" i="37"/>
  <c r="D92" i="37"/>
  <c r="H92" i="37"/>
  <c r="C92" i="37"/>
  <c r="B92" i="37"/>
  <c r="E92" i="37"/>
  <c r="BB82" i="32"/>
  <c r="BC82" i="32" s="1"/>
  <c r="B82" i="36"/>
  <c r="C82" i="36" s="1"/>
  <c r="A82" i="39"/>
  <c r="A82" i="36"/>
  <c r="A93" i="37"/>
  <c r="I93" i="37" s="1" a="1"/>
  <c r="I93" i="37" s="1"/>
  <c r="I82" i="36"/>
  <c r="AF81" i="32"/>
  <c r="AE81" i="32"/>
  <c r="B81" i="39"/>
  <c r="F81" i="39"/>
  <c r="E81" i="39"/>
  <c r="D81" i="39"/>
  <c r="N81" i="39" s="1"/>
  <c r="G81" i="39"/>
  <c r="K81" i="39"/>
  <c r="J81" i="39"/>
  <c r="I81" i="39"/>
  <c r="O81" i="39"/>
  <c r="C81" i="39"/>
  <c r="P81" i="39"/>
  <c r="M81" i="39"/>
  <c r="H81" i="39"/>
  <c r="AQ82" i="32"/>
  <c r="AR82" i="32" s="1"/>
  <c r="AU82" i="32"/>
  <c r="AV82" i="32" s="1"/>
  <c r="AY82" i="32"/>
  <c r="AZ82" i="32" s="1"/>
  <c r="AO82" i="32"/>
  <c r="AP82" i="32" s="1"/>
  <c r="AS82" i="32"/>
  <c r="AT82" i="32" s="1"/>
  <c r="AW82" i="32"/>
  <c r="AX82" i="32" s="1"/>
  <c r="AC82" i="32"/>
  <c r="AM82" i="32"/>
  <c r="AN82" i="32" s="1"/>
  <c r="AK82" i="32"/>
  <c r="P40" i="36"/>
  <c r="T40" i="32"/>
  <c r="P40" i="32"/>
  <c r="C41" i="32"/>
  <c r="N40" i="32"/>
  <c r="A87" i="38"/>
  <c r="R82" i="36"/>
  <c r="B87" i="38"/>
  <c r="S82" i="36"/>
  <c r="C87" i="38"/>
  <c r="D87" i="38"/>
  <c r="T82" i="36"/>
  <c r="U82" i="36"/>
  <c r="E87" i="38"/>
  <c r="O82" i="36"/>
  <c r="E82" i="36"/>
  <c r="V82" i="36"/>
  <c r="F87" i="38"/>
  <c r="P82" i="36"/>
  <c r="H87" i="38"/>
  <c r="G87" i="38"/>
  <c r="H82" i="36"/>
  <c r="D82" i="32"/>
  <c r="I87" i="38"/>
  <c r="J82" i="36"/>
  <c r="F82" i="36"/>
  <c r="J87" i="38"/>
  <c r="K82" i="36"/>
  <c r="L82" i="36"/>
  <c r="N82" i="36"/>
  <c r="AA82" i="32"/>
  <c r="AB82" i="32" s="1"/>
  <c r="AD82" i="32" s="1"/>
  <c r="BA82" i="32"/>
  <c r="AL82" i="32"/>
  <c r="AH80" i="32"/>
  <c r="AI80" i="32" s="1"/>
  <c r="S81" i="32"/>
  <c r="U81" i="32"/>
  <c r="T81" i="32"/>
  <c r="AI79" i="32"/>
  <c r="AG81" i="32"/>
  <c r="AJ78" i="32"/>
  <c r="A83" i="32"/>
  <c r="J82" i="32"/>
  <c r="F82" i="32"/>
  <c r="G82" i="32" s="1"/>
  <c r="V82" i="32"/>
  <c r="H82" i="32"/>
  <c r="I82" i="32" s="1"/>
  <c r="K82" i="32"/>
  <c r="L82" i="32"/>
  <c r="M82" i="32"/>
  <c r="N82" i="32"/>
  <c r="C82" i="32"/>
  <c r="B82" i="32"/>
  <c r="O82" i="32"/>
  <c r="P82" i="32"/>
  <c r="L82" i="39" l="1"/>
  <c r="AA82" i="39"/>
  <c r="Q82" i="39"/>
  <c r="AC82" i="39"/>
  <c r="Z82" i="39"/>
  <c r="X82" i="39"/>
  <c r="AB82" i="39"/>
  <c r="W82" i="39"/>
  <c r="T82" i="39"/>
  <c r="Y82" i="39"/>
  <c r="V82" i="39"/>
  <c r="U82" i="39"/>
  <c r="Z83" i="32"/>
  <c r="Y83" i="32"/>
  <c r="E83" i="32"/>
  <c r="H93" i="37"/>
  <c r="G93" i="37"/>
  <c r="D93" i="37"/>
  <c r="C93" i="37"/>
  <c r="B93" i="37"/>
  <c r="F93" i="37"/>
  <c r="E93" i="37"/>
  <c r="C82" i="39"/>
  <c r="P82" i="39"/>
  <c r="J82" i="39"/>
  <c r="H82" i="39"/>
  <c r="I82" i="39"/>
  <c r="K82" i="39"/>
  <c r="E82" i="39"/>
  <c r="O82" i="39"/>
  <c r="F82" i="39"/>
  <c r="B82" i="39"/>
  <c r="M82" i="39"/>
  <c r="D82" i="39"/>
  <c r="N82" i="39" s="1"/>
  <c r="G82" i="39"/>
  <c r="B83" i="36"/>
  <c r="C83" i="36" s="1"/>
  <c r="A83" i="39"/>
  <c r="BB83" i="32"/>
  <c r="BC83" i="32" s="1"/>
  <c r="A94" i="37"/>
  <c r="I94" i="37" s="1" a="1"/>
  <c r="I94" i="37" s="1"/>
  <c r="A83" i="36"/>
  <c r="I83" i="36"/>
  <c r="AF82" i="32"/>
  <c r="AE82" i="32"/>
  <c r="AQ83" i="32"/>
  <c r="AR83" i="32" s="1"/>
  <c r="AU83" i="32"/>
  <c r="AV83" i="32" s="1"/>
  <c r="AY83" i="32"/>
  <c r="AZ83" i="32" s="1"/>
  <c r="AO83" i="32"/>
  <c r="AP83" i="32" s="1"/>
  <c r="AS83" i="32"/>
  <c r="AT83" i="32" s="1"/>
  <c r="AM83" i="32"/>
  <c r="AN83" i="32" s="1"/>
  <c r="AC83" i="32"/>
  <c r="AW83" i="32"/>
  <c r="AX83" i="32" s="1"/>
  <c r="AK83" i="32"/>
  <c r="U40" i="32"/>
  <c r="K41" i="32"/>
  <c r="L41" i="32"/>
  <c r="D83" i="32"/>
  <c r="C88" i="38"/>
  <c r="F88" i="38"/>
  <c r="D88" i="38"/>
  <c r="J83" i="36"/>
  <c r="E88" i="38"/>
  <c r="K83" i="36"/>
  <c r="G88" i="38"/>
  <c r="J88" i="38"/>
  <c r="H88" i="38"/>
  <c r="R83" i="36"/>
  <c r="I88" i="38"/>
  <c r="N83" i="36"/>
  <c r="O83" i="36"/>
  <c r="S83" i="36"/>
  <c r="T83" i="36"/>
  <c r="P83" i="36"/>
  <c r="U83" i="36"/>
  <c r="E83" i="36"/>
  <c r="B88" i="38"/>
  <c r="V83" i="36"/>
  <c r="A88" i="38"/>
  <c r="F83" i="36"/>
  <c r="L83" i="36"/>
  <c r="H83" i="36"/>
  <c r="AA83" i="32"/>
  <c r="AB83" i="32" s="1"/>
  <c r="AD83" i="32" s="1"/>
  <c r="BA83" i="32"/>
  <c r="AL83" i="32"/>
  <c r="AH81" i="32"/>
  <c r="T82" i="32"/>
  <c r="AJ80" i="32"/>
  <c r="AG82" i="32"/>
  <c r="AJ79" i="32"/>
  <c r="S82" i="32"/>
  <c r="U82" i="32"/>
  <c r="N83" i="32"/>
  <c r="L83" i="32"/>
  <c r="M83" i="32"/>
  <c r="O83" i="32"/>
  <c r="B83" i="32"/>
  <c r="P83" i="32"/>
  <c r="C83" i="32"/>
  <c r="V83" i="32"/>
  <c r="H83" i="32"/>
  <c r="I83" i="32" s="1"/>
  <c r="A84" i="32"/>
  <c r="K83" i="32"/>
  <c r="J83" i="32"/>
  <c r="F83" i="32"/>
  <c r="G83" i="32" s="1"/>
  <c r="AA83" i="39" l="1"/>
  <c r="L83" i="39"/>
  <c r="Q83" i="39"/>
  <c r="AC83" i="39"/>
  <c r="X83" i="39"/>
  <c r="Z83" i="39"/>
  <c r="V83" i="39"/>
  <c r="T83" i="39"/>
  <c r="Y83" i="39"/>
  <c r="W83" i="39"/>
  <c r="AB83" i="39"/>
  <c r="U83" i="39"/>
  <c r="Z84" i="32"/>
  <c r="Y84" i="32"/>
  <c r="E84" i="32"/>
  <c r="H94" i="37"/>
  <c r="G94" i="37"/>
  <c r="D94" i="37"/>
  <c r="F94" i="37"/>
  <c r="C94" i="37"/>
  <c r="B94" i="37"/>
  <c r="E94" i="37"/>
  <c r="AE83" i="32"/>
  <c r="AF83" i="32"/>
  <c r="D83" i="39"/>
  <c r="N83" i="39" s="1"/>
  <c r="K83" i="39"/>
  <c r="G83" i="39"/>
  <c r="B83" i="39"/>
  <c r="P83" i="39"/>
  <c r="I83" i="39"/>
  <c r="M83" i="39"/>
  <c r="J83" i="39"/>
  <c r="C83" i="39"/>
  <c r="O83" i="39"/>
  <c r="H83" i="39"/>
  <c r="E83" i="39"/>
  <c r="F83" i="39"/>
  <c r="A84" i="39"/>
  <c r="B84" i="36"/>
  <c r="C84" i="36" s="1"/>
  <c r="A95" i="37"/>
  <c r="I95" i="37" s="1" a="1"/>
  <c r="I95" i="37" s="1"/>
  <c r="I84" i="36"/>
  <c r="A84" i="36"/>
  <c r="BB84" i="32"/>
  <c r="BC84" i="32" s="1"/>
  <c r="AM84" i="32"/>
  <c r="AN84" i="32" s="1"/>
  <c r="AC84" i="32"/>
  <c r="AQ84" i="32"/>
  <c r="AR84" i="32" s="1"/>
  <c r="AU84" i="32"/>
  <c r="AV84" i="32" s="1"/>
  <c r="AS84" i="32"/>
  <c r="AT84" i="32" s="1"/>
  <c r="AY84" i="32"/>
  <c r="AZ84" i="32" s="1"/>
  <c r="AO84" i="32"/>
  <c r="AP84" i="32" s="1"/>
  <c r="AW84" i="32"/>
  <c r="AX84" i="32" s="1"/>
  <c r="AK84" i="32"/>
  <c r="N41" i="32"/>
  <c r="P41" i="32"/>
  <c r="C42" i="32"/>
  <c r="T41" i="32"/>
  <c r="D84" i="32"/>
  <c r="S84" i="36"/>
  <c r="E89" i="38"/>
  <c r="F84" i="36"/>
  <c r="T84" i="36"/>
  <c r="F89" i="38"/>
  <c r="U84" i="36"/>
  <c r="G89" i="38"/>
  <c r="H89" i="38"/>
  <c r="V84" i="36"/>
  <c r="I89" i="38"/>
  <c r="H84" i="36"/>
  <c r="J89" i="38"/>
  <c r="J84" i="36"/>
  <c r="K84" i="36"/>
  <c r="A89" i="38"/>
  <c r="L84" i="36"/>
  <c r="D89" i="38"/>
  <c r="B89" i="38"/>
  <c r="N84" i="36"/>
  <c r="C89" i="38"/>
  <c r="O84" i="36"/>
  <c r="R84" i="36"/>
  <c r="E84" i="36"/>
  <c r="P84" i="36"/>
  <c r="P41" i="36"/>
  <c r="AH82" i="32"/>
  <c r="AI82" i="32" s="1"/>
  <c r="AA84" i="32"/>
  <c r="AB84" i="32" s="1"/>
  <c r="AD84" i="32" s="1"/>
  <c r="AL84" i="32"/>
  <c r="BA84" i="32"/>
  <c r="AI81" i="32"/>
  <c r="AJ81" i="32" s="1"/>
  <c r="AG83" i="32"/>
  <c r="S83" i="32"/>
  <c r="T83" i="32"/>
  <c r="U83" i="32"/>
  <c r="F84" i="32"/>
  <c r="G84" i="32" s="1"/>
  <c r="V84" i="32"/>
  <c r="H84" i="32"/>
  <c r="I84" i="32" s="1"/>
  <c r="A85" i="32"/>
  <c r="K84" i="32"/>
  <c r="J84" i="32"/>
  <c r="M84" i="32"/>
  <c r="L84" i="32"/>
  <c r="N84" i="32"/>
  <c r="O84" i="32"/>
  <c r="B84" i="32"/>
  <c r="C84" i="32"/>
  <c r="P84" i="32"/>
  <c r="AA84" i="39" l="1"/>
  <c r="Q84" i="39"/>
  <c r="L84" i="39"/>
  <c r="AC84" i="39"/>
  <c r="T84" i="39"/>
  <c r="Y84" i="39"/>
  <c r="Z84" i="39"/>
  <c r="X84" i="39"/>
  <c r="W84" i="39"/>
  <c r="V84" i="39"/>
  <c r="AB84" i="39"/>
  <c r="U84" i="39"/>
  <c r="Z85" i="32"/>
  <c r="Y85" i="32"/>
  <c r="E85" i="32"/>
  <c r="A85" i="39"/>
  <c r="B85" i="36"/>
  <c r="C85" i="36" s="1"/>
  <c r="I85" i="36"/>
  <c r="A96" i="37"/>
  <c r="I96" i="37" s="1" a="1"/>
  <c r="I96" i="37" s="1"/>
  <c r="A85" i="36"/>
  <c r="BB85" i="32"/>
  <c r="BC85" i="32" s="1"/>
  <c r="E84" i="39"/>
  <c r="J84" i="39"/>
  <c r="K84" i="39"/>
  <c r="F84" i="39"/>
  <c r="H84" i="39"/>
  <c r="C84" i="39"/>
  <c r="B84" i="39"/>
  <c r="P84" i="39"/>
  <c r="D84" i="39"/>
  <c r="N84" i="39" s="1"/>
  <c r="G84" i="39"/>
  <c r="O84" i="39"/>
  <c r="M84" i="39"/>
  <c r="I84" i="39"/>
  <c r="AE84" i="32"/>
  <c r="AF84" i="32"/>
  <c r="C95" i="37"/>
  <c r="F95" i="37"/>
  <c r="E95" i="37"/>
  <c r="G95" i="37"/>
  <c r="D95" i="37"/>
  <c r="H95" i="37"/>
  <c r="B95" i="37"/>
  <c r="AW85" i="32"/>
  <c r="AX85" i="32" s="1"/>
  <c r="AM85" i="32"/>
  <c r="AN85" i="32" s="1"/>
  <c r="AC85" i="32"/>
  <c r="AQ85" i="32"/>
  <c r="AR85" i="32" s="1"/>
  <c r="AU85" i="32"/>
  <c r="AV85" i="32" s="1"/>
  <c r="AY85" i="32"/>
  <c r="AZ85" i="32" s="1"/>
  <c r="AO85" i="32"/>
  <c r="AP85" i="32" s="1"/>
  <c r="AS85" i="32"/>
  <c r="AT85" i="32" s="1"/>
  <c r="AK85" i="32"/>
  <c r="K42" i="32"/>
  <c r="L42" i="32"/>
  <c r="C43" i="32" s="1"/>
  <c r="U41" i="32"/>
  <c r="D85" i="32"/>
  <c r="G90" i="38"/>
  <c r="N85" i="36"/>
  <c r="K85" i="36"/>
  <c r="J90" i="38"/>
  <c r="H90" i="38"/>
  <c r="O85" i="36"/>
  <c r="L85" i="36"/>
  <c r="E85" i="36"/>
  <c r="I90" i="38"/>
  <c r="P85" i="36"/>
  <c r="F85" i="36"/>
  <c r="R85" i="36"/>
  <c r="S85" i="36"/>
  <c r="T85" i="36"/>
  <c r="A90" i="38"/>
  <c r="B90" i="38"/>
  <c r="U85" i="36"/>
  <c r="V85" i="36"/>
  <c r="C90" i="38"/>
  <c r="D90" i="38"/>
  <c r="H85" i="36"/>
  <c r="F90" i="38"/>
  <c r="E90" i="38"/>
  <c r="J85" i="36"/>
  <c r="AA85" i="32"/>
  <c r="AB85" i="32" s="1"/>
  <c r="AD85" i="32" s="1"/>
  <c r="AL85" i="32"/>
  <c r="BA85" i="32"/>
  <c r="S84" i="32"/>
  <c r="U84" i="32"/>
  <c r="T84" i="32"/>
  <c r="AG84" i="32"/>
  <c r="AH83" i="32"/>
  <c r="AJ82" i="32"/>
  <c r="L85" i="32"/>
  <c r="N85" i="32"/>
  <c r="O85" i="32"/>
  <c r="B85" i="32"/>
  <c r="P85" i="32"/>
  <c r="C85" i="32"/>
  <c r="F85" i="32"/>
  <c r="G85" i="32" s="1"/>
  <c r="H85" i="32"/>
  <c r="I85" i="32" s="1"/>
  <c r="A86" i="32"/>
  <c r="M85" i="32"/>
  <c r="K85" i="32"/>
  <c r="J85" i="32"/>
  <c r="V85" i="32"/>
  <c r="Q85" i="39" l="1"/>
  <c r="AA85" i="39"/>
  <c r="AC85" i="39"/>
  <c r="L85" i="39"/>
  <c r="Z85" i="39"/>
  <c r="X85" i="39"/>
  <c r="Y85" i="39"/>
  <c r="T85" i="39"/>
  <c r="W85" i="39"/>
  <c r="AB85" i="39"/>
  <c r="V85" i="39"/>
  <c r="Z86" i="32"/>
  <c r="Y86" i="32"/>
  <c r="U85" i="39"/>
  <c r="E86" i="32"/>
  <c r="B86" i="36"/>
  <c r="C86" i="36" s="1"/>
  <c r="I86" i="36"/>
  <c r="BB86" i="32"/>
  <c r="BC86" i="32" s="1"/>
  <c r="A86" i="39"/>
  <c r="A86" i="36"/>
  <c r="A97" i="37"/>
  <c r="I97" i="37" s="1" a="1"/>
  <c r="I97" i="37" s="1"/>
  <c r="AE85" i="32"/>
  <c r="AF85" i="32"/>
  <c r="F96" i="37"/>
  <c r="G96" i="37"/>
  <c r="D96" i="37"/>
  <c r="C96" i="37"/>
  <c r="H96" i="37"/>
  <c r="B96" i="37"/>
  <c r="E96" i="37"/>
  <c r="J85" i="39"/>
  <c r="P85" i="39"/>
  <c r="O85" i="39"/>
  <c r="I85" i="39"/>
  <c r="F85" i="39"/>
  <c r="E85" i="39"/>
  <c r="D85" i="39"/>
  <c r="N85" i="39" s="1"/>
  <c r="C85" i="39"/>
  <c r="K85" i="39"/>
  <c r="H85" i="39"/>
  <c r="B85" i="39"/>
  <c r="M85" i="39"/>
  <c r="G85" i="39"/>
  <c r="AW86" i="32"/>
  <c r="AX86" i="32" s="1"/>
  <c r="AM86" i="32"/>
  <c r="AN86" i="32" s="1"/>
  <c r="AC86" i="32"/>
  <c r="AQ86" i="32"/>
  <c r="AR86" i="32" s="1"/>
  <c r="AU86" i="32"/>
  <c r="AV86" i="32" s="1"/>
  <c r="AY86" i="32"/>
  <c r="AZ86" i="32" s="1"/>
  <c r="AS86" i="32"/>
  <c r="AT86" i="32" s="1"/>
  <c r="AO86" i="32"/>
  <c r="AP86" i="32" s="1"/>
  <c r="K43" i="32"/>
  <c r="L43" i="32"/>
  <c r="AK86" i="32"/>
  <c r="U86" i="36"/>
  <c r="I91" i="38"/>
  <c r="V86" i="36"/>
  <c r="J91" i="38"/>
  <c r="H86" i="36"/>
  <c r="A91" i="38"/>
  <c r="O86" i="36"/>
  <c r="J86" i="36"/>
  <c r="F86" i="36"/>
  <c r="B91" i="38"/>
  <c r="P86" i="36"/>
  <c r="K86" i="36"/>
  <c r="D91" i="38"/>
  <c r="C91" i="38"/>
  <c r="L86" i="36"/>
  <c r="D86" i="32"/>
  <c r="E91" i="38"/>
  <c r="H91" i="38"/>
  <c r="R86" i="36"/>
  <c r="F91" i="38"/>
  <c r="S86" i="36"/>
  <c r="G91" i="38"/>
  <c r="T86" i="36"/>
  <c r="E86" i="36"/>
  <c r="N86" i="36"/>
  <c r="N42" i="32"/>
  <c r="P42" i="32"/>
  <c r="T42" i="32"/>
  <c r="P42" i="36"/>
  <c r="AA86" i="32"/>
  <c r="AB86" i="32" s="1"/>
  <c r="AD86" i="32" s="1"/>
  <c r="AL86" i="32"/>
  <c r="BA86" i="32"/>
  <c r="U85" i="32"/>
  <c r="T85" i="32"/>
  <c r="AG85" i="32"/>
  <c r="AI83" i="32"/>
  <c r="AH84" i="32"/>
  <c r="S85" i="32"/>
  <c r="K86" i="32"/>
  <c r="H86" i="32"/>
  <c r="I86" i="32" s="1"/>
  <c r="V86" i="32"/>
  <c r="A87" i="32"/>
  <c r="J86" i="32"/>
  <c r="L86" i="32"/>
  <c r="N86" i="32"/>
  <c r="B86" i="32"/>
  <c r="O86" i="32"/>
  <c r="F86" i="32"/>
  <c r="G86" i="32" s="1"/>
  <c r="P86" i="32"/>
  <c r="C86" i="32"/>
  <c r="M86" i="32"/>
  <c r="Q86" i="39" l="1"/>
  <c r="AC86" i="39"/>
  <c r="L86" i="39"/>
  <c r="AA86" i="39"/>
  <c r="X86" i="39"/>
  <c r="V86" i="39"/>
  <c r="T86" i="39"/>
  <c r="Y86" i="39"/>
  <c r="W86" i="39"/>
  <c r="Z86" i="39"/>
  <c r="AB86" i="39"/>
  <c r="U86" i="39"/>
  <c r="Z87" i="32"/>
  <c r="Y87" i="32"/>
  <c r="E87" i="32"/>
  <c r="BB87" i="32"/>
  <c r="BC87" i="32" s="1"/>
  <c r="I87" i="36"/>
  <c r="A98" i="37"/>
  <c r="I98" i="37" s="1" a="1"/>
  <c r="I98" i="37" s="1"/>
  <c r="B87" i="36"/>
  <c r="C87" i="36" s="1"/>
  <c r="A87" i="39"/>
  <c r="A87" i="36"/>
  <c r="H97" i="37"/>
  <c r="G97" i="37"/>
  <c r="D97" i="37"/>
  <c r="C97" i="37"/>
  <c r="B97" i="37"/>
  <c r="F97" i="37"/>
  <c r="E97" i="37"/>
  <c r="AE86" i="32"/>
  <c r="AF86" i="32"/>
  <c r="P86" i="39"/>
  <c r="J86" i="39"/>
  <c r="B86" i="39"/>
  <c r="G86" i="39"/>
  <c r="F86" i="39"/>
  <c r="O86" i="39"/>
  <c r="E86" i="39"/>
  <c r="H86" i="39"/>
  <c r="K86" i="39"/>
  <c r="D86" i="39"/>
  <c r="N86" i="39" s="1"/>
  <c r="M86" i="39"/>
  <c r="C86" i="39"/>
  <c r="I86" i="39"/>
  <c r="AS87" i="32"/>
  <c r="AT87" i="32" s="1"/>
  <c r="AY87" i="32"/>
  <c r="AZ87" i="32" s="1"/>
  <c r="AW87" i="32"/>
  <c r="AX87" i="32" s="1"/>
  <c r="AM87" i="32"/>
  <c r="AN87" i="32" s="1"/>
  <c r="AC87" i="32"/>
  <c r="AQ87" i="32"/>
  <c r="AR87" i="32" s="1"/>
  <c r="AU87" i="32"/>
  <c r="AV87" i="32" s="1"/>
  <c r="AO87" i="32"/>
  <c r="AP87" i="32" s="1"/>
  <c r="N43" i="32"/>
  <c r="P43" i="32"/>
  <c r="T43" i="32"/>
  <c r="C44" i="32"/>
  <c r="P43" i="36"/>
  <c r="AK87" i="32"/>
  <c r="U42" i="32"/>
  <c r="D87" i="32"/>
  <c r="R87" i="36"/>
  <c r="A92" i="38"/>
  <c r="B92" i="38"/>
  <c r="S87" i="36"/>
  <c r="T87" i="36"/>
  <c r="C92" i="38"/>
  <c r="H87" i="36"/>
  <c r="U87" i="36"/>
  <c r="D92" i="38"/>
  <c r="E87" i="36"/>
  <c r="O87" i="36"/>
  <c r="V87" i="36"/>
  <c r="E92" i="38"/>
  <c r="N87" i="36"/>
  <c r="F87" i="36"/>
  <c r="F92" i="38"/>
  <c r="G92" i="38"/>
  <c r="P87" i="36"/>
  <c r="H92" i="38"/>
  <c r="J87" i="36"/>
  <c r="J92" i="38"/>
  <c r="I92" i="38"/>
  <c r="K87" i="36"/>
  <c r="L87" i="36"/>
  <c r="AA87" i="32"/>
  <c r="AB87" i="32" s="1"/>
  <c r="AD87" i="32" s="1"/>
  <c r="BA87" i="32"/>
  <c r="AL87" i="32"/>
  <c r="U86" i="32"/>
  <c r="T86" i="32"/>
  <c r="AI84" i="32"/>
  <c r="AJ83" i="32"/>
  <c r="AH85" i="32"/>
  <c r="AG86" i="32"/>
  <c r="S86" i="32"/>
  <c r="L87" i="32"/>
  <c r="M87" i="32"/>
  <c r="C87" i="32"/>
  <c r="N87" i="32"/>
  <c r="B87" i="32"/>
  <c r="O87" i="32"/>
  <c r="P87" i="32"/>
  <c r="H87" i="32"/>
  <c r="I87" i="32" s="1"/>
  <c r="V87" i="32"/>
  <c r="K87" i="32"/>
  <c r="F87" i="32"/>
  <c r="G87" i="32" s="1"/>
  <c r="A88" i="32"/>
  <c r="J87" i="32"/>
  <c r="Q87" i="39" l="1"/>
  <c r="AC87" i="39"/>
  <c r="L87" i="39"/>
  <c r="AA87" i="39"/>
  <c r="T87" i="39"/>
  <c r="Z87" i="39"/>
  <c r="X87" i="39"/>
  <c r="AB87" i="39"/>
  <c r="Y87" i="39"/>
  <c r="W87" i="39"/>
  <c r="V87" i="39"/>
  <c r="U87" i="39"/>
  <c r="Z88" i="32"/>
  <c r="Y88" i="32"/>
  <c r="E88" i="32"/>
  <c r="A99" i="37"/>
  <c r="I99" i="37" s="1" a="1"/>
  <c r="I99" i="37" s="1"/>
  <c r="BB88" i="32"/>
  <c r="BC88" i="32" s="1"/>
  <c r="I88" i="36"/>
  <c r="B88" i="36"/>
  <c r="C88" i="36" s="1"/>
  <c r="A88" i="39"/>
  <c r="A88" i="36"/>
  <c r="AE87" i="32"/>
  <c r="AF87" i="32"/>
  <c r="P87" i="39"/>
  <c r="C87" i="39"/>
  <c r="J87" i="39"/>
  <c r="K87" i="39"/>
  <c r="I87" i="39"/>
  <c r="B87" i="39"/>
  <c r="F87" i="39"/>
  <c r="M87" i="39"/>
  <c r="O87" i="39"/>
  <c r="H87" i="39"/>
  <c r="G87" i="39"/>
  <c r="D87" i="39"/>
  <c r="N87" i="39" s="1"/>
  <c r="E87" i="39"/>
  <c r="H98" i="37"/>
  <c r="F98" i="37"/>
  <c r="C98" i="37"/>
  <c r="B98" i="37"/>
  <c r="G98" i="37"/>
  <c r="D98" i="37"/>
  <c r="E98" i="37"/>
  <c r="AS88" i="32"/>
  <c r="AT88" i="32" s="1"/>
  <c r="AW88" i="32"/>
  <c r="AX88" i="32" s="1"/>
  <c r="AM88" i="32"/>
  <c r="AN88" i="32" s="1"/>
  <c r="AC88" i="32"/>
  <c r="AQ88" i="32"/>
  <c r="AR88" i="32" s="1"/>
  <c r="AU88" i="32"/>
  <c r="AV88" i="32" s="1"/>
  <c r="AO88" i="32"/>
  <c r="AP88" i="32" s="1"/>
  <c r="AY88" i="32"/>
  <c r="AZ88" i="32" s="1"/>
  <c r="K44" i="32"/>
  <c r="L44" i="32"/>
  <c r="U43" i="32"/>
  <c r="AK88" i="32"/>
  <c r="D88" i="32"/>
  <c r="A93" i="38"/>
  <c r="H88" i="36"/>
  <c r="B93" i="38"/>
  <c r="D93" i="38"/>
  <c r="C93" i="38"/>
  <c r="J88" i="36"/>
  <c r="E93" i="38"/>
  <c r="L88" i="36"/>
  <c r="H93" i="38"/>
  <c r="F93" i="38"/>
  <c r="G93" i="38"/>
  <c r="E88" i="36"/>
  <c r="R88" i="36"/>
  <c r="S88" i="36"/>
  <c r="I93" i="38"/>
  <c r="F88" i="36"/>
  <c r="T88" i="36"/>
  <c r="J93" i="38"/>
  <c r="N88" i="36"/>
  <c r="U88" i="36"/>
  <c r="O88" i="36"/>
  <c r="V88" i="36"/>
  <c r="K88" i="36"/>
  <c r="P88" i="36"/>
  <c r="AA88" i="32"/>
  <c r="AB88" i="32" s="1"/>
  <c r="AD88" i="32" s="1"/>
  <c r="AL88" i="32"/>
  <c r="BA88" i="32"/>
  <c r="T87" i="32"/>
  <c r="U87" i="32"/>
  <c r="AJ84" i="32"/>
  <c r="AI85" i="32"/>
  <c r="AH86" i="32"/>
  <c r="S87" i="32"/>
  <c r="AG87" i="32"/>
  <c r="AH87" i="32" s="1"/>
  <c r="F88" i="32"/>
  <c r="G88" i="32" s="1"/>
  <c r="A89" i="32"/>
  <c r="H88" i="32"/>
  <c r="I88" i="32" s="1"/>
  <c r="V88" i="32"/>
  <c r="J88" i="32"/>
  <c r="L88" i="32"/>
  <c r="M88" i="32"/>
  <c r="C88" i="32"/>
  <c r="B88" i="32"/>
  <c r="P88" i="32"/>
  <c r="K88" i="32"/>
  <c r="N88" i="32"/>
  <c r="O88" i="32"/>
  <c r="Q88" i="39" l="1"/>
  <c r="AC88" i="39"/>
  <c r="L88" i="39"/>
  <c r="AA88" i="39"/>
  <c r="T88" i="39"/>
  <c r="AB88" i="39"/>
  <c r="X88" i="39"/>
  <c r="W88" i="39"/>
  <c r="Z88" i="39"/>
  <c r="Y88" i="39"/>
  <c r="V88" i="39"/>
  <c r="U88" i="39"/>
  <c r="Z89" i="32"/>
  <c r="Y89" i="32"/>
  <c r="E89" i="32"/>
  <c r="BB89" i="32"/>
  <c r="BC89" i="32" s="1"/>
  <c r="I89" i="36"/>
  <c r="A89" i="39"/>
  <c r="A89" i="36"/>
  <c r="A100" i="37"/>
  <c r="I100" i="37" s="1" a="1"/>
  <c r="I100" i="37" s="1"/>
  <c r="B89" i="36"/>
  <c r="C89" i="36" s="1"/>
  <c r="AE88" i="32"/>
  <c r="AF88" i="32"/>
  <c r="O88" i="39"/>
  <c r="P88" i="39"/>
  <c r="F88" i="39"/>
  <c r="E88" i="39"/>
  <c r="J88" i="39"/>
  <c r="B88" i="39"/>
  <c r="C88" i="39"/>
  <c r="I88" i="39"/>
  <c r="H88" i="39"/>
  <c r="M88" i="39"/>
  <c r="G88" i="39"/>
  <c r="D88" i="39"/>
  <c r="N88" i="39" s="1"/>
  <c r="K88" i="39"/>
  <c r="C99" i="37"/>
  <c r="E99" i="37"/>
  <c r="F99" i="37"/>
  <c r="G99" i="37"/>
  <c r="D99" i="37"/>
  <c r="H99" i="37"/>
  <c r="B99" i="37"/>
  <c r="AO89" i="32"/>
  <c r="AP89" i="32" s="1"/>
  <c r="AS89" i="32"/>
  <c r="AT89" i="32" s="1"/>
  <c r="AW89" i="32"/>
  <c r="AX89" i="32" s="1"/>
  <c r="AM89" i="32"/>
  <c r="AN89" i="32" s="1"/>
  <c r="AC89" i="32"/>
  <c r="AQ89" i="32"/>
  <c r="AR89" i="32" s="1"/>
  <c r="AY89" i="32"/>
  <c r="AZ89" i="32" s="1"/>
  <c r="AU89" i="32"/>
  <c r="AV89" i="32" s="1"/>
  <c r="P44" i="32"/>
  <c r="N44" i="32"/>
  <c r="T44" i="32"/>
  <c r="C45" i="32"/>
  <c r="P44" i="36"/>
  <c r="AK89" i="32"/>
  <c r="D89" i="32"/>
  <c r="R89" i="36"/>
  <c r="C94" i="38"/>
  <c r="N89" i="36"/>
  <c r="F94" i="38"/>
  <c r="S89" i="36"/>
  <c r="D94" i="38"/>
  <c r="O89" i="36"/>
  <c r="T89" i="36"/>
  <c r="E94" i="38"/>
  <c r="P89" i="36"/>
  <c r="U89" i="36"/>
  <c r="V89" i="36"/>
  <c r="G94" i="38"/>
  <c r="H94" i="38"/>
  <c r="H89" i="36"/>
  <c r="J94" i="38"/>
  <c r="J89" i="36"/>
  <c r="I94" i="38"/>
  <c r="K89" i="36"/>
  <c r="B94" i="38"/>
  <c r="L89" i="36"/>
  <c r="E89" i="36"/>
  <c r="A94" i="38"/>
  <c r="F89" i="36"/>
  <c r="AA89" i="32"/>
  <c r="AB89" i="32" s="1"/>
  <c r="AD89" i="32" s="1"/>
  <c r="BA89" i="32"/>
  <c r="AL89" i="32"/>
  <c r="U88" i="32"/>
  <c r="AI87" i="32"/>
  <c r="AG88" i="32"/>
  <c r="AI86" i="32"/>
  <c r="S88" i="32"/>
  <c r="AJ85" i="32"/>
  <c r="T88" i="32"/>
  <c r="J89" i="32"/>
  <c r="K89" i="32"/>
  <c r="L89" i="32"/>
  <c r="M89" i="32"/>
  <c r="N89" i="32"/>
  <c r="B89" i="32"/>
  <c r="O89" i="32"/>
  <c r="F89" i="32"/>
  <c r="G89" i="32" s="1"/>
  <c r="V89" i="32"/>
  <c r="H89" i="32"/>
  <c r="I89" i="32" s="1"/>
  <c r="P89" i="32"/>
  <c r="A90" i="32"/>
  <c r="C89" i="32"/>
  <c r="Q89" i="39" l="1"/>
  <c r="AC89" i="39"/>
  <c r="L89" i="39"/>
  <c r="AA89" i="39"/>
  <c r="X89" i="39"/>
  <c r="V89" i="39"/>
  <c r="AB89" i="39"/>
  <c r="Z89" i="39"/>
  <c r="Y89" i="39"/>
  <c r="T89" i="39"/>
  <c r="W89" i="39"/>
  <c r="Z90" i="32"/>
  <c r="Y90" i="32"/>
  <c r="U89" i="39"/>
  <c r="E90" i="32"/>
  <c r="BB90" i="32"/>
  <c r="BC90" i="32" s="1"/>
  <c r="I90" i="36"/>
  <c r="A90" i="39"/>
  <c r="B90" i="36"/>
  <c r="C90" i="36" s="1"/>
  <c r="A101" i="37"/>
  <c r="I101" i="37" s="1" a="1"/>
  <c r="I101" i="37" s="1"/>
  <c r="A90" i="36"/>
  <c r="F100" i="37"/>
  <c r="H100" i="37"/>
  <c r="G100" i="37"/>
  <c r="C100" i="37"/>
  <c r="D100" i="37"/>
  <c r="E100" i="37"/>
  <c r="B100" i="37"/>
  <c r="AE89" i="32"/>
  <c r="AF89" i="32"/>
  <c r="E89" i="39"/>
  <c r="J89" i="39"/>
  <c r="O89" i="39"/>
  <c r="C89" i="39"/>
  <c r="I89" i="39"/>
  <c r="P89" i="39"/>
  <c r="H89" i="39"/>
  <c r="K89" i="39"/>
  <c r="D89" i="39"/>
  <c r="N89" i="39" s="1"/>
  <c r="G89" i="39"/>
  <c r="F89" i="39"/>
  <c r="M89" i="39"/>
  <c r="B89" i="39"/>
  <c r="AY90" i="32"/>
  <c r="AZ90" i="32" s="1"/>
  <c r="AO90" i="32"/>
  <c r="AP90" i="32" s="1"/>
  <c r="AS90" i="32"/>
  <c r="AT90" i="32" s="1"/>
  <c r="AM90" i="32"/>
  <c r="AN90" i="32" s="1"/>
  <c r="AC90" i="32"/>
  <c r="AW90" i="32"/>
  <c r="AX90" i="32" s="1"/>
  <c r="AQ90" i="32"/>
  <c r="AR90" i="32" s="1"/>
  <c r="AU90" i="32"/>
  <c r="AV90" i="32" s="1"/>
  <c r="L45" i="32"/>
  <c r="K45" i="32"/>
  <c r="U44" i="32"/>
  <c r="AK90" i="32"/>
  <c r="D90" i="32"/>
  <c r="E95" i="38"/>
  <c r="J90" i="36"/>
  <c r="F90" i="36"/>
  <c r="F95" i="38"/>
  <c r="K90" i="36"/>
  <c r="G95" i="38"/>
  <c r="L90" i="36"/>
  <c r="H95" i="38"/>
  <c r="I95" i="38"/>
  <c r="O90" i="36"/>
  <c r="R90" i="36"/>
  <c r="J95" i="38"/>
  <c r="P90" i="36"/>
  <c r="S90" i="36"/>
  <c r="T90" i="36"/>
  <c r="U90" i="36"/>
  <c r="A95" i="38"/>
  <c r="V90" i="36"/>
  <c r="B95" i="38"/>
  <c r="D95" i="38"/>
  <c r="C95" i="38"/>
  <c r="H90" i="36"/>
  <c r="N90" i="36"/>
  <c r="E90" i="36"/>
  <c r="AA90" i="32"/>
  <c r="AB90" i="32" s="1"/>
  <c r="AD90" i="32" s="1"/>
  <c r="BA90" i="32"/>
  <c r="AL90" i="32"/>
  <c r="AH88" i="32"/>
  <c r="AI88" i="32" s="1"/>
  <c r="AJ87" i="32"/>
  <c r="T89" i="32"/>
  <c r="AG89" i="32"/>
  <c r="AH89" i="32" s="1"/>
  <c r="S89" i="32"/>
  <c r="AJ86" i="32"/>
  <c r="U89" i="32"/>
  <c r="B90" i="32"/>
  <c r="O90" i="32"/>
  <c r="C90" i="32"/>
  <c r="P90" i="32"/>
  <c r="F90" i="32"/>
  <c r="G90" i="32" s="1"/>
  <c r="H90" i="32"/>
  <c r="I90" i="32" s="1"/>
  <c r="V90" i="32"/>
  <c r="J90" i="32"/>
  <c r="K90" i="32"/>
  <c r="M90" i="32"/>
  <c r="A91" i="32"/>
  <c r="N90" i="32"/>
  <c r="L90" i="32"/>
  <c r="AC90" i="39" l="1"/>
  <c r="L90" i="39"/>
  <c r="AA90" i="39"/>
  <c r="Q90" i="39"/>
  <c r="AB90" i="39"/>
  <c r="X90" i="39"/>
  <c r="Z90" i="39"/>
  <c r="V90" i="39"/>
  <c r="T90" i="39"/>
  <c r="Y90" i="39"/>
  <c r="W90" i="39"/>
  <c r="U90" i="39"/>
  <c r="Z91" i="32"/>
  <c r="Y91" i="32"/>
  <c r="E91" i="32"/>
  <c r="H101" i="37"/>
  <c r="C101" i="37"/>
  <c r="G101" i="37"/>
  <c r="D101" i="37"/>
  <c r="B101" i="37"/>
  <c r="F101" i="37"/>
  <c r="E101" i="37"/>
  <c r="AE90" i="32"/>
  <c r="AF90" i="32"/>
  <c r="BB91" i="32"/>
  <c r="BC91" i="32" s="1"/>
  <c r="I91" i="36"/>
  <c r="A102" i="37"/>
  <c r="I102" i="37" s="1" a="1"/>
  <c r="I102" i="37" s="1"/>
  <c r="A91" i="39"/>
  <c r="B91" i="36"/>
  <c r="C91" i="36" s="1"/>
  <c r="A91" i="36"/>
  <c r="P90" i="39"/>
  <c r="K90" i="39"/>
  <c r="E90" i="39"/>
  <c r="J90" i="39"/>
  <c r="I90" i="39"/>
  <c r="B90" i="39"/>
  <c r="H90" i="39"/>
  <c r="G90" i="39"/>
  <c r="D90" i="39"/>
  <c r="N90" i="39" s="1"/>
  <c r="F90" i="39"/>
  <c r="C90" i="39"/>
  <c r="M90" i="39"/>
  <c r="O90" i="39"/>
  <c r="AY91" i="32"/>
  <c r="AZ91" i="32" s="1"/>
  <c r="AO91" i="32"/>
  <c r="AP91" i="32" s="1"/>
  <c r="AC91" i="32"/>
  <c r="AS91" i="32"/>
  <c r="AT91" i="32" s="1"/>
  <c r="AW91" i="32"/>
  <c r="AX91" i="32" s="1"/>
  <c r="AM91" i="32"/>
  <c r="AN91" i="32" s="1"/>
  <c r="AU91" i="32"/>
  <c r="AV91" i="32" s="1"/>
  <c r="AQ91" i="32"/>
  <c r="AR91" i="32" s="1"/>
  <c r="P45" i="36"/>
  <c r="N45" i="32"/>
  <c r="P45" i="32"/>
  <c r="T45" i="32"/>
  <c r="C46" i="32"/>
  <c r="AK91" i="32"/>
  <c r="D91" i="32"/>
  <c r="T91" i="36"/>
  <c r="G96" i="38"/>
  <c r="J96" i="38"/>
  <c r="U91" i="36"/>
  <c r="H96" i="38"/>
  <c r="E91" i="36"/>
  <c r="V91" i="36"/>
  <c r="I96" i="38"/>
  <c r="F91" i="36"/>
  <c r="O91" i="36"/>
  <c r="J91" i="36"/>
  <c r="L91" i="36"/>
  <c r="A96" i="38"/>
  <c r="N91" i="36"/>
  <c r="K91" i="36"/>
  <c r="B96" i="38"/>
  <c r="C96" i="38"/>
  <c r="P91" i="36"/>
  <c r="F96" i="38"/>
  <c r="D96" i="38"/>
  <c r="R91" i="36"/>
  <c r="E96" i="38"/>
  <c r="S91" i="36"/>
  <c r="H91" i="36"/>
  <c r="AA91" i="32"/>
  <c r="AB91" i="32" s="1"/>
  <c r="AD91" i="32" s="1"/>
  <c r="AL91" i="32"/>
  <c r="BA91" i="32"/>
  <c r="U90" i="32"/>
  <c r="T90" i="32"/>
  <c r="AI89" i="32"/>
  <c r="S90" i="32"/>
  <c r="AJ88" i="32"/>
  <c r="AG90" i="32"/>
  <c r="AH90" i="32" s="1"/>
  <c r="H91" i="32"/>
  <c r="I91" i="32" s="1"/>
  <c r="V91" i="32"/>
  <c r="A92" i="32"/>
  <c r="J91" i="32"/>
  <c r="L91" i="32"/>
  <c r="K91" i="32"/>
  <c r="M91" i="32"/>
  <c r="B91" i="32"/>
  <c r="C91" i="32"/>
  <c r="P91" i="32"/>
  <c r="F91" i="32"/>
  <c r="G91" i="32" s="1"/>
  <c r="N91" i="32"/>
  <c r="O91" i="32"/>
  <c r="AC91" i="39" l="1"/>
  <c r="L91" i="39"/>
  <c r="Q91" i="39"/>
  <c r="AA91" i="39"/>
  <c r="X91" i="39"/>
  <c r="Z91" i="39"/>
  <c r="T91" i="39"/>
  <c r="W91" i="39"/>
  <c r="AB91" i="39"/>
  <c r="Y91" i="39"/>
  <c r="V91" i="39"/>
  <c r="U91" i="39"/>
  <c r="Z92" i="32"/>
  <c r="Y92" i="32"/>
  <c r="E92" i="32"/>
  <c r="H102" i="37"/>
  <c r="F102" i="37"/>
  <c r="C102" i="37"/>
  <c r="B102" i="37"/>
  <c r="G102" i="37"/>
  <c r="D102" i="37"/>
  <c r="E102" i="37"/>
  <c r="BB92" i="32"/>
  <c r="BC92" i="32" s="1"/>
  <c r="I92" i="36"/>
  <c r="A103" i="37"/>
  <c r="I103" i="37" s="1" a="1"/>
  <c r="I103" i="37" s="1"/>
  <c r="A92" i="39"/>
  <c r="B92" i="36"/>
  <c r="C92" i="36" s="1"/>
  <c r="A92" i="36"/>
  <c r="AF91" i="32"/>
  <c r="AE91" i="32"/>
  <c r="G91" i="39"/>
  <c r="P91" i="39"/>
  <c r="C91" i="39"/>
  <c r="E91" i="39"/>
  <c r="F91" i="39"/>
  <c r="O91" i="39"/>
  <c r="D91" i="39"/>
  <c r="N91" i="39" s="1"/>
  <c r="K91" i="39"/>
  <c r="J91" i="39"/>
  <c r="I91" i="39"/>
  <c r="H91" i="39"/>
  <c r="B91" i="39"/>
  <c r="M91" i="39"/>
  <c r="AU92" i="32"/>
  <c r="AV92" i="32" s="1"/>
  <c r="AY92" i="32"/>
  <c r="AZ92" i="32" s="1"/>
  <c r="AO92" i="32"/>
  <c r="AP92" i="32" s="1"/>
  <c r="AS92" i="32"/>
  <c r="AT92" i="32" s="1"/>
  <c r="AW92" i="32"/>
  <c r="AX92" i="32" s="1"/>
  <c r="AM92" i="32"/>
  <c r="AN92" i="32" s="1"/>
  <c r="AC92" i="32"/>
  <c r="AQ92" i="32"/>
  <c r="AR92" i="32" s="1"/>
  <c r="L46" i="32"/>
  <c r="K46" i="32"/>
  <c r="U45" i="32"/>
  <c r="AK92" i="32"/>
  <c r="D92" i="32"/>
  <c r="I97" i="38"/>
  <c r="L92" i="36"/>
  <c r="J97" i="38"/>
  <c r="R92" i="36"/>
  <c r="S92" i="36"/>
  <c r="A97" i="38"/>
  <c r="F92" i="36"/>
  <c r="D97" i="38"/>
  <c r="T92" i="36"/>
  <c r="B97" i="38"/>
  <c r="U92" i="36"/>
  <c r="C97" i="38"/>
  <c r="V92" i="36"/>
  <c r="E97" i="38"/>
  <c r="H92" i="36"/>
  <c r="F97" i="38"/>
  <c r="N92" i="36"/>
  <c r="H97" i="38"/>
  <c r="G97" i="38"/>
  <c r="O92" i="36"/>
  <c r="J92" i="36"/>
  <c r="K92" i="36"/>
  <c r="E92" i="36"/>
  <c r="P92" i="36"/>
  <c r="AA92" i="32"/>
  <c r="AB92" i="32" s="1"/>
  <c r="AD92" i="32" s="1"/>
  <c r="AL92" i="32"/>
  <c r="BA92" i="32"/>
  <c r="AJ89" i="32"/>
  <c r="T91" i="32"/>
  <c r="AG91" i="32"/>
  <c r="AI90" i="32"/>
  <c r="U91" i="32"/>
  <c r="S91" i="32"/>
  <c r="M92" i="32"/>
  <c r="N92" i="32"/>
  <c r="B92" i="32"/>
  <c r="O92" i="32"/>
  <c r="C92" i="32"/>
  <c r="P92" i="32"/>
  <c r="F92" i="32"/>
  <c r="G92" i="32" s="1"/>
  <c r="A93" i="32"/>
  <c r="L92" i="32"/>
  <c r="J92" i="32"/>
  <c r="V92" i="32"/>
  <c r="H92" i="32"/>
  <c r="I92" i="32" s="1"/>
  <c r="K92" i="32"/>
  <c r="L92" i="39" l="1"/>
  <c r="AC92" i="39"/>
  <c r="AA92" i="39"/>
  <c r="Q92" i="39"/>
  <c r="AB92" i="39"/>
  <c r="X92" i="39"/>
  <c r="V92" i="39"/>
  <c r="T92" i="39"/>
  <c r="Y92" i="39"/>
  <c r="W92" i="39"/>
  <c r="Z92" i="39"/>
  <c r="U92" i="39"/>
  <c r="Z93" i="32"/>
  <c r="Y93" i="32"/>
  <c r="E93" i="32"/>
  <c r="C103" i="37"/>
  <c r="G103" i="37"/>
  <c r="D103" i="37"/>
  <c r="E103" i="37"/>
  <c r="H103" i="37"/>
  <c r="F103" i="37"/>
  <c r="B103" i="37"/>
  <c r="K92" i="39"/>
  <c r="H92" i="39"/>
  <c r="F92" i="39"/>
  <c r="E92" i="39"/>
  <c r="G92" i="39"/>
  <c r="J92" i="39"/>
  <c r="P92" i="39"/>
  <c r="I92" i="39"/>
  <c r="C92" i="39"/>
  <c r="D92" i="39"/>
  <c r="N92" i="39" s="1"/>
  <c r="O92" i="39"/>
  <c r="B92" i="39"/>
  <c r="M92" i="39"/>
  <c r="AF92" i="32"/>
  <c r="AE92" i="32"/>
  <c r="B93" i="36"/>
  <c r="C93" i="36" s="1"/>
  <c r="I93" i="36"/>
  <c r="A93" i="39"/>
  <c r="A104" i="37"/>
  <c r="I104" i="37" s="1" a="1"/>
  <c r="I104" i="37" s="1"/>
  <c r="BB93" i="32"/>
  <c r="BC93" i="32" s="1"/>
  <c r="A93" i="36"/>
  <c r="AU93" i="32"/>
  <c r="AV93" i="32" s="1"/>
  <c r="AY93" i="32"/>
  <c r="AZ93" i="32" s="1"/>
  <c r="AO93" i="32"/>
  <c r="AP93" i="32" s="1"/>
  <c r="AS93" i="32"/>
  <c r="AT93" i="32" s="1"/>
  <c r="AW93" i="32"/>
  <c r="AX93" i="32" s="1"/>
  <c r="AQ93" i="32"/>
  <c r="AR93" i="32" s="1"/>
  <c r="AM93" i="32"/>
  <c r="AN93" i="32" s="1"/>
  <c r="AC93" i="32"/>
  <c r="P46" i="36"/>
  <c r="N46" i="32"/>
  <c r="P46" i="32"/>
  <c r="C47" i="32"/>
  <c r="T46" i="32"/>
  <c r="AK93" i="32"/>
  <c r="D93" i="32"/>
  <c r="V93" i="36"/>
  <c r="N93" i="36"/>
  <c r="O93" i="36"/>
  <c r="H93" i="36"/>
  <c r="A98" i="38"/>
  <c r="P93" i="36"/>
  <c r="B98" i="38"/>
  <c r="C98" i="38"/>
  <c r="K93" i="36"/>
  <c r="D98" i="38"/>
  <c r="L93" i="36"/>
  <c r="E93" i="36"/>
  <c r="F98" i="38"/>
  <c r="E98" i="38"/>
  <c r="F93" i="36"/>
  <c r="R93" i="36"/>
  <c r="G98" i="38"/>
  <c r="J98" i="38"/>
  <c r="S93" i="36"/>
  <c r="H98" i="38"/>
  <c r="T93" i="36"/>
  <c r="I98" i="38"/>
  <c r="U93" i="36"/>
  <c r="J93" i="36"/>
  <c r="AH91" i="32"/>
  <c r="AI91" i="32" s="1"/>
  <c r="AA93" i="32"/>
  <c r="AB93" i="32" s="1"/>
  <c r="AD93" i="32" s="1"/>
  <c r="BA93" i="32"/>
  <c r="AL93" i="32"/>
  <c r="U92" i="32"/>
  <c r="AJ90" i="32"/>
  <c r="AG92" i="32"/>
  <c r="T92" i="32"/>
  <c r="S92" i="32"/>
  <c r="F93" i="32"/>
  <c r="G93" i="32" s="1"/>
  <c r="H93" i="32"/>
  <c r="I93" i="32" s="1"/>
  <c r="V93" i="32"/>
  <c r="A94" i="32"/>
  <c r="J93" i="32"/>
  <c r="K93" i="32"/>
  <c r="N93" i="32"/>
  <c r="B93" i="32"/>
  <c r="L93" i="32"/>
  <c r="C93" i="32"/>
  <c r="M93" i="32"/>
  <c r="O93" i="32"/>
  <c r="P93" i="32"/>
  <c r="L93" i="39" l="1"/>
  <c r="AA93" i="39"/>
  <c r="AC93" i="39"/>
  <c r="Q93" i="39"/>
  <c r="Z93" i="39"/>
  <c r="Y93" i="39"/>
  <c r="V93" i="39"/>
  <c r="X93" i="39"/>
  <c r="AB93" i="39"/>
  <c r="W93" i="39"/>
  <c r="T93" i="39"/>
  <c r="U93" i="39"/>
  <c r="Z94" i="32"/>
  <c r="Y94" i="32"/>
  <c r="E94" i="32"/>
  <c r="B94" i="36"/>
  <c r="C94" i="36" s="1"/>
  <c r="A94" i="39"/>
  <c r="A105" i="37"/>
  <c r="I105" i="37" s="1" a="1"/>
  <c r="I105" i="37" s="1"/>
  <c r="A94" i="36"/>
  <c r="I94" i="36"/>
  <c r="BB94" i="32"/>
  <c r="BC94" i="32" s="1"/>
  <c r="AF93" i="32"/>
  <c r="AE93" i="32"/>
  <c r="F104" i="37"/>
  <c r="G104" i="37"/>
  <c r="D104" i="37"/>
  <c r="H104" i="37"/>
  <c r="C104" i="37"/>
  <c r="B104" i="37"/>
  <c r="E104" i="37"/>
  <c r="B93" i="39"/>
  <c r="K93" i="39"/>
  <c r="J93" i="39"/>
  <c r="D93" i="39"/>
  <c r="N93" i="39" s="1"/>
  <c r="I93" i="39"/>
  <c r="H93" i="39"/>
  <c r="M93" i="39"/>
  <c r="C93" i="39"/>
  <c r="P93" i="39"/>
  <c r="F93" i="39"/>
  <c r="G93" i="39"/>
  <c r="E93" i="39"/>
  <c r="O93" i="39"/>
  <c r="AQ94" i="32"/>
  <c r="AR94" i="32" s="1"/>
  <c r="AW94" i="32"/>
  <c r="AX94" i="32" s="1"/>
  <c r="AU94" i="32"/>
  <c r="AV94" i="32" s="1"/>
  <c r="AY94" i="32"/>
  <c r="AZ94" i="32" s="1"/>
  <c r="AO94" i="32"/>
  <c r="AP94" i="32" s="1"/>
  <c r="AS94" i="32"/>
  <c r="AT94" i="32" s="1"/>
  <c r="AM94" i="32"/>
  <c r="AN94" i="32" s="1"/>
  <c r="AC94" i="32"/>
  <c r="L47" i="32"/>
  <c r="K47" i="32"/>
  <c r="U46" i="32"/>
  <c r="AK94" i="32"/>
  <c r="A99" i="38"/>
  <c r="D99" i="38"/>
  <c r="R94" i="36"/>
  <c r="B99" i="38"/>
  <c r="S94" i="36"/>
  <c r="C99" i="38"/>
  <c r="T94" i="36"/>
  <c r="U94" i="36"/>
  <c r="E99" i="38"/>
  <c r="O94" i="36"/>
  <c r="V94" i="36"/>
  <c r="F99" i="38"/>
  <c r="P94" i="36"/>
  <c r="E94" i="36"/>
  <c r="D94" i="32"/>
  <c r="G99" i="38"/>
  <c r="H94" i="36"/>
  <c r="H99" i="38"/>
  <c r="I99" i="38"/>
  <c r="J94" i="36"/>
  <c r="F94" i="36"/>
  <c r="J99" i="38"/>
  <c r="K94" i="36"/>
  <c r="L94" i="36"/>
  <c r="N94" i="36"/>
  <c r="AA94" i="32"/>
  <c r="AB94" i="32" s="1"/>
  <c r="AD94" i="32" s="1"/>
  <c r="AL94" i="32"/>
  <c r="BA94" i="32"/>
  <c r="AG93" i="32"/>
  <c r="AJ91" i="32"/>
  <c r="T93" i="32"/>
  <c r="S93" i="32"/>
  <c r="U93" i="32"/>
  <c r="AH92" i="32"/>
  <c r="K94" i="32"/>
  <c r="O94" i="32"/>
  <c r="L94" i="32"/>
  <c r="M94" i="32"/>
  <c r="N94" i="32"/>
  <c r="B94" i="32"/>
  <c r="C94" i="32"/>
  <c r="P94" i="32"/>
  <c r="F94" i="32"/>
  <c r="G94" i="32" s="1"/>
  <c r="H94" i="32"/>
  <c r="I94" i="32" s="1"/>
  <c r="V94" i="32"/>
  <c r="J94" i="32"/>
  <c r="A95" i="32"/>
  <c r="L94" i="39" l="1"/>
  <c r="AA94" i="39"/>
  <c r="Q94" i="39"/>
  <c r="AC94" i="39"/>
  <c r="Z94" i="39"/>
  <c r="X94" i="39"/>
  <c r="W94" i="39"/>
  <c r="V94" i="39"/>
  <c r="AB94" i="39"/>
  <c r="T94" i="39"/>
  <c r="Y94" i="39"/>
  <c r="Z95" i="32"/>
  <c r="Y95" i="32"/>
  <c r="U94" i="39"/>
  <c r="E95" i="32"/>
  <c r="A95" i="39"/>
  <c r="B95" i="36"/>
  <c r="C95" i="36" s="1"/>
  <c r="A106" i="37"/>
  <c r="I106" i="37" s="1" a="1"/>
  <c r="I106" i="37" s="1"/>
  <c r="I95" i="36"/>
  <c r="A95" i="36"/>
  <c r="BB95" i="32"/>
  <c r="BC95" i="32" s="1"/>
  <c r="AE94" i="32"/>
  <c r="AF94" i="32"/>
  <c r="H105" i="37"/>
  <c r="G105" i="37"/>
  <c r="D105" i="37"/>
  <c r="C105" i="37"/>
  <c r="E105" i="37"/>
  <c r="F105" i="37"/>
  <c r="B105" i="37"/>
  <c r="C94" i="39"/>
  <c r="K94" i="39"/>
  <c r="G94" i="39"/>
  <c r="D94" i="39"/>
  <c r="N94" i="39" s="1"/>
  <c r="P94" i="39"/>
  <c r="F94" i="39"/>
  <c r="J94" i="39"/>
  <c r="E94" i="39"/>
  <c r="O94" i="39"/>
  <c r="I94" i="39"/>
  <c r="B94" i="39"/>
  <c r="H94" i="39"/>
  <c r="M94" i="39"/>
  <c r="AQ95" i="32"/>
  <c r="AR95" i="32" s="1"/>
  <c r="AU95" i="32"/>
  <c r="AV95" i="32" s="1"/>
  <c r="AY95" i="32"/>
  <c r="AZ95" i="32" s="1"/>
  <c r="AO95" i="32"/>
  <c r="AP95" i="32" s="1"/>
  <c r="AS95" i="32"/>
  <c r="AT95" i="32" s="1"/>
  <c r="AM95" i="32"/>
  <c r="AN95" i="32" s="1"/>
  <c r="AC95" i="32"/>
  <c r="AW95" i="32"/>
  <c r="AX95" i="32" s="1"/>
  <c r="P47" i="36"/>
  <c r="N47" i="32"/>
  <c r="P47" i="32"/>
  <c r="T47" i="32"/>
  <c r="C48" i="32"/>
  <c r="AK95" i="32"/>
  <c r="D95" i="32"/>
  <c r="C100" i="38"/>
  <c r="D100" i="38"/>
  <c r="J95" i="36"/>
  <c r="E100" i="38"/>
  <c r="K95" i="36"/>
  <c r="F100" i="38"/>
  <c r="G100" i="38"/>
  <c r="J100" i="38"/>
  <c r="H100" i="38"/>
  <c r="R95" i="36"/>
  <c r="I100" i="38"/>
  <c r="N95" i="36"/>
  <c r="O95" i="36"/>
  <c r="S95" i="36"/>
  <c r="T95" i="36"/>
  <c r="P95" i="36"/>
  <c r="B100" i="38"/>
  <c r="U95" i="36"/>
  <c r="E95" i="36"/>
  <c r="V95" i="36"/>
  <c r="A100" i="38"/>
  <c r="F95" i="36"/>
  <c r="H95" i="36"/>
  <c r="L95" i="36"/>
  <c r="AA95" i="32"/>
  <c r="AB95" i="32" s="1"/>
  <c r="AD95" i="32" s="1"/>
  <c r="AL95" i="32"/>
  <c r="BA95" i="32"/>
  <c r="T94" i="32"/>
  <c r="S94" i="32"/>
  <c r="U94" i="32"/>
  <c r="AG94" i="32"/>
  <c r="AH93" i="32"/>
  <c r="AI92" i="32"/>
  <c r="C95" i="32"/>
  <c r="P95" i="32"/>
  <c r="V95" i="32"/>
  <c r="F95" i="32"/>
  <c r="G95" i="32" s="1"/>
  <c r="H95" i="32"/>
  <c r="I95" i="32" s="1"/>
  <c r="A96" i="32"/>
  <c r="L95" i="32"/>
  <c r="N95" i="32"/>
  <c r="O95" i="32"/>
  <c r="K95" i="32"/>
  <c r="B95" i="32"/>
  <c r="M95" i="32"/>
  <c r="J95" i="32"/>
  <c r="AA95" i="39" l="1"/>
  <c r="L95" i="39"/>
  <c r="Q95" i="39"/>
  <c r="AC95" i="39"/>
  <c r="X95" i="39"/>
  <c r="Z95" i="39"/>
  <c r="V95" i="39"/>
  <c r="AB95" i="39"/>
  <c r="Y95" i="39"/>
  <c r="T95" i="39"/>
  <c r="W95" i="39"/>
  <c r="U95" i="39"/>
  <c r="Z96" i="32"/>
  <c r="Y96" i="32"/>
  <c r="E96" i="32"/>
  <c r="AE95" i="32"/>
  <c r="AF95" i="32"/>
  <c r="H106" i="37"/>
  <c r="F106" i="37"/>
  <c r="C106" i="37"/>
  <c r="B106" i="37"/>
  <c r="G106" i="37"/>
  <c r="D106" i="37"/>
  <c r="E106" i="37"/>
  <c r="A96" i="39"/>
  <c r="B96" i="36"/>
  <c r="C96" i="36" s="1"/>
  <c r="BB96" i="32"/>
  <c r="BC96" i="32" s="1"/>
  <c r="A107" i="37"/>
  <c r="I107" i="37" s="1" a="1"/>
  <c r="I107" i="37" s="1"/>
  <c r="I96" i="36"/>
  <c r="A96" i="36"/>
  <c r="D95" i="39"/>
  <c r="N95" i="39" s="1"/>
  <c r="B95" i="39"/>
  <c r="E95" i="39"/>
  <c r="H95" i="39"/>
  <c r="J95" i="39"/>
  <c r="K95" i="39"/>
  <c r="I95" i="39"/>
  <c r="P95" i="39"/>
  <c r="G95" i="39"/>
  <c r="F95" i="39"/>
  <c r="O95" i="39"/>
  <c r="M95" i="39"/>
  <c r="C95" i="39"/>
  <c r="AM96" i="32"/>
  <c r="AN96" i="32" s="1"/>
  <c r="AC96" i="32"/>
  <c r="AQ96" i="32"/>
  <c r="AR96" i="32" s="1"/>
  <c r="AO96" i="32"/>
  <c r="AP96" i="32" s="1"/>
  <c r="AU96" i="32"/>
  <c r="AV96" i="32" s="1"/>
  <c r="AY96" i="32"/>
  <c r="AZ96" i="32" s="1"/>
  <c r="AW96" i="32"/>
  <c r="AX96" i="32" s="1"/>
  <c r="AS96" i="32"/>
  <c r="AT96" i="32" s="1"/>
  <c r="L48" i="32"/>
  <c r="K48" i="32"/>
  <c r="U47" i="32"/>
  <c r="AK96" i="32"/>
  <c r="D96" i="32"/>
  <c r="S96" i="36"/>
  <c r="E101" i="38"/>
  <c r="F96" i="36"/>
  <c r="H101" i="38"/>
  <c r="T96" i="36"/>
  <c r="F101" i="38"/>
  <c r="U96" i="36"/>
  <c r="G101" i="38"/>
  <c r="V96" i="36"/>
  <c r="I101" i="38"/>
  <c r="H96" i="36"/>
  <c r="K96" i="36"/>
  <c r="J101" i="38"/>
  <c r="J96" i="36"/>
  <c r="A101" i="38"/>
  <c r="L96" i="36"/>
  <c r="B101" i="38"/>
  <c r="N96" i="36"/>
  <c r="D101" i="38"/>
  <c r="C101" i="38"/>
  <c r="O96" i="36"/>
  <c r="R96" i="36"/>
  <c r="P96" i="36"/>
  <c r="E96" i="36"/>
  <c r="AA96" i="32"/>
  <c r="AB96" i="32" s="1"/>
  <c r="AD96" i="32" s="1"/>
  <c r="AL96" i="32"/>
  <c r="BA96" i="32"/>
  <c r="T95" i="32"/>
  <c r="AJ92" i="32"/>
  <c r="U95" i="32"/>
  <c r="AH94" i="32"/>
  <c r="S95" i="32"/>
  <c r="AI93" i="32"/>
  <c r="AG95" i="32"/>
  <c r="AH95" i="32" s="1"/>
  <c r="A97" i="32"/>
  <c r="J96" i="32"/>
  <c r="K96" i="32"/>
  <c r="L96" i="32"/>
  <c r="M96" i="32"/>
  <c r="N96" i="32"/>
  <c r="O96" i="32"/>
  <c r="B96" i="32"/>
  <c r="P96" i="32"/>
  <c r="C96" i="32"/>
  <c r="F96" i="32"/>
  <c r="G96" i="32" s="1"/>
  <c r="H96" i="32"/>
  <c r="I96" i="32" s="1"/>
  <c r="V96" i="32"/>
  <c r="Q96" i="39" l="1"/>
  <c r="L96" i="39"/>
  <c r="AA96" i="39"/>
  <c r="AC96" i="39"/>
  <c r="T96" i="39"/>
  <c r="AB96" i="39"/>
  <c r="Y96" i="39"/>
  <c r="X96" i="39"/>
  <c r="W96" i="39"/>
  <c r="V96" i="39"/>
  <c r="Z96" i="39"/>
  <c r="Z97" i="32"/>
  <c r="Y97" i="32"/>
  <c r="U96" i="39"/>
  <c r="E97" i="32"/>
  <c r="E96" i="39"/>
  <c r="K96" i="39"/>
  <c r="J96" i="39"/>
  <c r="F96" i="39"/>
  <c r="G96" i="39"/>
  <c r="I96" i="39"/>
  <c r="H96" i="39"/>
  <c r="O96" i="39"/>
  <c r="M96" i="39"/>
  <c r="C96" i="39"/>
  <c r="P96" i="39"/>
  <c r="B96" i="39"/>
  <c r="D96" i="39"/>
  <c r="N96" i="39" s="1"/>
  <c r="AE96" i="32"/>
  <c r="AF96" i="32"/>
  <c r="B97" i="36"/>
  <c r="C97" i="36" s="1"/>
  <c r="A97" i="39"/>
  <c r="BB97" i="32"/>
  <c r="BC97" i="32" s="1"/>
  <c r="I97" i="36"/>
  <c r="A97" i="36"/>
  <c r="A108" i="37"/>
  <c r="I108" i="37" s="1" a="1"/>
  <c r="I108" i="37" s="1"/>
  <c r="C107" i="37"/>
  <c r="G107" i="37"/>
  <c r="D107" i="37"/>
  <c r="E107" i="37"/>
  <c r="H107" i="37"/>
  <c r="F107" i="37"/>
  <c r="B107" i="37"/>
  <c r="AW97" i="32"/>
  <c r="AX97" i="32" s="1"/>
  <c r="AM97" i="32"/>
  <c r="AN97" i="32" s="1"/>
  <c r="AC97" i="32"/>
  <c r="AQ97" i="32"/>
  <c r="AR97" i="32" s="1"/>
  <c r="AU97" i="32"/>
  <c r="AV97" i="32" s="1"/>
  <c r="AY97" i="32"/>
  <c r="AZ97" i="32" s="1"/>
  <c r="AO97" i="32"/>
  <c r="AP97" i="32" s="1"/>
  <c r="AS97" i="32"/>
  <c r="AT97" i="32" s="1"/>
  <c r="P48" i="36"/>
  <c r="P48" i="32"/>
  <c r="N48" i="32"/>
  <c r="C49" i="32"/>
  <c r="T48" i="32"/>
  <c r="AK97" i="32"/>
  <c r="D97" i="32"/>
  <c r="G102" i="38"/>
  <c r="N97" i="36"/>
  <c r="K97" i="36"/>
  <c r="H102" i="38"/>
  <c r="O97" i="36"/>
  <c r="L97" i="36"/>
  <c r="E97" i="36"/>
  <c r="I102" i="38"/>
  <c r="P97" i="36"/>
  <c r="F97" i="36"/>
  <c r="J102" i="38"/>
  <c r="R97" i="36"/>
  <c r="S97" i="36"/>
  <c r="B102" i="38"/>
  <c r="T97" i="36"/>
  <c r="A102" i="38"/>
  <c r="U97" i="36"/>
  <c r="V97" i="36"/>
  <c r="C102" i="38"/>
  <c r="F102" i="38"/>
  <c r="D102" i="38"/>
  <c r="H97" i="36"/>
  <c r="E102" i="38"/>
  <c r="J97" i="36"/>
  <c r="AA97" i="32"/>
  <c r="AB97" i="32" s="1"/>
  <c r="AD97" i="32" s="1"/>
  <c r="AL97" i="32"/>
  <c r="BA97" i="32"/>
  <c r="AI95" i="32"/>
  <c r="AI94" i="32"/>
  <c r="S96" i="32"/>
  <c r="AJ93" i="32"/>
  <c r="T96" i="32"/>
  <c r="U96" i="32"/>
  <c r="AG96" i="32"/>
  <c r="AH96" i="32" s="1"/>
  <c r="N97" i="32"/>
  <c r="F97" i="32"/>
  <c r="G97" i="32" s="1"/>
  <c r="B97" i="32"/>
  <c r="O97" i="32"/>
  <c r="C97" i="32"/>
  <c r="P97" i="32"/>
  <c r="J97" i="32"/>
  <c r="H97" i="32"/>
  <c r="I97" i="32" s="1"/>
  <c r="A98" i="32"/>
  <c r="V97" i="32"/>
  <c r="K97" i="32"/>
  <c r="L97" i="32"/>
  <c r="M97" i="32"/>
  <c r="Q97" i="39" l="1"/>
  <c r="AC97" i="39"/>
  <c r="L97" i="39"/>
  <c r="AA97" i="39"/>
  <c r="Z97" i="39"/>
  <c r="X97" i="39"/>
  <c r="Y97" i="39"/>
  <c r="W97" i="39"/>
  <c r="V97" i="39"/>
  <c r="T97" i="39"/>
  <c r="AB97" i="39"/>
  <c r="U97" i="39"/>
  <c r="Z98" i="32"/>
  <c r="Y98" i="32"/>
  <c r="E98" i="32"/>
  <c r="AE97" i="32"/>
  <c r="AF97" i="32"/>
  <c r="I97" i="39"/>
  <c r="P97" i="39"/>
  <c r="M97" i="39"/>
  <c r="G97" i="39"/>
  <c r="F97" i="39"/>
  <c r="E97" i="39"/>
  <c r="O97" i="39"/>
  <c r="D97" i="39"/>
  <c r="N97" i="39" s="1"/>
  <c r="J97" i="39"/>
  <c r="C97" i="39"/>
  <c r="B97" i="39"/>
  <c r="H97" i="39"/>
  <c r="K97" i="39"/>
  <c r="B98" i="36"/>
  <c r="C98" i="36" s="1"/>
  <c r="BB98" i="32"/>
  <c r="BC98" i="32" s="1"/>
  <c r="A98" i="39"/>
  <c r="A109" i="37"/>
  <c r="I109" i="37" s="1" a="1"/>
  <c r="I109" i="37" s="1"/>
  <c r="I98" i="36"/>
  <c r="A98" i="36"/>
  <c r="F108" i="37"/>
  <c r="G108" i="37"/>
  <c r="D108" i="37"/>
  <c r="H108" i="37"/>
  <c r="C108" i="37"/>
  <c r="B108" i="37"/>
  <c r="E108" i="37"/>
  <c r="AM98" i="32"/>
  <c r="AN98" i="32" s="1"/>
  <c r="AC98" i="32"/>
  <c r="AW98" i="32"/>
  <c r="AX98" i="32" s="1"/>
  <c r="AQ98" i="32"/>
  <c r="AR98" i="32" s="1"/>
  <c r="AU98" i="32"/>
  <c r="AV98" i="32" s="1"/>
  <c r="AY98" i="32"/>
  <c r="AZ98" i="32" s="1"/>
  <c r="AS98" i="32"/>
  <c r="AT98" i="32" s="1"/>
  <c r="AO98" i="32"/>
  <c r="AP98" i="32" s="1"/>
  <c r="L49" i="32"/>
  <c r="K49" i="32"/>
  <c r="U48" i="32"/>
  <c r="AK98" i="32"/>
  <c r="U98" i="36"/>
  <c r="I103" i="38"/>
  <c r="V98" i="36"/>
  <c r="J103" i="38"/>
  <c r="H98" i="36"/>
  <c r="A103" i="38"/>
  <c r="O98" i="36"/>
  <c r="J98" i="36"/>
  <c r="F98" i="36"/>
  <c r="D98" i="32"/>
  <c r="B103" i="38"/>
  <c r="P98" i="36"/>
  <c r="K98" i="36"/>
  <c r="C103" i="38"/>
  <c r="L98" i="36"/>
  <c r="D103" i="38"/>
  <c r="E103" i="38"/>
  <c r="R98" i="36"/>
  <c r="F103" i="38"/>
  <c r="H103" i="38"/>
  <c r="S98" i="36"/>
  <c r="G103" i="38"/>
  <c r="T98" i="36"/>
  <c r="N98" i="36"/>
  <c r="E98" i="36"/>
  <c r="AA98" i="32"/>
  <c r="AB98" i="32" s="1"/>
  <c r="AD98" i="32" s="1"/>
  <c r="AL98" i="32"/>
  <c r="BA98" i="32"/>
  <c r="S97" i="32"/>
  <c r="U97" i="32"/>
  <c r="T97" i="32"/>
  <c r="AI96" i="32"/>
  <c r="AG97" i="32"/>
  <c r="AJ94" i="32"/>
  <c r="AJ95" i="32"/>
  <c r="H98" i="32"/>
  <c r="I98" i="32" s="1"/>
  <c r="V98" i="32"/>
  <c r="A99" i="32"/>
  <c r="J98" i="32"/>
  <c r="K98" i="32"/>
  <c r="L98" i="32"/>
  <c r="B98" i="32"/>
  <c r="O98" i="32"/>
  <c r="P98" i="32"/>
  <c r="C98" i="32"/>
  <c r="F98" i="32"/>
  <c r="G98" i="32" s="1"/>
  <c r="M98" i="32"/>
  <c r="N98" i="32"/>
  <c r="Q98" i="39" l="1"/>
  <c r="AC98" i="39"/>
  <c r="L98" i="39"/>
  <c r="AA98" i="39"/>
  <c r="X98" i="39"/>
  <c r="V98" i="39"/>
  <c r="T98" i="39"/>
  <c r="AB98" i="39"/>
  <c r="Y98" i="39"/>
  <c r="Z98" i="39"/>
  <c r="W98" i="39"/>
  <c r="Z99" i="32"/>
  <c r="Y99" i="32"/>
  <c r="U98" i="39"/>
  <c r="T49" i="32"/>
  <c r="C50" i="32"/>
  <c r="E99" i="32"/>
  <c r="H109" i="37"/>
  <c r="G109" i="37"/>
  <c r="D109" i="37"/>
  <c r="C109" i="37"/>
  <c r="E109" i="37"/>
  <c r="F109" i="37"/>
  <c r="B109" i="37"/>
  <c r="P98" i="39"/>
  <c r="M98" i="39"/>
  <c r="E98" i="39"/>
  <c r="J98" i="39"/>
  <c r="D98" i="39"/>
  <c r="N98" i="39" s="1"/>
  <c r="C98" i="39"/>
  <c r="B98" i="39"/>
  <c r="K98" i="39"/>
  <c r="G98" i="39"/>
  <c r="H98" i="39"/>
  <c r="O98" i="39"/>
  <c r="F98" i="39"/>
  <c r="I98" i="39"/>
  <c r="AE98" i="32"/>
  <c r="AF98" i="32"/>
  <c r="A110" i="37"/>
  <c r="I110" i="37" s="1" a="1"/>
  <c r="I110" i="37" s="1"/>
  <c r="BB99" i="32"/>
  <c r="BC99" i="32" s="1"/>
  <c r="A99" i="39"/>
  <c r="I99" i="36"/>
  <c r="B99" i="36"/>
  <c r="C99" i="36" s="1"/>
  <c r="A99" i="36"/>
  <c r="AS99" i="32"/>
  <c r="AT99" i="32" s="1"/>
  <c r="AW99" i="32"/>
  <c r="AX99" i="32" s="1"/>
  <c r="AM99" i="32"/>
  <c r="AN99" i="32" s="1"/>
  <c r="AC99" i="32"/>
  <c r="AQ99" i="32"/>
  <c r="AR99" i="32" s="1"/>
  <c r="AU99" i="32"/>
  <c r="AV99" i="32" s="1"/>
  <c r="AY99" i="32"/>
  <c r="AZ99" i="32" s="1"/>
  <c r="AO99" i="32"/>
  <c r="AP99" i="32" s="1"/>
  <c r="P49" i="36"/>
  <c r="N49" i="32"/>
  <c r="U49" i="32" s="1"/>
  <c r="P49" i="32"/>
  <c r="AK99" i="32"/>
  <c r="D99" i="32"/>
  <c r="B104" i="38"/>
  <c r="R99" i="36"/>
  <c r="A104" i="38"/>
  <c r="S99" i="36"/>
  <c r="T99" i="36"/>
  <c r="C104" i="38"/>
  <c r="F104" i="38"/>
  <c r="O99" i="36"/>
  <c r="U99" i="36"/>
  <c r="D104" i="38"/>
  <c r="E99" i="36"/>
  <c r="H99" i="36"/>
  <c r="V99" i="36"/>
  <c r="E104" i="38"/>
  <c r="N99" i="36"/>
  <c r="F99" i="36"/>
  <c r="G104" i="38"/>
  <c r="P99" i="36"/>
  <c r="J104" i="38"/>
  <c r="H104" i="38"/>
  <c r="J99" i="36"/>
  <c r="I104" i="38"/>
  <c r="K99" i="36"/>
  <c r="L99" i="36"/>
  <c r="AA99" i="32"/>
  <c r="AB99" i="32" s="1"/>
  <c r="AD99" i="32" s="1"/>
  <c r="AL99" i="32"/>
  <c r="BA99" i="32"/>
  <c r="AJ96" i="32"/>
  <c r="AH97" i="32"/>
  <c r="U98" i="32"/>
  <c r="S98" i="32"/>
  <c r="AG98" i="32"/>
  <c r="T98" i="32"/>
  <c r="L99" i="32"/>
  <c r="P99" i="32"/>
  <c r="M99" i="32"/>
  <c r="N99" i="32"/>
  <c r="B99" i="32"/>
  <c r="O99" i="32"/>
  <c r="C99" i="32"/>
  <c r="H99" i="32"/>
  <c r="I99" i="32" s="1"/>
  <c r="V99" i="32"/>
  <c r="A100" i="32"/>
  <c r="F99" i="32"/>
  <c r="G99" i="32" s="1"/>
  <c r="J99" i="32"/>
  <c r="K99" i="32"/>
  <c r="Q99" i="39" l="1"/>
  <c r="AC99" i="39"/>
  <c r="L99" i="39"/>
  <c r="AA99" i="39"/>
  <c r="T99" i="39"/>
  <c r="Z99" i="39"/>
  <c r="Y99" i="39"/>
  <c r="X99" i="39"/>
  <c r="W99" i="39"/>
  <c r="AB99" i="39"/>
  <c r="V99" i="39"/>
  <c r="Z100" i="32"/>
  <c r="Y100" i="32"/>
  <c r="U99" i="39"/>
  <c r="L50" i="32"/>
  <c r="C51" i="32" s="1"/>
  <c r="K50" i="32"/>
  <c r="P50" i="36" s="1"/>
  <c r="E100" i="32"/>
  <c r="C110" i="37"/>
  <c r="B110" i="37"/>
  <c r="G110" i="37"/>
  <c r="D110" i="37"/>
  <c r="F110" i="37"/>
  <c r="H110" i="37"/>
  <c r="E110" i="37"/>
  <c r="AE99" i="32"/>
  <c r="AF99" i="32"/>
  <c r="A100" i="36"/>
  <c r="BB100" i="32"/>
  <c r="BC100" i="32" s="1"/>
  <c r="A100" i="39"/>
  <c r="I100" i="36"/>
  <c r="A111" i="37"/>
  <c r="I111" i="37" s="1" a="1"/>
  <c r="I111" i="37" s="1"/>
  <c r="B100" i="36"/>
  <c r="C100" i="36" s="1"/>
  <c r="J99" i="39"/>
  <c r="O99" i="39"/>
  <c r="M99" i="39"/>
  <c r="H99" i="39"/>
  <c r="G99" i="39"/>
  <c r="B99" i="39"/>
  <c r="F99" i="39"/>
  <c r="E99" i="39"/>
  <c r="P99" i="39"/>
  <c r="D99" i="39"/>
  <c r="N99" i="39" s="1"/>
  <c r="K99" i="39"/>
  <c r="C99" i="39"/>
  <c r="I99" i="39"/>
  <c r="AS100" i="32"/>
  <c r="AT100" i="32" s="1"/>
  <c r="AW100" i="32"/>
  <c r="AX100" i="32" s="1"/>
  <c r="AM100" i="32"/>
  <c r="AN100" i="32" s="1"/>
  <c r="AC100" i="32"/>
  <c r="AQ100" i="32"/>
  <c r="AR100" i="32" s="1"/>
  <c r="AU100" i="32"/>
  <c r="AV100" i="32" s="1"/>
  <c r="AO100" i="32"/>
  <c r="AP100" i="32" s="1"/>
  <c r="AY100" i="32"/>
  <c r="AZ100" i="32" s="1"/>
  <c r="AK100" i="32"/>
  <c r="D100" i="32"/>
  <c r="A105" i="38"/>
  <c r="H100" i="36"/>
  <c r="D105" i="38"/>
  <c r="B105" i="38"/>
  <c r="C105" i="38"/>
  <c r="J100" i="36"/>
  <c r="E105" i="38"/>
  <c r="L100" i="36"/>
  <c r="F105" i="38"/>
  <c r="H105" i="38"/>
  <c r="G105" i="38"/>
  <c r="E100" i="36"/>
  <c r="R100" i="36"/>
  <c r="S100" i="36"/>
  <c r="I105" i="38"/>
  <c r="F100" i="36"/>
  <c r="T100" i="36"/>
  <c r="J105" i="38"/>
  <c r="N100" i="36"/>
  <c r="U100" i="36"/>
  <c r="O100" i="36"/>
  <c r="V100" i="36"/>
  <c r="P100" i="36"/>
  <c r="K100" i="36"/>
  <c r="AA100" i="32"/>
  <c r="AB100" i="32" s="1"/>
  <c r="AD100" i="32" s="1"/>
  <c r="AL100" i="32"/>
  <c r="BA100" i="32"/>
  <c r="AI97" i="32"/>
  <c r="T99" i="32"/>
  <c r="S99" i="32"/>
  <c r="AG99" i="32"/>
  <c r="U99" i="32"/>
  <c r="AH98" i="32"/>
  <c r="F100" i="32"/>
  <c r="G100" i="32" s="1"/>
  <c r="V100" i="32"/>
  <c r="H100" i="32"/>
  <c r="I100" i="32" s="1"/>
  <c r="A101" i="32"/>
  <c r="J100" i="32"/>
  <c r="C100" i="32"/>
  <c r="K100" i="32"/>
  <c r="L100" i="32"/>
  <c r="M100" i="32"/>
  <c r="O100" i="32"/>
  <c r="B100" i="32"/>
  <c r="N100" i="32"/>
  <c r="P100" i="32"/>
  <c r="Q100" i="39" l="1"/>
  <c r="AC100" i="39"/>
  <c r="L100" i="39"/>
  <c r="AA100" i="39"/>
  <c r="T100" i="39"/>
  <c r="AB100" i="39"/>
  <c r="X100" i="39"/>
  <c r="Y100" i="39"/>
  <c r="W100" i="39"/>
  <c r="Z100" i="39"/>
  <c r="V100" i="39"/>
  <c r="Z101" i="32"/>
  <c r="Y101" i="32"/>
  <c r="U100" i="39"/>
  <c r="K51" i="32"/>
  <c r="P51" i="36" s="1"/>
  <c r="L51" i="32"/>
  <c r="N50" i="32"/>
  <c r="U50" i="32" s="1"/>
  <c r="P50" i="32"/>
  <c r="T50" i="32"/>
  <c r="E101" i="32"/>
  <c r="K100" i="39"/>
  <c r="P100" i="39"/>
  <c r="C100" i="39"/>
  <c r="M100" i="39"/>
  <c r="J100" i="39"/>
  <c r="I100" i="39"/>
  <c r="H100" i="39"/>
  <c r="B100" i="39"/>
  <c r="G100" i="39"/>
  <c r="O100" i="39"/>
  <c r="F100" i="39"/>
  <c r="E100" i="39"/>
  <c r="D100" i="39"/>
  <c r="N100" i="39" s="1"/>
  <c r="BB101" i="32"/>
  <c r="BC101" i="32" s="1"/>
  <c r="A101" i="39"/>
  <c r="I101" i="36"/>
  <c r="A112" i="37"/>
  <c r="I112" i="37" s="1" a="1"/>
  <c r="I112" i="37" s="1"/>
  <c r="B101" i="36"/>
  <c r="C101" i="36" s="1"/>
  <c r="A101" i="36"/>
  <c r="C111" i="37"/>
  <c r="H111" i="37"/>
  <c r="F111" i="37"/>
  <c r="E111" i="37"/>
  <c r="G111" i="37"/>
  <c r="D111" i="37"/>
  <c r="B111" i="37"/>
  <c r="AE100" i="32"/>
  <c r="AF100" i="32"/>
  <c r="AO101" i="32"/>
  <c r="AP101" i="32" s="1"/>
  <c r="AS101" i="32"/>
  <c r="AT101" i="32" s="1"/>
  <c r="AU101" i="32"/>
  <c r="AV101" i="32" s="1"/>
  <c r="AW101" i="32"/>
  <c r="AX101" i="32" s="1"/>
  <c r="AM101" i="32"/>
  <c r="AN101" i="32" s="1"/>
  <c r="AC101" i="32"/>
  <c r="AQ101" i="32"/>
  <c r="AR101" i="32" s="1"/>
  <c r="AY101" i="32"/>
  <c r="AZ101" i="32" s="1"/>
  <c r="AK101" i="32"/>
  <c r="D101" i="32"/>
  <c r="R101" i="36"/>
  <c r="C106" i="38"/>
  <c r="N101" i="36"/>
  <c r="S101" i="36"/>
  <c r="D106" i="38"/>
  <c r="O101" i="36"/>
  <c r="T101" i="36"/>
  <c r="E106" i="38"/>
  <c r="P101" i="36"/>
  <c r="F106" i="38"/>
  <c r="U101" i="36"/>
  <c r="V101" i="36"/>
  <c r="G106" i="38"/>
  <c r="H106" i="38"/>
  <c r="H101" i="36"/>
  <c r="J101" i="36"/>
  <c r="I106" i="38"/>
  <c r="J106" i="38"/>
  <c r="K101" i="36"/>
  <c r="L101" i="36"/>
  <c r="E101" i="36"/>
  <c r="B106" i="38"/>
  <c r="A106" i="38"/>
  <c r="F101" i="36"/>
  <c r="AA101" i="32"/>
  <c r="AB101" i="32" s="1"/>
  <c r="AD101" i="32" s="1"/>
  <c r="AL101" i="32"/>
  <c r="BA101" i="32"/>
  <c r="U100" i="32"/>
  <c r="AG100" i="32"/>
  <c r="S100" i="32"/>
  <c r="AH99" i="32"/>
  <c r="AI98" i="32"/>
  <c r="T100" i="32"/>
  <c r="AJ97" i="32"/>
  <c r="J101" i="32"/>
  <c r="M101" i="32"/>
  <c r="K101" i="32"/>
  <c r="N101" i="32"/>
  <c r="L101" i="32"/>
  <c r="O101" i="32"/>
  <c r="B101" i="32"/>
  <c r="P101" i="32"/>
  <c r="C101" i="32"/>
  <c r="V101" i="32"/>
  <c r="A102" i="32"/>
  <c r="H101" i="32"/>
  <c r="I101" i="32" s="1"/>
  <c r="F101" i="32"/>
  <c r="G101" i="32" s="1"/>
  <c r="Q101" i="39" l="1"/>
  <c r="AC101" i="39"/>
  <c r="L101" i="39"/>
  <c r="AA101" i="39"/>
  <c r="X101" i="39"/>
  <c r="V101" i="39"/>
  <c r="AB101" i="39"/>
  <c r="T101" i="39"/>
  <c r="Y101" i="39"/>
  <c r="W101" i="39"/>
  <c r="Z101" i="39"/>
  <c r="Z102" i="32"/>
  <c r="Y102" i="32"/>
  <c r="U101" i="39"/>
  <c r="P51" i="32"/>
  <c r="N51" i="32"/>
  <c r="U51" i="32" s="1"/>
  <c r="C52" i="32"/>
  <c r="T51" i="32"/>
  <c r="E102" i="32"/>
  <c r="BB102" i="32"/>
  <c r="BC102" i="32" s="1"/>
  <c r="A102" i="39"/>
  <c r="I102" i="36"/>
  <c r="A113" i="37"/>
  <c r="I113" i="37" s="1" a="1"/>
  <c r="I113" i="37" s="1"/>
  <c r="B102" i="36"/>
  <c r="C102" i="36" s="1"/>
  <c r="A102" i="36"/>
  <c r="AE101" i="32"/>
  <c r="AF101" i="32"/>
  <c r="P101" i="39"/>
  <c r="J101" i="39"/>
  <c r="M101" i="39"/>
  <c r="B101" i="39"/>
  <c r="E101" i="39"/>
  <c r="H101" i="39"/>
  <c r="I101" i="39"/>
  <c r="O101" i="39"/>
  <c r="K101" i="39"/>
  <c r="D101" i="39"/>
  <c r="N101" i="39" s="1"/>
  <c r="G101" i="39"/>
  <c r="F101" i="39"/>
  <c r="C101" i="39"/>
  <c r="F112" i="37"/>
  <c r="H112" i="37"/>
  <c r="C112" i="37"/>
  <c r="G112" i="37"/>
  <c r="D112" i="37"/>
  <c r="B112" i="37"/>
  <c r="E112" i="37"/>
  <c r="AY102" i="32"/>
  <c r="AZ102" i="32" s="1"/>
  <c r="AO102" i="32"/>
  <c r="AP102" i="32" s="1"/>
  <c r="AS102" i="32"/>
  <c r="AT102" i="32" s="1"/>
  <c r="AW102" i="32"/>
  <c r="AX102" i="32" s="1"/>
  <c r="AM102" i="32"/>
  <c r="AN102" i="32" s="1"/>
  <c r="AC102" i="32"/>
  <c r="AQ102" i="32"/>
  <c r="AR102" i="32" s="1"/>
  <c r="AU102" i="32"/>
  <c r="AV102" i="32" s="1"/>
  <c r="AK102" i="32"/>
  <c r="D102" i="32"/>
  <c r="E107" i="38"/>
  <c r="J102" i="36"/>
  <c r="F102" i="36"/>
  <c r="H107" i="38"/>
  <c r="F107" i="38"/>
  <c r="K102" i="36"/>
  <c r="G107" i="38"/>
  <c r="L102" i="36"/>
  <c r="I107" i="38"/>
  <c r="O102" i="36"/>
  <c r="R102" i="36"/>
  <c r="J107" i="38"/>
  <c r="P102" i="36"/>
  <c r="S102" i="36"/>
  <c r="T102" i="36"/>
  <c r="U102" i="36"/>
  <c r="A107" i="38"/>
  <c r="D107" i="38"/>
  <c r="V102" i="36"/>
  <c r="B107" i="38"/>
  <c r="C107" i="38"/>
  <c r="H102" i="36"/>
  <c r="N102" i="36"/>
  <c r="E102" i="36"/>
  <c r="AA102" i="32"/>
  <c r="AB102" i="32" s="1"/>
  <c r="AD102" i="32" s="1"/>
  <c r="M28" i="38" s="1"/>
  <c r="BA102" i="32"/>
  <c r="AL102" i="32"/>
  <c r="AH100" i="32"/>
  <c r="AI100" i="32" s="1"/>
  <c r="T101" i="32"/>
  <c r="U101" i="32"/>
  <c r="AG101" i="32"/>
  <c r="AJ98" i="32"/>
  <c r="AI99" i="32"/>
  <c r="S101" i="32"/>
  <c r="B102" i="32"/>
  <c r="O102" i="32"/>
  <c r="H102" i="32"/>
  <c r="I102" i="32" s="1"/>
  <c r="C102" i="32"/>
  <c r="P102" i="32"/>
  <c r="V102" i="32"/>
  <c r="F102" i="32"/>
  <c r="G102" i="32" s="1"/>
  <c r="N102" i="32"/>
  <c r="K102" i="32"/>
  <c r="M102" i="32"/>
  <c r="L102" i="32"/>
  <c r="J102" i="32"/>
  <c r="AC102" i="39" l="1"/>
  <c r="B53" i="40" s="1"/>
  <c r="Q102" i="39"/>
  <c r="L102" i="39"/>
  <c r="AA102" i="39"/>
  <c r="B46" i="40" s="1"/>
  <c r="J16" i="34" a="1"/>
  <c r="J16" i="34" s="1"/>
  <c r="J17" i="34" a="1"/>
  <c r="J17" i="34" s="1"/>
  <c r="AB102" i="39"/>
  <c r="X102" i="39"/>
  <c r="B18" i="33" a="1"/>
  <c r="B18" i="33" s="1"/>
  <c r="V102" i="39"/>
  <c r="Z102" i="39"/>
  <c r="T102" i="39"/>
  <c r="Y102" i="39"/>
  <c r="C27" i="40" s="1"/>
  <c r="D27" i="40" s="1"/>
  <c r="W102" i="39"/>
  <c r="C25" i="40" s="1"/>
  <c r="D25" i="40" s="1"/>
  <c r="U102" i="39"/>
  <c r="L52" i="32"/>
  <c r="K52" i="32"/>
  <c r="P52" i="36" s="1"/>
  <c r="H113" i="37"/>
  <c r="C113" i="37"/>
  <c r="G113" i="37"/>
  <c r="D113" i="37"/>
  <c r="E113" i="37"/>
  <c r="F113" i="37"/>
  <c r="B113" i="37"/>
  <c r="P102" i="39"/>
  <c r="G102" i="39"/>
  <c r="D102" i="39"/>
  <c r="N102" i="39" s="1"/>
  <c r="C102" i="39"/>
  <c r="O102" i="39"/>
  <c r="F102" i="39"/>
  <c r="M102" i="39"/>
  <c r="B102" i="39"/>
  <c r="J102" i="39"/>
  <c r="I102" i="39"/>
  <c r="K102" i="39"/>
  <c r="B8" i="33" s="1" a="1"/>
  <c r="B8" i="33" s="1"/>
  <c r="E102" i="39"/>
  <c r="H102" i="39"/>
  <c r="AE102" i="32"/>
  <c r="B25" i="33" s="1"/>
  <c r="AF102" i="32"/>
  <c r="Y3" i="36"/>
  <c r="AT2" i="36" s="1"/>
  <c r="B26" i="33"/>
  <c r="M31" i="38"/>
  <c r="Y5" i="36" a="1"/>
  <c r="Y5" i="36" s="1"/>
  <c r="M27" i="38"/>
  <c r="Y2" i="36"/>
  <c r="AS2" i="36" s="1"/>
  <c r="AG102" i="32"/>
  <c r="AH102" i="32" s="1"/>
  <c r="AJ99" i="32"/>
  <c r="T102" i="32"/>
  <c r="U102" i="32"/>
  <c r="S102" i="32"/>
  <c r="AJ100" i="32"/>
  <c r="AH101" i="32"/>
  <c r="H17" i="34" l="1"/>
  <c r="D17" i="34"/>
  <c r="G17" i="34"/>
  <c r="F17" i="34"/>
  <c r="E17" i="34"/>
  <c r="C17" i="34"/>
  <c r="E16" i="34"/>
  <c r="D16" i="34"/>
  <c r="C16" i="34"/>
  <c r="H16" i="34"/>
  <c r="G16" i="34"/>
  <c r="F16" i="34"/>
  <c r="C26" i="40"/>
  <c r="B52" i="40" s="1"/>
  <c r="C53" i="40" s="1"/>
  <c r="B10" i="40"/>
  <c r="B12" i="40" s="1"/>
  <c r="S10" i="39" a="1"/>
  <c r="S10" i="39" s="1"/>
  <c r="P52" i="32"/>
  <c r="N52" i="32"/>
  <c r="U52" i="32" s="1"/>
  <c r="C53" i="32"/>
  <c r="T52" i="32"/>
  <c r="AV2" i="36"/>
  <c r="B8" i="37"/>
  <c r="B24" i="33"/>
  <c r="B27" i="33" s="1"/>
  <c r="B28" i="33" s="1"/>
  <c r="M30" i="38"/>
  <c r="M32" i="38" s="1"/>
  <c r="M33" i="38" s="1"/>
  <c r="Y4" i="36"/>
  <c r="AU2" i="36" s="1"/>
  <c r="M29" i="38"/>
  <c r="AI102" i="32"/>
  <c r="AI101" i="32"/>
  <c r="C35" i="40" l="1"/>
  <c r="C36" i="40"/>
  <c r="C37" i="40"/>
  <c r="D26" i="40"/>
  <c r="J18" i="34" a="1"/>
  <c r="J18" i="34" s="1"/>
  <c r="J19" i="34" a="1"/>
  <c r="J19" i="34" s="1"/>
  <c r="B45" i="40"/>
  <c r="C46" i="40" s="1"/>
  <c r="L53" i="32"/>
  <c r="K53" i="32"/>
  <c r="P53" i="36" s="1"/>
  <c r="Y6" i="36"/>
  <c r="AW2" i="36" s="1"/>
  <c r="S8" i="39"/>
  <c r="B11" i="33" a="1"/>
  <c r="B11" i="33" s="1"/>
  <c r="AJ102" i="32"/>
  <c r="AJ101" i="32"/>
  <c r="F19" i="34" l="1"/>
  <c r="F18" i="34"/>
  <c r="C18" i="34"/>
  <c r="H18" i="34"/>
  <c r="E18" i="34"/>
  <c r="G18" i="34" s="1"/>
  <c r="D18" i="34"/>
  <c r="H19" i="34"/>
  <c r="E19" i="34"/>
  <c r="G19" i="34" s="1"/>
  <c r="D19" i="34"/>
  <c r="C19" i="34"/>
  <c r="P53" i="32"/>
  <c r="N53" i="32"/>
  <c r="U53" i="32" s="1"/>
  <c r="T53" i="32"/>
  <c r="C54" i="32"/>
  <c r="K54" i="32" l="1"/>
  <c r="P54" i="36" s="1"/>
  <c r="L54" i="32"/>
  <c r="C3" i="36"/>
  <c r="F14" i="37" s="1"/>
  <c r="E14" i="37"/>
  <c r="H14" i="37" s="1"/>
  <c r="N54" i="32" l="1"/>
  <c r="U54" i="32" s="1"/>
  <c r="P54" i="32"/>
  <c r="T54" i="32"/>
  <c r="C55" i="32"/>
  <c r="C4" i="36"/>
  <c r="F15" i="37" s="1"/>
  <c r="E15" i="37"/>
  <c r="H15" i="37" s="1"/>
  <c r="K55" i="32" l="1"/>
  <c r="P55" i="36" s="1"/>
  <c r="L55" i="32"/>
  <c r="C5" i="36"/>
  <c r="F16" i="37" s="1"/>
  <c r="E16" i="37"/>
  <c r="H16" i="37" s="1"/>
  <c r="P55" i="32" l="1"/>
  <c r="N55" i="32"/>
  <c r="U55" i="32" s="1"/>
  <c r="T55" i="32"/>
  <c r="C56" i="32"/>
  <c r="C6" i="36"/>
  <c r="F17" i="37" s="1"/>
  <c r="E17" i="37"/>
  <c r="H17" i="37" s="1"/>
  <c r="K56" i="32" l="1"/>
  <c r="P56" i="36" s="1"/>
  <c r="L56" i="32"/>
  <c r="C7" i="36"/>
  <c r="F18" i="37" s="1"/>
  <c r="E18" i="37"/>
  <c r="H18" i="37" s="1"/>
  <c r="N56" i="32" l="1"/>
  <c r="U56" i="32" s="1"/>
  <c r="P56" i="32"/>
  <c r="C57" i="32"/>
  <c r="T56" i="32"/>
  <c r="C8" i="36"/>
  <c r="F19" i="37" s="1"/>
  <c r="E19" i="37"/>
  <c r="H19" i="37" s="1"/>
  <c r="L57" i="32" l="1"/>
  <c r="K57" i="32"/>
  <c r="P57" i="36" s="1"/>
  <c r="C9" i="36"/>
  <c r="F20" i="37" s="1"/>
  <c r="E20" i="37"/>
  <c r="H20" i="37" s="1"/>
  <c r="N57" i="32" l="1"/>
  <c r="U57" i="32" s="1"/>
  <c r="P57" i="32"/>
  <c r="C58" i="32"/>
  <c r="T57" i="32"/>
  <c r="C10" i="36"/>
  <c r="F21" i="37" s="1"/>
  <c r="E21" i="37"/>
  <c r="H21" i="37" s="1"/>
  <c r="L58" i="32" l="1"/>
  <c r="K58" i="32"/>
  <c r="P58" i="36" s="1"/>
  <c r="C11" i="36"/>
  <c r="F22" i="37" s="1"/>
  <c r="E22" i="37"/>
  <c r="H22" i="37" s="1"/>
  <c r="N58" i="32" l="1"/>
  <c r="U58" i="32" s="1"/>
  <c r="P58" i="32"/>
  <c r="C59" i="32"/>
  <c r="T58" i="32"/>
  <c r="C12" i="36"/>
  <c r="F23" i="37" s="1"/>
  <c r="E23" i="37"/>
  <c r="H23" i="37" s="1"/>
  <c r="K59" i="32" l="1"/>
  <c r="P59" i="36" s="1"/>
  <c r="L59" i="32"/>
  <c r="C13" i="36"/>
  <c r="F24" i="37" s="1"/>
  <c r="E24" i="37"/>
  <c r="H24" i="37" s="1"/>
  <c r="P59" i="32" l="1"/>
  <c r="N59" i="32"/>
  <c r="U59" i="32" s="1"/>
  <c r="T59" i="32"/>
  <c r="C60" i="32"/>
  <c r="C14" i="36"/>
  <c r="F25" i="37" s="1"/>
  <c r="E25" i="37"/>
  <c r="H25" i="37" s="1"/>
  <c r="K60" i="32" l="1"/>
  <c r="P60" i="36" s="1"/>
  <c r="L60" i="32"/>
  <c r="C15" i="36"/>
  <c r="F26" i="37" s="1"/>
  <c r="E26" i="37"/>
  <c r="H26" i="37" s="1"/>
  <c r="J6" i="34" l="1" a="1"/>
  <c r="J6" i="34" s="1"/>
  <c r="J7" i="34" a="1"/>
  <c r="J7" i="34" s="1"/>
  <c r="J5" i="34" a="1"/>
  <c r="J5" i="34" s="1"/>
  <c r="J8" i="34" a="1"/>
  <c r="J8" i="34" s="1"/>
  <c r="P60" i="32"/>
  <c r="N60" i="32"/>
  <c r="U60" i="32" s="1"/>
  <c r="T60" i="32"/>
  <c r="C16" i="36"/>
  <c r="F27" i="37" s="1"/>
  <c r="E27" i="37"/>
  <c r="H27" i="37" s="1"/>
  <c r="F8" i="34" l="1"/>
  <c r="D8" i="34"/>
  <c r="H8" i="34"/>
  <c r="G8" i="34"/>
  <c r="E8" i="34"/>
  <c r="C8" i="34"/>
  <c r="H5" i="34"/>
  <c r="G5" i="34"/>
  <c r="F5" i="34"/>
  <c r="D5" i="34"/>
  <c r="C5" i="34"/>
  <c r="E5" i="34"/>
  <c r="G7" i="34"/>
  <c r="F7" i="34"/>
  <c r="E7" i="34"/>
  <c r="D7" i="34"/>
  <c r="C7" i="34"/>
  <c r="H7" i="34"/>
  <c r="H6" i="34"/>
  <c r="F6" i="34"/>
  <c r="D6" i="34"/>
  <c r="G6" i="34"/>
  <c r="E6" i="34"/>
  <c r="C6" i="34"/>
  <c r="C17" i="36"/>
  <c r="F28" i="37" s="1"/>
  <c r="E28" i="37"/>
  <c r="H28" i="37" s="1"/>
  <c r="C18" i="36" l="1"/>
  <c r="F29" i="37" s="1"/>
  <c r="E29" i="37"/>
  <c r="H29" i="37" s="1"/>
  <c r="C19" i="36" l="1"/>
  <c r="F30" i="37" s="1"/>
  <c r="E30" i="37"/>
  <c r="H30" i="37" s="1"/>
  <c r="C20" i="36" l="1"/>
  <c r="F31" i="37" s="1"/>
  <c r="E31" i="37"/>
  <c r="H31" i="37" s="1"/>
  <c r="C21" i="36" l="1"/>
  <c r="F32" i="37" s="1"/>
  <c r="E32" i="37"/>
  <c r="H32" i="37" s="1"/>
  <c r="C22" i="36" l="1"/>
  <c r="F33" i="37" s="1"/>
  <c r="E33" i="37"/>
  <c r="H33" i="37" s="1"/>
  <c r="C23" i="36" l="1"/>
  <c r="F34" i="37" s="1"/>
  <c r="E34" i="37"/>
  <c r="H34" i="37" s="1"/>
  <c r="C24" i="36" l="1"/>
  <c r="F35" i="37" s="1"/>
  <c r="E35" i="37"/>
  <c r="H35" i="37" s="1"/>
  <c r="C25" i="36" l="1"/>
  <c r="F36" i="37" s="1"/>
  <c r="E36" i="37"/>
  <c r="H36" i="37" s="1"/>
  <c r="C26" i="36" l="1"/>
  <c r="E37" i="37"/>
  <c r="H37" i="37" s="1"/>
  <c r="F37" i="37" l="1"/>
  <c r="C27" i="36" l="1"/>
  <c r="F38" i="37" s="1"/>
  <c r="E38" i="37"/>
  <c r="H38" i="37" s="1"/>
  <c r="C28" i="36" l="1"/>
  <c r="F39" i="37" s="1"/>
  <c r="E39" i="37"/>
  <c r="H39" i="37" s="1"/>
  <c r="C29" i="36" l="1"/>
  <c r="F40" i="37" s="1"/>
  <c r="E40" i="37"/>
  <c r="H40" i="37" s="1"/>
  <c r="C30" i="36" l="1"/>
  <c r="F41" i="37" s="1"/>
  <c r="E41" i="37"/>
  <c r="H41" i="37" s="1"/>
  <c r="C31" i="36" l="1"/>
  <c r="F42" i="37" s="1"/>
  <c r="E42" i="37"/>
  <c r="H42" i="37" s="1"/>
  <c r="C32" i="36" l="1"/>
  <c r="F43" i="37" s="1"/>
  <c r="E43" i="37"/>
  <c r="H43" i="37" s="1"/>
  <c r="C33" i="36" l="1"/>
  <c r="F44" i="37" s="1"/>
  <c r="E44" i="37"/>
  <c r="H44" i="37" s="1"/>
  <c r="C34" i="36" l="1"/>
  <c r="F45" i="37" s="1"/>
  <c r="E45" i="37"/>
  <c r="H45" i="37" s="1"/>
  <c r="C35" i="36" l="1"/>
  <c r="F46" i="37" s="1"/>
  <c r="E46" i="37"/>
  <c r="H46" i="37" s="1"/>
  <c r="C36" i="36" l="1"/>
  <c r="F47" i="37" s="1"/>
  <c r="E47" i="37"/>
  <c r="H47" i="37" s="1"/>
  <c r="C37" i="36" l="1"/>
  <c r="F48" i="37" s="1"/>
  <c r="E48" i="37"/>
  <c r="H48" i="37" s="1"/>
  <c r="C38" i="36" l="1"/>
  <c r="F49" i="37" s="1"/>
  <c r="E49" i="37"/>
  <c r="H49" i="37" s="1"/>
  <c r="C39" i="36" l="1"/>
  <c r="E50" i="37"/>
  <c r="H50" i="37" s="1"/>
  <c r="F50" i="37" l="1"/>
  <c r="C40" i="36" l="1"/>
  <c r="F51" i="37" s="1"/>
  <c r="E51" i="37"/>
  <c r="H51" i="37" s="1"/>
  <c r="C41" i="36" l="1"/>
  <c r="F52" i="37" s="1"/>
  <c r="E52" i="37"/>
  <c r="H52" i="37" s="1"/>
  <c r="C42" i="36" l="1"/>
  <c r="E53" i="37"/>
  <c r="H53" i="37" s="1"/>
  <c r="B6" i="33" a="1"/>
  <c r="B6" i="33" s="1"/>
  <c r="B10" i="33" s="1"/>
  <c r="B9" i="33" l="1"/>
  <c r="B9" i="37" s="1"/>
  <c r="B6" i="37"/>
  <c r="F53" i="37"/>
  <c r="B7" i="33" a="1"/>
  <c r="B7" i="33" s="1"/>
  <c r="B7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</author>
  </authors>
  <commentList>
    <comment ref="C13" authorId="0" shapeId="0" xr:uid="{12447F38-2237-4EF5-83D0-AAF4C2E2E5C1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Contribution delay: 0 starts contributions in Year 1; x starts contributions in Year x+1.</t>
        </r>
      </text>
    </comment>
    <comment ref="C42" authorId="0" shapeId="0" xr:uid="{F02C101F-EEEF-4C0E-AFE1-EAB05070B59F}">
      <text>
        <r>
          <rPr>
            <b/>
            <sz val="9"/>
            <color indexed="81"/>
            <rFont val="Tahoma"/>
            <charset val="1"/>
          </rPr>
          <t>Steven F:
Uses the Year 0 STATUTORY maximum modeled Roth contribution limit (ENGINE!J2), not the actual applied contribution — Year 0's actual contribution may be $0 during a contribution-delay period. This cell only sizes the per-period contribution amount once contributions begin; it is not itself delayed.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</author>
  </authors>
  <commentList>
    <comment ref="C31" authorId="0" shapeId="0" xr:uid="{E09160B4-A85D-43B5-9855-246FD0833241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amount. Source: IRS Notice 2025-67 / IR-2025-111.</t>
        </r>
      </text>
    </comment>
    <comment ref="C32" authorId="0" shapeId="0" xr:uid="{5E09DF8E-908D-465F-B065-A2B126A5A0E4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amount. SECURE 2.0 added annual indexing; IRS published $1,100 for 2026.</t>
        </r>
      </text>
    </comment>
    <comment ref="B37" authorId="0" shapeId="0" xr:uid="{E580623E-EC7C-42D1-B841-DE5034585F7E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Taxable income threshold, not gross salary. Official 2026 amount from IRS Rev. Proc. 2025-32 / IR-2025-103.</t>
        </r>
      </text>
    </comment>
    <comment ref="B38" authorId="0" shapeId="0" xr:uid="{70F218CD-43D1-4929-B385-63FDD8230425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amount from IRS Rev. Proc. 2025-32 / IR-2025-103.</t>
        </r>
      </text>
    </comment>
    <comment ref="B39" authorId="0" shapeId="0" xr:uid="{898384FC-171B-49AA-B3E4-692C7571005D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Simplified illustration assuming the standard deduction only. Actual taxable income can differ due to other deductions and tax provisions.</t>
        </r>
      </text>
    </comment>
    <comment ref="B43" authorId="0" shapeId="0" xr:uid="{5D3422CC-5E7F-4A97-A9E6-B622EA669F1C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Roth IRA MAGI phase-out lower bound from IRS Notice 2025-67.</t>
        </r>
      </text>
    </comment>
    <comment ref="C43" authorId="0" shapeId="0" xr:uid="{DBBFD1CC-D480-49C7-87C2-93D2063E55CE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Roth IRA MAGI phase-out upper bound from IRS Notice 2025-67.</t>
        </r>
      </text>
    </comment>
    <comment ref="B44" authorId="0" shapeId="0" xr:uid="{C1CBBBD5-44D1-4A80-9AED-2184C02F36D8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Roth IRA MAGI phase-out lower bound from IRS Notice 2025-67.</t>
        </r>
      </text>
    </comment>
    <comment ref="C44" authorId="0" shapeId="0" xr:uid="{10B22202-E16F-4A3C-88E8-337AC8B101BC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Official 2026 Roth IRA MAGI phase-out upper bound from IRS Notice 2025-67.</t>
        </r>
      </text>
    </comment>
    <comment ref="C45" authorId="0" shapeId="0" xr:uid="{59623AA2-2A7D-4D2B-B26D-8E28574BBA97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Not indexed. Special rule generally applies if the taxpayer lived with a spouse during the year.</t>
        </r>
      </text>
    </comment>
    <comment ref="B48" authorId="0" shapeId="0" xr:uid="{E811BAA0-D708-4F36-80FD-38DD00C5559B}">
      <text>
        <r>
          <rPr>
            <b/>
            <sz val="9"/>
            <color indexed="81"/>
            <rFont val="Tahoma"/>
            <charset val="1"/>
          </rPr>
          <t>IRC §219(b)(5)(A) statutory amount. For years after 2008, IRC §219(b)(5)(C) indexes this amount using IRC §1(f)(3), substituting calendar year 2007 for calendar year 2016.</t>
        </r>
      </text>
    </comment>
    <comment ref="B51" authorId="0" shapeId="0" xr:uid="{CBBA8BB2-D1CB-4793-BCDD-DA22E71EC2CB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The regular IRA limit becomes $8,000 only when the unrounded statutory indexed amount reaches the next $500 step. The IRS publishes the official result annually.</t>
        </r>
      </text>
    </comment>
    <comment ref="B52" authorId="0" shapeId="0" xr:uid="{3A3686A6-89EA-43EE-B397-2FC67DB23C07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The IRS publishes the legally operative rounded amount, not the intermediate unrounded dollar figure in Notice 2025-67. Because the published 2026 limit is $7,500 and §219 floors to $500 increments, the intermediate amount must be at least $7,500 and less than $8,000.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tc={A44BB228-B7D6-4834-8CD0-3B92508DB31C}</author>
    <author>tc={BB302F35-79B5-4F7C-A15D-E6E5A477D25F}</author>
    <author>tc={138CF396-3869-450E-AE09-9F95AE13712A}</author>
    <author>tc={6F769EE5-751F-4CD6-AAC0-1489176C5065}</author>
    <author>tc={9BB8721C-5FB0-4B33-A810-81F2B2240E42}</author>
    <author>tc={D6AA1911-2B03-4218-A3E0-B678F636EBB4}</author>
    <author>tc={027560E8-F7B7-44AE-826A-A5FB1719A44D}</author>
    <author>tc={64C1AD52-1558-4942-B165-C77F0902B8F7}</author>
    <author>tc={279ACEFF-F324-44EC-B49E-036A99BA24C2}</author>
    <author>tc={32BDB674-7BA2-4E2D-ABB8-487B111AACFC}</author>
    <author>tc={D53E6CF5-0807-468E-A328-D87F84655AB8}</author>
    <author>tc={790E4785-55BE-4EF7-954E-20F2744A2839}</author>
    <author>tc={93784909-FB3A-4A2F-86DB-D20174C4F79A}</author>
    <author>Steven F</author>
  </authors>
  <commentList>
    <comment ref="D1" authorId="0" shapeId="0" xr:uid="{A44BB228-B7D6-4834-8CD0-3B92508DB31C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 0 is the first modeled contribution year. With a zero-year delay, the modeled maximum contribution is included immediately. Actual contribution: 0 during the contribution-delay period; afterward equals the total maximum modeled contribution, including catch-up only when age is at least 50.</t>
      </text>
    </comment>
    <comment ref="E1" authorId="1" shapeId="0" xr:uid="{BB302F35-79B5-4F7C-A15D-E6E5A477D25F}">
      <text>
        <t>[Threaded comment]
Your version of Excel allows you to read this threaded comment; however, any edits to it will get removed if the file is opened in a newer version of Excel. Learn more: https://go.microsoft.com/fwlink/?linkid=870924
Comment:
    Flags each year Direct vs Backdoor based on whether modeled salary is within the Roth MAGI phase-out band for the active filing status. Modeled income crosses the phase-out ceiling in year 11 under current assumptions; from that year onward, the contribution amount is unchanged but is made via the backdoor Roth mechanism (non-deductible traditional IRA contribution, then conversion) since direct contributions are not permitted above the MAGI ceiling.</t>
      </text>
    </comment>
    <comment ref="L1" authorId="2" shapeId="0" xr:uid="{138CF396-3869-450E-AE09-9F95AE13712A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timing: Beg. Balance × (1 + return) + Contribution. Beginning timing: (Beg. Balance + Contribution) × (1 + return).</t>
      </text>
    </comment>
    <comment ref="M1" authorId="3" shapeId="0" xr:uid="{6F769EE5-751F-4CD6-AAC0-1489176C506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Inflation Index: (1 + inflation)^Year.</t>
      </text>
    </comment>
    <comment ref="N1" authorId="4" shapeId="0" xr:uid="{9BB8721C-5FB0-4B33-A810-81F2B2240E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 Balance: Nominal Ending Balance ÷ Inflation Index.</t>
      </text>
    </comment>
    <comment ref="P1" authorId="5" shapeId="0" xr:uid="{D6AA1911-2B03-4218-A3E0-B678F636EBB4}">
      <text>
        <t>[Threaded comment]
Your version of Excel allows you to read this threaded comment; however, any edits to it will get removed if the file is opened in a newer version of Excel. Learn more: https://go.microsoft.com/fwlink/?linkid=870924
Comment:
    Cumulative Growth: Ending Balance − Beginning Balance − Contributions.</t>
      </text>
    </comment>
    <comment ref="AB1" authorId="6" shapeId="0" xr:uid="{027560E8-F7B7-44AE-826A-A5FB1719A44D}">
      <text>
        <t>[Threaded comment]
Your version of Excel allows you to read this threaded comment; however, any edits to it will get removed if the file is opened in a newer version of Excel. Learn more: https://go.microsoft.com/fwlink/?linkid=870924
Comment:
    Federal taxable income = MAX(0, Gross Salary - modeled standard deduction). The 2026 standard deduction is the base value; future years use simplified C-CPI-U indexing and downward $50 rounding.</t>
      </text>
    </comment>
    <comment ref="AC1" authorId="7" shapeId="0" xr:uid="{64C1AD52-1558-4942-B165-C77F0902B8F7}">
      <text>
        <t>[Threaded comment]
Your version of Excel allows you to read this threaded comment; however, any edits to it will get removed if the file is opened in a newer version of Excel. Learn more: https://go.microsoft.com/fwlink/?linkid=870924
Comment:
    Federal income tax is progressive. Each marginal rate applies only within the modeled bracket thresholds for that projection year.</t>
      </text>
    </comment>
    <comment ref="AD1" authorId="8" shapeId="0" xr:uid="{279ACEFF-F324-44EC-B49E-036A99BA24C2}">
      <text>
        <t>[Threaded comment]
Your version of Excel allows you to read this threaded comment; however, any edits to it will get removed if the file is opened in a newer version of Excel. Learn more: https://go.microsoft.com/fwlink/?linkid=870924
Comment:
    Illustrative flat state income tax = federal taxable income × state rate when enabled.</t>
      </text>
    </comment>
    <comment ref="AE1" authorId="9" shapeId="0" xr:uid="{32BDB674-7BA2-4E2D-ABB8-487B111AACFC}">
      <text>
        <t>[Threaded comment]
Your version of Excel allows you to read this threaded comment; however, any edits to it will get removed if the file is opened in a newer version of Excel. Learn more: https://go.microsoft.com/fwlink/?linkid=870924
Comment:
    Social Security tax = 6.2% of gross salary up to the wage cap.</t>
      </text>
    </comment>
    <comment ref="AF1" authorId="10" shapeId="0" xr:uid="{D53E6CF5-0807-468E-A328-D87F84655AB8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Medicare tax includes the base rate plus Additional Medicare Tax above the applicable filing-status threshold.</t>
      </text>
    </comment>
    <comment ref="AI1" authorId="11" shapeId="0" xr:uid="{790E4785-55BE-4EF7-954E-20F2744A283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Take-home income = Gross Salary - Federal Tax - State Tax - Payroll Taxes.</t>
      </text>
    </comment>
    <comment ref="AL1" authorId="12" shapeId="0" xr:uid="{93784909-FB3A-4A2F-86DB-D20174C4F79A}">
      <text>
        <t>[Threaded comment]
Your version of Excel allows you to read this threaded comment; however, any edits to it will get removed if the file is opened in a newer version of Excel. Learn more: https://go.microsoft.com/fwlink/?linkid=870924
Comment:
    Future tax thresholds and deductions are illustrative assumptions under simplified C-CPI-U indexing; they are not an IRS forecast.</t>
      </text>
    </comment>
    <comment ref="X2" authorId="13" shapeId="0" xr:uid="{97D634C6-10A1-4190-A2A0-B9A683ED6140}">
      <text>
        <r>
          <rPr>
            <b/>
            <sz val="9"/>
            <color indexed="81"/>
            <rFont val="Tahoma"/>
            <charset val="1"/>
          </rPr>
          <t>The existing initial contribution assumption is used only as the Year 0 starting value for the illustrative regular IRA limit index.</t>
        </r>
      </text>
    </comment>
    <comment ref="BC2" authorId="13" shapeId="0" xr:uid="{DD50EC9B-353B-40C4-B032-906A25BFFB69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OASDI wage base indexed using the model's C-CPI-U assumption as a proxy for SSA's Average Wage Index (not the actual SSA method). Statutory rounding to nearest $100 per Task 3 fix.</t>
        </r>
      </text>
    </comment>
    <comment ref="X4" authorId="13" shapeId="0" xr:uid="{D3CC3223-EFC1-4AAC-9A9F-6D8F29EAEFE8}">
      <text>
        <r>
          <rPr>
            <b/>
            <sz val="9"/>
            <color indexed="81"/>
            <rFont val="Tahoma"/>
            <charset val="1"/>
          </rPr>
          <t>Links to the user-provided 2026 starting catch-up limit on INPUTS.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</author>
  </authors>
  <commentList>
    <comment ref="AA1" authorId="0" shapeId="0" xr:uid="{0BE7C80C-BAAB-4D1A-ADA2-6B04B0795251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Helper row for the Lifetime Income Allocation stacked bar chart — transposes X1:Y6 into one category with 5 series so each income component renders as a stacked segment.</t>
        </r>
      </text>
    </comment>
    <comment ref="AR1" authorId="0" shapeId="0" xr:uid="{7BE20054-6333-43B1-8CB1-605579B1F487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Helper row for the Lifetime Income Allocation stacked bar chart — transposes X1:Y6 into one category with 5 series so each income component renders as a stacked segment.</t>
        </r>
      </text>
    </comment>
    <comment ref="M2" authorId="0" shapeId="0" xr:uid="{C6DEF157-2A81-4D2C-8D8F-6EA9D4A2AE31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Active_Engine_Ref — single source of truth for which engine feeds the milestone chart/table (col I here + MILESTONES sheet). Both currently read PERIODIC ENGINE to stay consistent with the trading-day model. Change here only if you intend both to move together.</t>
        </r>
      </text>
    </comment>
    <comment ref="AY2" authorId="0" shapeId="0" xr:uid="{190F32C6-CB7E-459D-9884-6D4102694678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Horizon_Years — retirement age minus starting age. All chart named ranges size off Horizon_Rows (below), not column-content COUNT(), so every chart always agrees on the same horizon length regardless of any individual column's formula behavior.</t>
        </r>
      </text>
    </comment>
    <comment ref="AZ2" authorId="0" shapeId="0" xr:uid="{60D076C3-FB09-4821-AF8E-13B89BF16A30}">
      <text>
        <r>
          <rPr>
            <b/>
            <sz val="9"/>
            <color indexed="81"/>
            <rFont val="Tahoma"/>
            <charset val="1"/>
          </rPr>
          <t>Steven F:</t>
        </r>
        <r>
          <rPr>
            <sz val="9"/>
            <color indexed="81"/>
            <rFont val="Tahoma"/>
            <charset val="1"/>
          </rPr>
          <t xml:space="preserve">
Horizon_Rows — number of data rows from Year 0 through Year Horizon_Years inclusive. Used as the single INDEX() row-count anchor for every chart named range.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<sst xmlns="http://schemas.openxmlformats.org/spreadsheetml/2006/main" count="567" uniqueCount="470">
  <si>
    <t>N/A</t>
  </si>
  <si>
    <t>Age</t>
  </si>
  <si>
    <t>n</t>
  </si>
  <si>
    <t>Single / Separately</t>
  </si>
  <si>
    <t>OASDI</t>
  </si>
  <si>
    <t>Gross Income (capped)</t>
  </si>
  <si>
    <t>Medicare</t>
  </si>
  <si>
    <t>No Limit</t>
  </si>
  <si>
    <t>All Gross Income</t>
  </si>
  <si>
    <t>GI over threshold (Jointly)</t>
  </si>
  <si>
    <t>GI over threshold (Single)</t>
  </si>
  <si>
    <t>Jointly / Spouse</t>
  </si>
  <si>
    <t>Value</t>
  </si>
  <si>
    <t>Single_Separately_STD_Deduction</t>
  </si>
  <si>
    <t>Notes</t>
  </si>
  <si>
    <t>Head of Household</t>
  </si>
  <si>
    <t>Year</t>
  </si>
  <si>
    <t>2026 age-50+ catch-up amount</t>
  </si>
  <si>
    <t>Regular IRA limit statutory rounding increment</t>
  </si>
  <si>
    <t>Catch-up statutory rounding increment</t>
  </si>
  <si>
    <t>Single 10% bracket upper bound</t>
  </si>
  <si>
    <t>Single standard deduction</t>
  </si>
  <si>
    <t>Approx. gross income before 12% begins</t>
  </si>
  <si>
    <t>10% applies to taxable income from $0 through $12,400.</t>
  </si>
  <si>
    <t>Taxable income generally starts after deductions.</t>
  </si>
  <si>
    <t>Illustrative gross threshold = bracket ceiling + standard deduction.</t>
  </si>
  <si>
    <t>Filing status</t>
  </si>
  <si>
    <t>Lower bound</t>
  </si>
  <si>
    <t>Upper bound</t>
  </si>
  <si>
    <t>Single / Head of Household</t>
  </si>
  <si>
    <t>Married Filing Jointly</t>
  </si>
  <si>
    <t>Married Filing Separately*</t>
  </si>
  <si>
    <t>Roth reduction mechanics</t>
  </si>
  <si>
    <t>Phase-out percentage</t>
  </si>
  <si>
    <t>Preliminary limit</t>
  </si>
  <si>
    <t>Max contribution × (1 - phase-out percentage)</t>
  </si>
  <si>
    <t>Rounding</t>
  </si>
  <si>
    <t>Round UP to next $10</t>
  </si>
  <si>
    <t>Minimum positive limit</t>
  </si>
  <si>
    <t>$200 if result is above $0 but below $200</t>
  </si>
  <si>
    <t>Statutory regular-limit base</t>
  </si>
  <si>
    <t>Regular-limit rounding step</t>
  </si>
  <si>
    <t>Minimum indexed multiplier for current limit</t>
  </si>
  <si>
    <t>Minimum indexed multiplier for next $8,000 limit</t>
  </si>
  <si>
    <t>$7,500 / $5,000 = 1.500 minimum multiplier.</t>
  </si>
  <si>
    <t>$8,000 / $5,000 = 1.600 minimum multiplier.</t>
  </si>
  <si>
    <t>Historical/current years</t>
  </si>
  <si>
    <t>Use IRS-published tables as authoritative inputs.</t>
  </si>
  <si>
    <t>Future projection years</t>
  </si>
  <si>
    <t>Estimate with assumed inflation, clearly label as projected.</t>
  </si>
  <si>
    <t>Tax brackets</t>
  </si>
  <si>
    <t>Do not compound the prior-year rounded bracket for statutory reproduction.</t>
  </si>
  <si>
    <t>IRA limits</t>
  </si>
  <si>
    <t>Apply indexed statutory base, then required $500/$100 rounding.</t>
  </si>
  <si>
    <t>Phase-out fraction: (MAGI - Lower) / (Upper - Lower)</t>
  </si>
  <si>
    <t>IRC §219 base amount; inflation comparison uses calendar year 2007.</t>
  </si>
  <si>
    <t>After indexing, any amount not divisible by $500 is rounded DOWN.</t>
  </si>
  <si>
    <t>2026 inferred unrounded regular-limit band</t>
  </si>
  <si>
    <t>$7,500 ≤ indexed amount &lt; $8,000</t>
  </si>
  <si>
    <t>Exact intermediate amount is not stated in IRS Notice 2025-67.</t>
  </si>
  <si>
    <t>Example: unrounded $7,560</t>
  </si>
  <si>
    <t>Becomes $7,500.</t>
  </si>
  <si>
    <t>Example: unrounded $7,999</t>
  </si>
  <si>
    <t>Still becomes $7,500.</t>
  </si>
  <si>
    <t>Example: unrounded $8,000</t>
  </si>
  <si>
    <t>Becomes $8,000 immediately.</t>
  </si>
  <si>
    <t>Excel statutory rounding formula</t>
  </si>
  <si>
    <t>Do not use normal ROUND or round to nearest.</t>
  </si>
  <si>
    <t>=FLOOR.MATH(Unrounded_Indexed_Limit,500)</t>
  </si>
  <si>
    <t>years</t>
  </si>
  <si>
    <t>nominal dollars</t>
  </si>
  <si>
    <t>effective annual rate</t>
  </si>
  <si>
    <t>nominal effective annual rate</t>
  </si>
  <si>
    <t>flat effective annual rate</t>
  </si>
  <si>
    <t>Beginning Balance</t>
  </si>
  <si>
    <t>Investment Growth</t>
  </si>
  <si>
    <t>Ending Balance</t>
  </si>
  <si>
    <t>Inflation Index</t>
  </si>
  <si>
    <t>Ending Balance (Real $)</t>
  </si>
  <si>
    <t>Cumulative Contributions</t>
  </si>
  <si>
    <t>Cumulative Investment Growth</t>
  </si>
  <si>
    <t>Beginning</t>
  </si>
  <si>
    <t>FV of Contribution at Retirement</t>
  </si>
  <si>
    <t>Beginning or End</t>
  </si>
  <si>
    <t>annual salary</t>
  </si>
  <si>
    <t>per exam pass</t>
  </si>
  <si>
    <t>one-time increase</t>
  </si>
  <si>
    <t>CONSTANTS &amp; REFERENCES</t>
  </si>
  <si>
    <t>Source Document</t>
  </si>
  <si>
    <t>Source URL</t>
  </si>
  <si>
    <t>Research Note</t>
  </si>
  <si>
    <t>IRS Notice 2025-67</t>
  </si>
  <si>
    <t>https://www.irs.gov/pub/irs-drop/n-25-67.pdf</t>
  </si>
  <si>
    <t>Internal model assumptions</t>
  </si>
  <si>
    <t>User-controlled</t>
  </si>
  <si>
    <t>PURPOSE</t>
  </si>
  <si>
    <t>INPUTS</t>
  </si>
  <si>
    <t>ENGINE</t>
  </si>
  <si>
    <t>OUTPUT</t>
  </si>
  <si>
    <t>Compound accumulation</t>
  </si>
  <si>
    <t>Growing contributions</t>
  </si>
  <si>
    <t>Real balance</t>
  </si>
  <si>
    <t>Nominal Ending Balance ÷ Inflation Index</t>
  </si>
  <si>
    <t>Inflation-adjusted retirement value</t>
  </si>
  <si>
    <t>Future-value cross-check</t>
  </si>
  <si>
    <t>FV for starting balance + sum of each contribution's FV</t>
  </si>
  <si>
    <t>Independent validation of the roll-forward</t>
  </si>
  <si>
    <t>ASSUMPTIONS &amp; LIMITATIONS</t>
  </si>
  <si>
    <t>Returns, inflation, and contribution growth are flat effective annual assumptions, not forecasts.</t>
  </si>
  <si>
    <t>Educational project only; not tax, legal, actuarial, or investment advice.</t>
  </si>
  <si>
    <t>What's your starting age?</t>
  </si>
  <si>
    <t>At what age do you plan to retire?</t>
  </si>
  <si>
    <t>What annual investment return should we assume?</t>
  </si>
  <si>
    <t>What annual inflation rate should we assume?</t>
  </si>
  <si>
    <t>When during the year will you contribute?</t>
  </si>
  <si>
    <t>How many years will you wait before contributing?</t>
  </si>
  <si>
    <t>Actuary Mode on?</t>
  </si>
  <si>
    <t>Yes or No</t>
  </si>
  <si>
    <t>Controls exam and credential bonuses</t>
  </si>
  <si>
    <t>What annual merit raise should we assume?</t>
  </si>
  <si>
    <t>What's your starting salary?</t>
  </si>
  <si>
    <t>What's the salary raise for each exam passed?</t>
  </si>
  <si>
    <t>What's the salary raise when you earn Associate status?</t>
  </si>
  <si>
    <t>How many years until Associate status?</t>
  </si>
  <si>
    <t>What's the salary raise when you earn Fellowship status?</t>
  </si>
  <si>
    <t>MODEL NOTES</t>
  </si>
  <si>
    <t>Answer the highlighted questions and the model will project your account over time.</t>
  </si>
  <si>
    <t>Instructions, methodology, assumptions, and limitations</t>
  </si>
  <si>
    <t>HOW TO USE THE MODEL</t>
  </si>
  <si>
    <t>2. Select whether contributions occur at the beginning or end of each year.</t>
  </si>
  <si>
    <t>3. Review the year-by-year roll-forward on ENGINE.</t>
  </si>
  <si>
    <t>4. Review retirement results and the nominal-versus-real chart on OUTPUT.</t>
  </si>
  <si>
    <t>WORKBOOK STRUCTURE</t>
  </si>
  <si>
    <t>Sheet</t>
  </si>
  <si>
    <t>Purpose</t>
  </si>
  <si>
    <t>User action</t>
  </si>
  <si>
    <t>Conversational assumptions</t>
  </si>
  <si>
    <t>Annual accumulation schedule</t>
  </si>
  <si>
    <t>Review formulas and audit trail</t>
  </si>
  <si>
    <t>Review retirement results</t>
  </si>
  <si>
    <t>EXAM FM CONCEPTS</t>
  </si>
  <si>
    <t>Concept</t>
  </si>
  <si>
    <t>Formula demonstrated</t>
  </si>
  <si>
    <t>Beginning Balance × (1 + annual return)</t>
  </si>
  <si>
    <t>Annual interest accumulation</t>
  </si>
  <si>
    <t>Initial Contribution × (1 + growth)^(t − delay − 1)</t>
  </si>
  <si>
    <t>Contributions made over time</t>
  </si>
  <si>
    <t>Assumed Annual Inflation Rate</t>
  </si>
  <si>
    <t>Illustrative Unrounded Regular IRA Index</t>
  </si>
  <si>
    <t>Modeled Regular IRA Limit</t>
  </si>
  <si>
    <t>Illustrative Unrounded Catch-Up Index</t>
  </si>
  <si>
    <t>Modeled Catch-Up Limit</t>
  </si>
  <si>
    <t>Total Maximum Modeled Contribution</t>
  </si>
  <si>
    <t>Starting Modeled Regular IRA Limit</t>
  </si>
  <si>
    <t>Starting Modeled Catch-Up Limit (2026)</t>
  </si>
  <si>
    <t>Total contributions</t>
  </si>
  <si>
    <t>Total investment growth</t>
  </si>
  <si>
    <t>Money multiplier</t>
  </si>
  <si>
    <t>Threshold</t>
  </si>
  <si>
    <t>MILESTONES</t>
  </si>
  <si>
    <t>First-year threshold analysis for $500k, $1m, and $2m balances</t>
  </si>
  <si>
    <t>Review</t>
  </si>
  <si>
    <t>Research notes and future official-source inputs</t>
  </si>
  <si>
    <t>Review / update</t>
  </si>
  <si>
    <t>What federal filing status should we use?</t>
  </si>
  <si>
    <t>Single</t>
  </si>
  <si>
    <t>Do you expect your filing status to change?</t>
  </si>
  <si>
    <t>No</t>
  </si>
  <si>
    <t>Choose Yes to activate the transition inputs</t>
  </si>
  <si>
    <t>What filing status should we use after the change?</t>
  </si>
  <si>
    <t>Applied beginning in the selected projection year</t>
  </si>
  <si>
    <t>How many years until your filing status changes?</t>
  </si>
  <si>
    <t>0 means the new status applies in Year 0</t>
  </si>
  <si>
    <t>Include an illustrative flat state income tax?</t>
  </si>
  <si>
    <t>Simplified state-tax option only</t>
  </si>
  <si>
    <t>What illustrative flat state income tax rate should we assume?</t>
  </si>
  <si>
    <t>Applied to federal taxable income</t>
  </si>
  <si>
    <t>Illustrative flat state income tax does not model individual state tax codes, credits, deductions, local taxes, or special rules.</t>
  </si>
  <si>
    <t>Actuary Mode drives the salary path used by the tax and take-home-pay module; it does not change the Roth accumulation mechanics.</t>
  </si>
  <si>
    <t>GI over threshold (Married Filing Separately)</t>
  </si>
  <si>
    <t>Gross Salary</t>
  </si>
  <si>
    <t>Federal Taxable Income</t>
  </si>
  <si>
    <t>Federal Income Tax</t>
  </si>
  <si>
    <t>Illustrative Flat State Income Tax</t>
  </si>
  <si>
    <t>Social Security Tax</t>
  </si>
  <si>
    <t>Medicare Tax</t>
  </si>
  <si>
    <t>Total Payroll Taxes</t>
  </si>
  <si>
    <t>Total Taxes</t>
  </si>
  <si>
    <t>Take-Home Income</t>
  </si>
  <si>
    <t>Tax Calculation Check</t>
  </si>
  <si>
    <t>Filing Status Used</t>
  </si>
  <si>
    <t>Illustrative IRA Indexing Assumptions</t>
  </si>
  <si>
    <t>Payroll Taxes</t>
  </si>
  <si>
    <t>The model includes a simplified 2026 federal income-tax module, Social Security and Medicare payroll taxes, and an optional illustrative flat state income tax. It does not model credits, itemized deductions, local taxes, or employer benefits.</t>
  </si>
  <si>
    <t>Illustrative IRA contribution limits are indexed within the model. Roth eligibility, MAGI phase-outs, earned-income limits, and future official IRS limits are not modeled.</t>
  </si>
  <si>
    <t>Tax interface note: the filing status can change after a user-selected number of projection years. State tax is intentionally simplified and applies a flat rate to federal taxable income.</t>
  </si>
  <si>
    <t>2026 federal brackets, standard deductions, and retirement-plan references used by the model. Verify the cited IRS source before changing the tax year.</t>
  </si>
  <si>
    <t>The current engine applies the 2026 federal bracket tables, standard deductions, payroll assumptions, and user-controlled illustrative flat state tax. MAGI and tax credits are not modeled.</t>
  </si>
  <si>
    <t>Historical C-CPI-U Factor</t>
  </si>
  <si>
    <t>Modeled C-CPI-U Rate</t>
  </si>
  <si>
    <t>Future Tax Assumption</t>
  </si>
  <si>
    <t>Illustrative future tax assumptions under simplified C-CPI-U indexing; not an IRS forecast.</t>
  </si>
  <si>
    <t>Modeled Standard Deduction</t>
  </si>
  <si>
    <t>Cumulative C-CPI Index</t>
  </si>
  <si>
    <t>Unrounded Standard Deduction</t>
  </si>
  <si>
    <t>Unrounded Tax Threshold 1</t>
  </si>
  <si>
    <t>Modeled Tax Threshold 1</t>
  </si>
  <si>
    <t>Unrounded Tax Threshold 2</t>
  </si>
  <si>
    <t>Modeled Tax Threshold 2</t>
  </si>
  <si>
    <t>Unrounded Tax Threshold 3</t>
  </si>
  <si>
    <t>Modeled Tax Threshold 3</t>
  </si>
  <si>
    <t>Unrounded Tax Threshold 4</t>
  </si>
  <si>
    <t>Modeled Tax Threshold 4</t>
  </si>
  <si>
    <t>Unrounded Tax Threshold 5</t>
  </si>
  <si>
    <t>Modeled Tax Threshold 5</t>
  </si>
  <si>
    <t>Unrounded Tax Threshold 6</t>
  </si>
  <si>
    <t>Modeled Tax Threshold 6</t>
  </si>
  <si>
    <t>Tax Assumption Status</t>
  </si>
  <si>
    <t>Projection Year</t>
  </si>
  <si>
    <t>Take-Home Pay After Taxes</t>
  </si>
  <si>
    <t>Nominal Roth Balance</t>
  </si>
  <si>
    <t>Real Roth Balance</t>
  </si>
  <si>
    <t>Disposable Take-Home Pay</t>
  </si>
  <si>
    <t>$500,000 Threshold</t>
  </si>
  <si>
    <t>$1,000,000 Threshold</t>
  </si>
  <si>
    <t>$2,000,000 Threshold</t>
  </si>
  <si>
    <t>Value at Milestone</t>
  </si>
  <si>
    <t>Annual Roth Contribution</t>
  </si>
  <si>
    <t>Annual Investment Growth</t>
  </si>
  <si>
    <t>High-level retirement and disposable-income outcomes from the current model assumptions.</t>
  </si>
  <si>
    <t>Key Results</t>
  </si>
  <si>
    <t>Final nominal Roth balance</t>
  </si>
  <si>
    <t>Final real Roth balance</t>
  </si>
  <si>
    <t>Final disposable take-home pay</t>
  </si>
  <si>
    <t>Annual accumulation, contribution, investment-growth, and inflation-adjusted balances.</t>
  </si>
  <si>
    <t>Retirement Results</t>
  </si>
  <si>
    <t>Final nominal balance</t>
  </si>
  <si>
    <t>Final real balance</t>
  </si>
  <si>
    <t>Annual Contribution</t>
  </si>
  <si>
    <t>Ending Nominal Balance</t>
  </si>
  <si>
    <t>Ending Real Balance</t>
  </si>
  <si>
    <t>Annual Cash Flow Detail</t>
  </si>
  <si>
    <t>Salary, federal and state income taxes, payroll taxes, Roth contributions, and disposable take-home pay.</t>
  </si>
  <si>
    <t>Annual Cash Flow Schedule</t>
  </si>
  <si>
    <t>Flat State Income Tax</t>
  </si>
  <si>
    <t>Lifetime Tax Summary</t>
  </si>
  <si>
    <t>Cumulative taxes paid</t>
  </si>
  <si>
    <t>Cumulative gross income earned</t>
  </si>
  <si>
    <t>Cumulative effective tax rate</t>
  </si>
  <si>
    <t>Cumulative Tax Summary</t>
  </si>
  <si>
    <t>Federal income tax</t>
  </si>
  <si>
    <t>Flat state income tax</t>
  </si>
  <si>
    <t>Payroll taxes</t>
  </si>
  <si>
    <t>Total taxes paid</t>
  </si>
  <si>
    <t>Total gross income earned</t>
  </si>
  <si>
    <t>Contribution delay: 0 contributes in Year 0; x skips x full years and starts in Year x.</t>
  </si>
  <si>
    <t>full years skipped before the first contribution</t>
  </si>
  <si>
    <t>Lifetime Income Allocation Category</t>
  </si>
  <si>
    <t>Amount</t>
  </si>
  <si>
    <t>Cumulative effective take-home rate</t>
  </si>
  <si>
    <t>Annual Modeled IRA Limit</t>
  </si>
  <si>
    <t>Contribution per Period</t>
  </si>
  <si>
    <t>Periodic Effective Investment Return</t>
  </si>
  <si>
    <t>Periodic Contributions Total</t>
  </si>
  <si>
    <t>Contribution Check</t>
  </si>
  <si>
    <t>Periodic Assumptions</t>
  </si>
  <si>
    <t>Contribution frequency</t>
  </si>
  <si>
    <t>Periods per year</t>
  </si>
  <si>
    <t>Annual effective investment return</t>
  </si>
  <si>
    <t>Periodic effective investment return</t>
  </si>
  <si>
    <t>Contribution timing</t>
  </si>
  <si>
    <t>Maximum annual contribution variance</t>
  </si>
  <si>
    <t>PERIODIC CONTRIBUTION MODEL</t>
  </si>
  <si>
    <t>Enable advanced trading-day contributions?</t>
  </si>
  <si>
    <t>Contribute every how many trading days?</t>
  </si>
  <si>
    <t>Trading-Day Contributions per Year</t>
  </si>
  <si>
    <t>252 trading days ÷ selected interval</t>
  </si>
  <si>
    <t>Contribution per Trading-Day Period</t>
  </si>
  <si>
    <t>The annual effective investment return is converted using (1 + annual return)^(1 / selected periods per year) - 1. Users do not enter a separate periodic return.</t>
  </si>
  <si>
    <t>The annual modeled Roth limit remains indexed once per projection year and is divided evenly across the selected contribution periods.</t>
  </si>
  <si>
    <t>Advanced mode uses 252 trading days divided by the selected valid interval. IRA and C-CPI-U indexing remain annual in both standard and advanced modes.</t>
  </si>
  <si>
    <t>Optional &amp; Advanced Inputs</t>
  </si>
  <si>
    <t>Advanced periodic contribution mode</t>
  </si>
  <si>
    <t>Off uses the frequency selected above; On uses a trading-day interval</t>
  </si>
  <si>
    <t>Choose an interval that divides 252 evenly</t>
  </si>
  <si>
    <t>Now let’s add your tax and career assumptions</t>
  </si>
  <si>
    <t>Now let’s add your actuarial career assumptions</t>
  </si>
  <si>
    <t>Model-linked constants remain in fixed cells; research-only sections are labeled below.</t>
  </si>
  <si>
    <t>2026 FEDERAL INCOME TAX BRACKETS &amp; STANDARD DEDUCTIONS</t>
  </si>
  <si>
    <t>Single / Married Filing Separately</t>
  </si>
  <si>
    <t>Married Filing Jointly / Qualifying Surviving Spouse</t>
  </si>
  <si>
    <t>Marginal rate</t>
  </si>
  <si>
    <t>Taxable income from</t>
  </si>
  <si>
    <t>Taxable income to</t>
  </si>
  <si>
    <t>Full-bracket tax</t>
  </si>
  <si>
    <t>2026 standard deduction</t>
  </si>
  <si>
    <t>Supporting indexing and rounding constants</t>
  </si>
  <si>
    <t>2026 PAYROLL TAX RATES &amp; THRESHOLDS</t>
  </si>
  <si>
    <t>Tax component</t>
  </si>
  <si>
    <t>Employee rate</t>
  </si>
  <si>
    <t>Wage base / threshold</t>
  </si>
  <si>
    <t>Model note</t>
  </si>
  <si>
    <t>2026 IRA LIMITS &amp; ROUNDING CONSTANTS</t>
  </si>
  <si>
    <t>Reference item</t>
  </si>
  <si>
    <t>2026 value</t>
  </si>
  <si>
    <t>2026 FEDERAL TAX HEADLINE REFERENCES</t>
  </si>
  <si>
    <t>IRA CONTRIBUTION-LIMIT INDEXING RESEARCH</t>
  </si>
  <si>
    <t>MODEL POLICY &amp; IMPLEMENTATION NOTES</t>
  </si>
  <si>
    <t>SOURCE LOG &amp; MODEL SCOPE</t>
  </si>
  <si>
    <t>Standard deduction rounding increment</t>
  </si>
  <si>
    <t>Supporting reference for deduction rounding</t>
  </si>
  <si>
    <t>Regular IRA contribution limit</t>
  </si>
  <si>
    <t>Age-50+ catch-up limit</t>
  </si>
  <si>
    <t>Regular limit rounding increment</t>
  </si>
  <si>
    <t>Catch-up rounding increment</t>
  </si>
  <si>
    <t>Additional Medicare Tax  (Married Filing Separately)</t>
  </si>
  <si>
    <t>Additional Medicare Tax (Joint)</t>
  </si>
  <si>
    <t>Additional Medicare Tax  (Single)</t>
  </si>
  <si>
    <t>Periods per Year</t>
  </si>
  <si>
    <t>Annual Growth Factor</t>
  </si>
  <si>
    <t>Off</t>
  </si>
  <si>
    <t>Active Engine (Milestones)</t>
  </si>
  <si>
    <t>Additional Medicare Tax  (Head of Household)</t>
  </si>
  <si>
    <t>GI over threshold (Head of Household)</t>
  </si>
  <si>
    <t>Unrounded OASDI Wage Base</t>
  </si>
  <si>
    <t>Modeled OASDI Wage Base</t>
  </si>
  <si>
    <t>Cumulative Social Security (OASDI) tax paid</t>
  </si>
  <si>
    <t>Bracket rounding increment (Single / Joint / HoH)</t>
  </si>
  <si>
    <t>Bracket rounding increment (Married Filing Separately)</t>
  </si>
  <si>
    <t>Contribution Method</t>
  </si>
  <si>
    <t>Scenario annual rate:</t>
  </si>
  <si>
    <t>Periodic rate:</t>
  </si>
  <si>
    <t>Contribution/Period</t>
  </si>
  <si>
    <t>Actual Contribution Applied</t>
  </si>
  <si>
    <t>Remaining income (after tax &amp; Roth)</t>
  </si>
  <si>
    <t>Lifetime Income</t>
  </si>
  <si>
    <t>Horizon Years</t>
  </si>
  <si>
    <t>Horizon Rows</t>
  </si>
  <si>
    <t>Credential Status</t>
  </si>
  <si>
    <t>Determines which career bonuses still apply</t>
  </si>
  <si>
    <t>How many exams do you have left to pass?</t>
  </si>
  <si>
    <t>exams remaining (caps cumulative exam bonus)</t>
  </si>
  <si>
    <t>How many years until Fellowship?</t>
  </si>
  <si>
    <t>years from today</t>
  </si>
  <si>
    <t>Cumulative Exams Modeled (Capped)</t>
  </si>
  <si>
    <t>How many years until you finish passing exams?</t>
  </si>
  <si>
    <t>years (pace = exams remaining ÷ this)</t>
  </si>
  <si>
    <t>Exams Per Year (derived pace)</t>
  </si>
  <si>
    <t>exams remaining ÷ years to finish</t>
  </si>
  <si>
    <t>If you're already ASA/ACAS or FSA/FCAS, we assume your entered starting salary already reflects those bonuses (we won't add them again).</t>
  </si>
  <si>
    <t>Yes</t>
  </si>
  <si>
    <t>Single, Married Filing Jointly, Married Filing Separately, or Head of Household</t>
  </si>
  <si>
    <t>Annual</t>
  </si>
  <si>
    <t>Growth Multiple to Retirement</t>
  </si>
  <si>
    <t>First contribution's growth multiple</t>
  </si>
  <si>
    <t>Final contribution's growth multiple</t>
  </si>
  <si>
    <t>Terminal Value of Year's Contributions</t>
  </si>
  <si>
    <t>Terminal Value Cross-Check</t>
  </si>
  <si>
    <t>First contribution's terminal value</t>
  </si>
  <si>
    <t>Final contribution's terminal value</t>
  </si>
  <si>
    <t>Terminal Value of Contributions</t>
  </si>
  <si>
    <t>Cap your salary growth?</t>
  </si>
  <si>
    <t>What's the maximum salary you'd like to model?</t>
  </si>
  <si>
    <t>Salary will never exceed this amount</t>
  </si>
  <si>
    <t>Target retirement balance ($)</t>
  </si>
  <si>
    <t>What you want your balance to reach by retirement</t>
  </si>
  <si>
    <t>Target in nominal or real (today's) dollars?</t>
  </si>
  <si>
    <t>Real = today's purchasing power; Nominal = actual future dollars</t>
  </si>
  <si>
    <t>Shadow Growth Multiple (Solver Rate)</t>
  </si>
  <si>
    <t>Shadow Terminal Value of Year's Contributions</t>
  </si>
  <si>
    <t>Shadow Terminal Balance (at Solver Rate)</t>
  </si>
  <si>
    <t>Total balance the shadow schedule reaches at the Solver Rate</t>
  </si>
  <si>
    <t>Nominal Target (converted from Real if needed)</t>
  </si>
  <si>
    <t>What Shadow Terminal Balance must equal, in future dollars</t>
  </si>
  <si>
    <t>Difference (Shadow − Target)</t>
  </si>
  <si>
    <t>~$0 after Goal Seek converges; nonzero before it's run</t>
  </si>
  <si>
    <t>Required Annual Return (Solver Return Rate, once solved)</t>
  </si>
  <si>
    <t>This is the answer, once Goal Seek has been run</t>
  </si>
  <si>
    <t>HOW TO SOLVE</t>
  </si>
  <si>
    <t>Starting balance's terminal value</t>
  </si>
  <si>
    <t>Cross-check: seed + all contributions' terminal values vs. actual ending balance</t>
  </si>
  <si>
    <t>WHAT-IF SCENARIOS</t>
  </si>
  <si>
    <t>1. REQUIRED RETURN SOLVER</t>
  </si>
  <si>
    <t>2. RETURN-RATE SCENARIOS (BEAR / BASE / BULL)</t>
  </si>
  <si>
    <t>Bear/Bull spread (± percentage points)</t>
  </si>
  <si>
    <t>Applied above and below your base return rate</t>
  </si>
  <si>
    <t>Scenario</t>
  </si>
  <si>
    <t>Return Rate</t>
  </si>
  <si>
    <t>Final Nominal Balance</t>
  </si>
  <si>
    <t>Final Real Balance</t>
  </si>
  <si>
    <t>Bear (Base − Spread, floored at 0%)</t>
  </si>
  <si>
    <t>Base (live from main model)</t>
  </si>
  <si>
    <t>Bull (Base + Spread)</t>
  </si>
  <si>
    <t>Bear Growth Multiple</t>
  </si>
  <si>
    <t>Bear Terminal Value</t>
  </si>
  <si>
    <t>Bull Growth Multiple</t>
  </si>
  <si>
    <t>Bull Terminal Value</t>
  </si>
  <si>
    <t>3. INFLATION SWING</t>
  </si>
  <si>
    <t>Inflation swing (± percentage points)</t>
  </si>
  <si>
    <t>Applied above and below your base inflation rate</t>
  </si>
  <si>
    <t>Inflation Scenario</t>
  </si>
  <si>
    <t>Rate</t>
  </si>
  <si>
    <t>Real Balance at Retirement</t>
  </si>
  <si>
    <t>Low (Base − Swing, floored at 0%)</t>
  </si>
  <si>
    <t>High (Base + Swing)</t>
  </si>
  <si>
    <t>Gap-Adjusted Contribution</t>
  </si>
  <si>
    <t>Gap-Adjusted Terminal Value</t>
  </si>
  <si>
    <t>4. CONTRIBUTION GAP / CAREER BREAK</t>
  </si>
  <si>
    <t>Gap start year (Projection Year, 0 = first modeled year)</t>
  </si>
  <si>
    <t>Gap length (years)</t>
  </si>
  <si>
    <t>Difference vs. Base Case</t>
  </si>
  <si>
    <t>No gap (base case)</t>
  </si>
  <si>
    <t>With gap</t>
  </si>
  <si>
    <t>Early-Stop-Adjusted Contribution</t>
  </si>
  <si>
    <t>Early-Stop-Adjusted Terminal Value</t>
  </si>
  <si>
    <t>5. EARLY STOP CONTRIBUTING</t>
  </si>
  <si>
    <t>Contribute full career (base case)</t>
  </si>
  <si>
    <t>Stop early</t>
  </si>
  <si>
    <t>Stop contributing after age (last contribution happens at this age)</t>
  </si>
  <si>
    <t>Contributions stop for good after this age; balance keeps compounding to retirement</t>
  </si>
  <si>
    <t>Retirement Balance Milestones</t>
  </si>
  <si>
    <t>Milestone</t>
  </si>
  <si>
    <t>Nominal Balance</t>
  </si>
  <si>
    <t>Real Balance</t>
  </si>
  <si>
    <t>First $500,000</t>
  </si>
  <si>
    <t>First $1,000,000</t>
  </si>
  <si>
    <t>First $2,000,000</t>
  </si>
  <si>
    <t>First $5,000,000</t>
  </si>
  <si>
    <t>Each milestone uses the first projection year in which the modeled value is greater than or equal to the selected threshold.</t>
  </si>
  <si>
    <t>Career &amp; Cash-Flow Milestones</t>
  </si>
  <si>
    <t>Metric</t>
  </si>
  <si>
    <t>Roth Contribution</t>
  </si>
  <si>
    <t>Cumulative Total Tax Rate</t>
  </si>
  <si>
    <t>Years to Milestone</t>
  </si>
  <si>
    <t>First Projection Year (Helper)</t>
  </si>
  <si>
    <t>IRA RETIREMENT MODEL</t>
  </si>
  <si>
    <t>This workbook projects an IRA balance from a starting age through retirement using transparent annual time-value-of-money formulas.</t>
  </si>
  <si>
    <t>5. Actuary Mode stores career assumptions for a future salary module; it does not currently change IRA accumulation.</t>
  </si>
  <si>
    <t>Let’s build your IRA projection.</t>
  </si>
  <si>
    <t>Let’s start with your IRA</t>
  </si>
  <si>
    <t>What's your current IRA balance?</t>
  </si>
  <si>
    <t>How often will you contribute to your IRA?</t>
  </si>
  <si>
    <t>Nominal IRA Balance</t>
  </si>
  <si>
    <t>Real IRA Balance</t>
  </si>
  <si>
    <t>IRA Projection Summary</t>
  </si>
  <si>
    <t>IRA Retirement Detail</t>
  </si>
  <si>
    <t>IRA Contribution</t>
  </si>
  <si>
    <t>IRA contributions</t>
  </si>
  <si>
    <t>Statutory Roth limit (Year 0) divided by trading-day contributions. This is the limit only, not the delayed actual contribution.</t>
  </si>
  <si>
    <t>The money multiplier above is just an average across all your contributions. The chart below shows why that average hides a wide range.</t>
  </si>
  <si>
    <t>Isolated shadow calculations for exploring alternate assumptions. None of these inputs affect ENGINE, PERIODIC ENGINE, or any existing chart or output.</t>
  </si>
  <si>
    <t>This section is fully isolated from the rest of the model. It does not read or change your main return-rate assumption, and running Goal Seek here will never affect any chart or output elsewhere in the workbook.</t>
  </si>
  <si>
    <t>Solver Return Rate (%), isolated: does not affect the rest of the model</t>
  </si>
  <si>
    <t>Goal Seek changes THIS cell only. It defaults to your main return rate.</t>
  </si>
  <si>
    <t>Data, then What-If Analysis, then Goal Seek. Set cell: B10. To value: type the number currently shown in B11 (or 0 if using the Difference cell as "Set cell" instead; see below). By changing cell: B8. Click OK.</t>
  </si>
  <si>
    <t>Tip: for a cleaner solve, you can instead set "Set cell" to B12 (Difference) and "To value" to 0. It's mathematically identical, but lets you watch the gap close to exactly zero.</t>
  </si>
  <si>
    <t>Bear and Bull are relative to your actual base-case return rate, not fixed values, so they stay meaningful no matter what your real assumption is.</t>
  </si>
  <si>
    <t>Same relative-offset principle: Low/High inflation move with your actual base inflation assumption, not fixed values. Nominal balance never changes here; only its real-dollar conversion does.</t>
  </si>
  <si>
    <t>CONSTANTS &amp; REFERENCES: 2026 BASE YEAR</t>
  </si>
  <si>
    <t>Bracket_Round_Standard: statutory rounding for Single, Married Filing Jointly, and Head of Household (IRC §1(f)(6)/(7))</t>
  </si>
  <si>
    <t>Bracket_Round_MFS: MFS brackets round to the nearest $25, not $50, per IRC §1(f)(7)/(8)</t>
  </si>
  <si>
    <t>2026 published regular IRA limit, per IRS Notice 2025-67</t>
  </si>
  <si>
    <t>RESEARCH NOTES: NOT CONNECTED TO CURRENT ENGINE</t>
  </si>
  <si>
    <t>2026 IRA MAGI RESEARCH: NOT MODELED</t>
  </si>
  <si>
    <t>Note: This model escalates the OASDI wage base using CPI as a simplified illustrative proxy (see 'Modeled OASDI Wage Base' column on ENGINE); row 21 is the 2026 base year value only. This is NOT how the SSA actually indexes the wage base: the real annual adjustment is tied to the National Average Wage Index (AWI), not CPI. Treat the modeled figures as a rough approximation, not an official forecast.</t>
  </si>
  <si>
    <t>1. Open INPUTS and answer the highlighted questions.</t>
  </si>
  <si>
    <t>Edit the highlighted cells</t>
  </si>
  <si>
    <t>How long until you cross each balance threshold</t>
  </si>
  <si>
    <t>ASA / ACAS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</si>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</sst>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164" formatCode="&quot;$&quot;#,##0"/>
    <numFmt numFmtId="165" formatCode="&quot;$&quot;#,##0.00"/>
    <numFmt numFmtId="166" formatCode="0.000\x"/>
    <numFmt numFmtId="167" formatCode="&quot;$&quot;#,##0;[Red]\(&quot;$&quot;#,##0\);\-"/>
    <numFmt numFmtId="168" formatCode="0.0%"/>
    <numFmt numFmtId="169" formatCode="0.0"/>
    <numFmt numFmtId="170" formatCode="&quot;$&quot;#,##0.00;[Red]\(&quot;$&quot;#,##0.00\);\-"/>
    <numFmt numFmtId="171" formatCode="0.00\x"/>
    <numFmt numFmtId="172" formatCode="&quot;$&quot;#,##0;\(&quot;$&quot;#,##0\);\-"/>
    <numFmt numFmtId="173" formatCode="0.00&quot;x&quot;"/>
    <numFmt numFmtId="174" formatCode="0.0000"/>
  </numFmts>
  <fonts count="56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Aptos"/>
    </font>
    <font>
      <sz val="10"/>
      <color rgb="FF222222"/>
      <name val="Aptos"/>
    </font>
    <font>
      <b/>
      <sz val="16"/>
      <color rgb="FFFAFAFA"/>
      <name val="Segoe UI"/>
      <family val="2"/>
    </font>
    <font>
      <b/>
      <sz val="10"/>
      <color rgb="FFFAFAFA"/>
      <name val="Segoe UI"/>
      <family val="2"/>
    </font>
    <font>
      <b/>
      <sz val="10.5"/>
      <color rgb="FF262A2E"/>
      <name val="Segoe UI"/>
      <family val="2"/>
    </font>
    <font>
      <sz val="11"/>
      <color rgb="FF262A2E"/>
      <name val="Segoe UI"/>
      <family val="2"/>
    </font>
    <font>
      <b/>
      <sz val="11"/>
      <color rgb="FFFAFAFA"/>
      <name val="Segoe UI"/>
      <family val="2"/>
    </font>
    <font>
      <sz val="10"/>
      <color rgb="FF000000"/>
      <name val="Segoe UI"/>
      <family val="2"/>
    </font>
    <font>
      <sz val="10"/>
      <color rgb="FF262A2E"/>
      <name val="Segoe UI"/>
      <family val="2"/>
    </font>
    <font>
      <i/>
      <sz val="9"/>
      <color rgb="FF6B7280"/>
      <name val="Segoe UI"/>
      <family val="2"/>
    </font>
    <font>
      <sz val="9"/>
      <color rgb="FF6B7280"/>
      <name val="Segoe UI"/>
      <family val="2"/>
    </font>
    <font>
      <b/>
      <sz val="10.5"/>
      <color rgb="FFFAFAFA"/>
      <name val="Segoe UI"/>
      <family val="2"/>
    </font>
    <font>
      <sz val="9"/>
      <color rgb="FF262A2E"/>
      <name val="Segoe UI"/>
      <family val="2"/>
    </font>
    <font>
      <b/>
      <sz val="10"/>
      <color rgb="FF262A2E"/>
      <name val="Segoe UI"/>
      <family val="2"/>
    </font>
    <font>
      <b/>
      <sz val="9"/>
      <color rgb="FFFAFAFA"/>
      <name val="Segoe UI"/>
      <family val="2"/>
    </font>
    <font>
      <b/>
      <sz val="12"/>
      <color rgb="FF262A2E"/>
      <name val="Segoe UI"/>
      <family val="2"/>
    </font>
    <font>
      <b/>
      <sz val="11"/>
      <color rgb="FF262A2E"/>
      <name val="Segoe UI"/>
      <family val="2"/>
    </font>
    <font>
      <i/>
      <sz val="9.5"/>
      <color rgb="FF262A2E"/>
      <name val="Segoe UI"/>
      <family val="2"/>
    </font>
    <font>
      <b/>
      <sz val="12"/>
      <color rgb="FFFAFAFA"/>
      <name val="Segoe UI"/>
      <family val="2"/>
    </font>
    <font>
      <sz val="10.5"/>
      <color rgb="FF262A2E"/>
      <name val="Segoe UI"/>
      <family val="2"/>
    </font>
    <font>
      <sz val="9.5"/>
      <color rgb="FF6B7280"/>
      <name val="Segoe UI"/>
      <family val="2"/>
    </font>
    <font>
      <sz val="9.5"/>
      <color rgb="FF262A2E"/>
      <name val="Segoe UI"/>
      <family val="2"/>
    </font>
    <font>
      <b/>
      <sz val="10"/>
      <color rgb="FFC1666B"/>
      <name val="Segoe UI"/>
      <family val="2"/>
    </font>
    <font>
      <sz val="10.5"/>
      <color rgb="FFFAFAFA"/>
      <name val="Segoe UI"/>
      <family val="2"/>
    </font>
    <font>
      <b/>
      <sz val="18"/>
      <color rgb="FFFAFAFA"/>
      <name val="Segoe UI"/>
      <family val="2"/>
    </font>
    <font>
      <i/>
      <sz val="9.5"/>
      <color rgb="FF6B7280"/>
      <name val="Segoe UI"/>
      <family val="2"/>
    </font>
    <font>
      <b/>
      <sz val="19"/>
      <color rgb="FFFAFAFA"/>
      <name val="Segoe UI"/>
      <family val="2"/>
    </font>
    <font>
      <b/>
      <sz val="18"/>
      <color rgb="FFFAFAFA"/>
      <name val="Open Sans"/>
    </font>
    <font>
      <i/>
      <sz val="10"/>
      <color rgb="FF697477"/>
      <name val="Open Sans"/>
    </font>
    <font>
      <sz val="10"/>
      <color rgb="FF2F3638"/>
      <name val="Open Sans"/>
    </font>
    <font>
      <sz val="11"/>
      <color rgb="FF2F3638"/>
      <name val="Open Sans"/>
    </font>
    <font>
      <b/>
      <sz val="11.5"/>
      <color rgb="FFFAFAFA"/>
      <name val="Open Sans"/>
    </font>
    <font>
      <b/>
      <sz val="10"/>
      <color rgb="FFFAFAFA"/>
      <name val="Open Sans"/>
    </font>
    <font>
      <b/>
      <sz val="10.5"/>
      <color rgb="FF262A2E"/>
      <name val="Open Sans"/>
    </font>
    <font>
      <b/>
      <sz val="11"/>
      <color rgb="FF262A2E"/>
      <name val="Open Sans"/>
    </font>
    <font>
      <sz val="11"/>
      <color rgb="FF8A8F96"/>
      <name val="Open Sans"/>
    </font>
    <font>
      <b/>
      <sz val="9.5"/>
      <color rgb="FFFAFAFA"/>
      <name val="Open Sans"/>
    </font>
    <font>
      <sz val="11"/>
      <color rgb="FF262A2E"/>
      <name val="Open Sans"/>
    </font>
    <font>
      <b/>
      <sz val="11"/>
      <color rgb="FFFAFAFA"/>
      <name val="Open Sans"/>
    </font>
    <font>
      <sz val="10"/>
      <color rgb="FF000000"/>
      <name val="Open Sans"/>
    </font>
    <font>
      <sz val="10"/>
      <color rgb="FF262A2E"/>
      <name val="Open Sans"/>
    </font>
    <font>
      <i/>
      <sz val="9"/>
      <color rgb="FF6B7280"/>
      <name val="Open Sans"/>
    </font>
    <font>
      <i/>
      <sz val="9"/>
      <color rgb="FF697477"/>
      <name val="Open Sans"/>
    </font>
    <font>
      <b/>
      <sz val="10.5"/>
      <color rgb="FF8A8F96"/>
      <name val="Open Sans"/>
    </font>
    <font>
      <b/>
      <sz val="10.5"/>
      <color rgb="FFFAFAFA"/>
      <name val="Open Sans"/>
    </font>
    <font>
      <sz val="9"/>
      <color rgb="FF262A2E"/>
      <name val="Open Sans"/>
    </font>
    <font>
      <sz val="10.5"/>
      <color rgb="FF1A1A1A"/>
      <name val="Open Sans"/>
    </font>
    <font>
      <i/>
      <sz val="10"/>
      <color theme="1"/>
      <name val="Open Sans"/>
    </font>
    <font>
      <i/>
      <sz val="10"/>
      <color rgb="FF8A8F98"/>
      <name val="Open Sans"/>
    </font>
    <font>
      <i/>
      <sz val="9"/>
      <color rgb="FF8A8F98"/>
      <name val="Open Sans"/>
    </font>
    <font>
      <i/>
      <sz val="11"/>
      <color rgb="FF8A8F98"/>
      <name val="Open Sans"/>
    </font>
    <font>
      <i/>
      <sz val="9.5"/>
      <color rgb="FF8A8F98"/>
      <name val="Open San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6F5"/>
        <bgColor indexed="64"/>
      </patternFill>
    </fill>
    <fill>
      <patternFill patternType="solid">
        <fgColor rgb="FF4A4F55"/>
        <bgColor indexed="64"/>
      </patternFill>
    </fill>
    <fill>
      <patternFill patternType="solid">
        <fgColor rgb="FF262A2E"/>
        <bgColor indexed="64"/>
      </patternFill>
    </fill>
    <fill>
      <patternFill patternType="solid">
        <fgColor rgb="FFEAEFF3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3D4C6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7C9182"/>
      </bottom>
      <diagonal/>
    </border>
    <border>
      <left/>
      <right/>
      <top/>
      <bottom style="medium">
        <color rgb="FFA67C2E"/>
      </bottom>
      <diagonal/>
    </border>
    <border>
      <left style="thin">
        <color rgb="FFA67C2E"/>
      </left>
      <right/>
      <top/>
      <bottom/>
      <diagonal/>
    </border>
    <border>
      <left/>
      <right/>
      <top/>
      <bottom style="thin">
        <color rgb="FF17324D"/>
      </bottom>
      <diagonal/>
    </border>
    <border>
      <left/>
      <right/>
      <top style="thin">
        <color rgb="FF17324D"/>
      </top>
      <bottom/>
      <diagonal/>
    </border>
    <border>
      <left/>
      <right/>
      <top/>
      <bottom style="thin">
        <color rgb="FFE3E0D9"/>
      </bottom>
      <diagonal/>
    </border>
    <border>
      <left/>
      <right/>
      <top style="medium">
        <color rgb="FF17365D"/>
      </top>
      <bottom style="thin">
        <color rgb="FF9AA6B2"/>
      </bottom>
      <diagonal/>
    </border>
    <border>
      <left/>
      <right/>
      <top/>
      <bottom style="thin">
        <color rgb="FF9AA6B2"/>
      </bottom>
      <diagonal/>
    </border>
    <border>
      <left/>
      <right/>
      <top style="medium">
        <color rgb="FF17365D"/>
      </top>
      <bottom/>
      <diagonal/>
    </border>
    <border>
      <left/>
      <right/>
      <top style="thin">
        <color rgb="FF9AA6B2"/>
      </top>
      <bottom style="thin">
        <color rgb="FFC7CDD4"/>
      </bottom>
      <diagonal/>
    </border>
    <border>
      <left/>
      <right/>
      <top/>
      <bottom style="thin">
        <color rgb="FFC7CDD4"/>
      </bottom>
      <diagonal/>
    </border>
    <border>
      <left/>
      <right/>
      <top style="thin">
        <color rgb="FF9AA6B2"/>
      </top>
      <bottom/>
      <diagonal/>
    </border>
    <border>
      <left/>
      <right/>
      <top style="thin">
        <color rgb="FFC7CDD4"/>
      </top>
      <bottom style="thin">
        <color rgb="FFA6A6A6"/>
      </bottom>
      <diagonal/>
    </border>
    <border>
      <left/>
      <right/>
      <top style="thin">
        <color rgb="FF9AA6B2"/>
      </top>
      <bottom style="thin">
        <color rgb="FFA6A6A6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D9D9D9"/>
      </top>
      <bottom/>
      <diagonal/>
    </border>
    <border>
      <left style="medium">
        <color rgb="FF7B93A8"/>
      </left>
      <right style="medium">
        <color rgb="FF7B93A8"/>
      </right>
      <top style="thin">
        <color rgb="FFD9D9D9"/>
      </top>
      <bottom/>
      <diagonal/>
    </border>
    <border>
      <left style="medium">
        <color rgb="FF7B93A8"/>
      </left>
      <right style="medium">
        <color rgb="FF7B93A8"/>
      </right>
      <top/>
      <bottom/>
      <diagonal/>
    </border>
    <border>
      <left style="medium">
        <color rgb="FF7B93A8"/>
      </left>
      <right style="medium">
        <color rgb="FF7B93A8"/>
      </right>
      <top/>
      <bottom style="thin">
        <color rgb="FFD9D9D9"/>
      </bottom>
      <diagonal/>
    </border>
    <border>
      <left style="medium">
        <color rgb="FF7B93A8"/>
      </left>
      <right style="medium">
        <color rgb="FF7B93A8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7" fillId="8" borderId="0" xfId="0" applyFont="1" applyFill="1"/>
    <xf numFmtId="0" fontId="11" fillId="0" borderId="0" xfId="0" applyFont="1"/>
    <xf numFmtId="0" fontId="12" fillId="0" borderId="0" xfId="0" applyFont="1"/>
    <xf numFmtId="0" fontId="10" fillId="8" borderId="0" xfId="0" applyFont="1" applyFill="1" applyAlignment="1">
      <alignment horizontal="center"/>
    </xf>
    <xf numFmtId="0" fontId="10" fillId="8" borderId="0" xfId="0" applyFont="1" applyFill="1"/>
    <xf numFmtId="1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9" fillId="0" borderId="0" xfId="0" applyFont="1"/>
    <xf numFmtId="1" fontId="9" fillId="0" borderId="0" xfId="0" applyNumberFormat="1" applyFont="1"/>
    <xf numFmtId="167" fontId="9" fillId="0" borderId="0" xfId="0" applyNumberFormat="1" applyFont="1"/>
    <xf numFmtId="170" fontId="9" fillId="0" borderId="0" xfId="0" applyNumberFormat="1" applyFont="1"/>
    <xf numFmtId="164" fontId="12" fillId="0" borderId="0" xfId="0" applyNumberFormat="1" applyFont="1"/>
    <xf numFmtId="167" fontId="12" fillId="0" borderId="0" xfId="0" applyNumberFormat="1" applyFont="1"/>
    <xf numFmtId="1" fontId="12" fillId="0" borderId="0" xfId="0" applyNumberFormat="1" applyFont="1"/>
    <xf numFmtId="166" fontId="12" fillId="0" borderId="0" xfId="0" applyNumberFormat="1" applyFont="1"/>
    <xf numFmtId="170" fontId="12" fillId="0" borderId="0" xfId="0" applyNumberFormat="1" applyFont="1"/>
    <xf numFmtId="168" fontId="12" fillId="0" borderId="0" xfId="0" applyNumberFormat="1" applyFont="1"/>
    <xf numFmtId="165" fontId="12" fillId="0" borderId="0" xfId="0" applyNumberFormat="1" applyFont="1"/>
    <xf numFmtId="173" fontId="12" fillId="0" borderId="0" xfId="0" applyNumberFormat="1" applyFont="1"/>
    <xf numFmtId="10" fontId="12" fillId="0" borderId="0" xfId="0" applyNumberFormat="1" applyFont="1"/>
    <xf numFmtId="174" fontId="12" fillId="0" borderId="0" xfId="0" applyNumberFormat="1" applyFont="1"/>
    <xf numFmtId="168" fontId="12" fillId="5" borderId="0" xfId="0" applyNumberFormat="1" applyFont="1" applyFill="1"/>
    <xf numFmtId="0" fontId="18" fillId="8" borderId="0" xfId="0" applyFont="1" applyFill="1"/>
    <xf numFmtId="0" fontId="16" fillId="6" borderId="0" xfId="0" applyFont="1" applyFill="1"/>
    <xf numFmtId="172" fontId="20" fillId="3" borderId="3" xfId="0" applyNumberFormat="1" applyFont="1" applyFill="1" applyBorder="1" applyAlignment="1">
      <alignment horizontal="right"/>
    </xf>
    <xf numFmtId="172" fontId="20" fillId="3" borderId="0" xfId="0" applyNumberFormat="1" applyFont="1" applyFill="1" applyAlignment="1">
      <alignment horizontal="right"/>
    </xf>
    <xf numFmtId="0" fontId="12" fillId="4" borderId="0" xfId="0" applyFont="1" applyFill="1"/>
    <xf numFmtId="0" fontId="13" fillId="0" borderId="0" xfId="0" applyFont="1"/>
    <xf numFmtId="0" fontId="21" fillId="0" borderId="0" xfId="0" applyFont="1"/>
    <xf numFmtId="172" fontId="17" fillId="0" borderId="0" xfId="0" applyNumberFormat="1" applyFont="1"/>
    <xf numFmtId="168" fontId="17" fillId="0" borderId="0" xfId="0" applyNumberFormat="1" applyFont="1"/>
    <xf numFmtId="171" fontId="20" fillId="3" borderId="0" xfId="0" applyNumberFormat="1" applyFont="1" applyFill="1" applyAlignment="1">
      <alignment horizontal="right"/>
    </xf>
    <xf numFmtId="173" fontId="20" fillId="3" borderId="0" xfId="0" applyNumberFormat="1" applyFont="1" applyFill="1" applyAlignment="1">
      <alignment horizontal="right"/>
    </xf>
    <xf numFmtId="172" fontId="12" fillId="2" borderId="5" xfId="0" applyNumberFormat="1" applyFont="1" applyFill="1" applyBorder="1" applyAlignment="1">
      <alignment horizontal="right"/>
    </xf>
    <xf numFmtId="172" fontId="12" fillId="2" borderId="0" xfId="0" applyNumberFormat="1" applyFont="1" applyFill="1" applyAlignment="1">
      <alignment horizontal="right"/>
    </xf>
    <xf numFmtId="172" fontId="12" fillId="2" borderId="6" xfId="0" applyNumberFormat="1" applyFont="1" applyFill="1" applyBorder="1" applyAlignment="1">
      <alignment horizontal="right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2" fillId="4" borderId="0" xfId="0" applyFont="1" applyFill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7" fillId="7" borderId="9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7" fillId="3" borderId="13" xfId="0" applyFont="1" applyFill="1" applyBorder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4" borderId="15" xfId="0" applyFont="1" applyFill="1" applyBorder="1" applyAlignment="1">
      <alignment horizontal="right" vertical="center"/>
    </xf>
    <xf numFmtId="164" fontId="12" fillId="4" borderId="0" xfId="0" applyNumberFormat="1" applyFont="1" applyFill="1" applyAlignment="1">
      <alignment horizontal="right" vertical="center"/>
    </xf>
    <xf numFmtId="0" fontId="17" fillId="4" borderId="11" xfId="0" applyFont="1" applyFill="1" applyBorder="1" applyAlignment="1">
      <alignment horizontal="center" vertical="center"/>
    </xf>
    <xf numFmtId="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right" vertical="center"/>
    </xf>
    <xf numFmtId="0" fontId="7" fillId="7" borderId="0" xfId="0" applyFont="1" applyFill="1" applyAlignment="1">
      <alignment vertical="center"/>
    </xf>
    <xf numFmtId="0" fontId="7" fillId="7" borderId="8" xfId="0" applyFont="1" applyFill="1" applyBorder="1" applyAlignment="1">
      <alignment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right" vertical="center" wrapText="1"/>
    </xf>
    <xf numFmtId="10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/>
    </xf>
    <xf numFmtId="0" fontId="17" fillId="4" borderId="10" xfId="0" applyFont="1" applyFill="1" applyBorder="1" applyAlignment="1">
      <alignment vertical="center"/>
    </xf>
    <xf numFmtId="0" fontId="12" fillId="4" borderId="0" xfId="0" applyFont="1" applyFill="1" applyAlignment="1">
      <alignment vertical="center" wrapText="1"/>
    </xf>
    <xf numFmtId="164" fontId="12" fillId="4" borderId="0" xfId="0" applyNumberFormat="1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vertical="center" wrapText="1"/>
    </xf>
    <xf numFmtId="166" fontId="12" fillId="4" borderId="0" xfId="0" applyNumberFormat="1" applyFont="1" applyFill="1" applyAlignment="1">
      <alignment vertical="center" wrapText="1"/>
    </xf>
    <xf numFmtId="0" fontId="12" fillId="4" borderId="0" xfId="0" quotePrefix="1" applyFont="1" applyFill="1" applyAlignment="1">
      <alignment vertical="center" wrapText="1"/>
    </xf>
    <xf numFmtId="0" fontId="17" fillId="3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8" fontId="14" fillId="0" borderId="0" xfId="0" applyNumberFormat="1" applyFont="1" applyAlignment="1">
      <alignment vertical="center" wrapText="1"/>
    </xf>
    <xf numFmtId="0" fontId="23" fillId="4" borderId="0" xfId="0" applyFont="1" applyFill="1" applyAlignment="1">
      <alignment wrapText="1"/>
    </xf>
    <xf numFmtId="0" fontId="8" fillId="4" borderId="1" xfId="0" applyFont="1" applyFill="1" applyBorder="1" applyAlignment="1">
      <alignment wrapText="1"/>
    </xf>
    <xf numFmtId="0" fontId="6" fillId="8" borderId="0" xfId="0" applyFont="1" applyFill="1" applyAlignment="1">
      <alignment wrapText="1"/>
    </xf>
    <xf numFmtId="0" fontId="15" fillId="7" borderId="1" xfId="0" applyFont="1" applyFill="1" applyBorder="1" applyAlignment="1">
      <alignment wrapText="1"/>
    </xf>
    <xf numFmtId="0" fontId="15" fillId="7" borderId="0" xfId="0" applyFont="1" applyFill="1" applyAlignment="1">
      <alignment wrapText="1"/>
    </xf>
    <xf numFmtId="0" fontId="27" fillId="7" borderId="0" xfId="0" applyFont="1" applyFill="1" applyAlignment="1">
      <alignment wrapText="1"/>
    </xf>
    <xf numFmtId="0" fontId="15" fillId="7" borderId="15" xfId="0" applyFont="1" applyFill="1" applyBorder="1" applyAlignment="1">
      <alignment wrapText="1"/>
    </xf>
    <xf numFmtId="170" fontId="15" fillId="0" borderId="0" xfId="0" applyNumberFormat="1" applyFont="1" applyAlignment="1">
      <alignment horizontal="right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horizontal="left"/>
    </xf>
    <xf numFmtId="0" fontId="29" fillId="4" borderId="0" xfId="0" applyFont="1" applyFill="1"/>
    <xf numFmtId="0" fontId="24" fillId="0" borderId="0" xfId="0" applyFont="1"/>
    <xf numFmtId="0" fontId="25" fillId="0" borderId="0" xfId="0" applyFont="1"/>
    <xf numFmtId="0" fontId="12" fillId="0" borderId="15" xfId="0" applyFont="1" applyBorder="1"/>
    <xf numFmtId="0" fontId="12" fillId="0" borderId="16" xfId="0" applyFont="1" applyBorder="1"/>
    <xf numFmtId="0" fontId="13" fillId="0" borderId="20" xfId="0" applyFont="1" applyBorder="1"/>
    <xf numFmtId="0" fontId="23" fillId="0" borderId="20" xfId="0" applyFont="1" applyBorder="1"/>
    <xf numFmtId="0" fontId="12" fillId="0" borderId="20" xfId="0" applyFont="1" applyBorder="1"/>
    <xf numFmtId="0" fontId="17" fillId="0" borderId="20" xfId="0" applyFont="1" applyBorder="1"/>
    <xf numFmtId="0" fontId="25" fillId="0" borderId="20" xfId="0" applyFont="1" applyBorder="1"/>
    <xf numFmtId="0" fontId="13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1" xfId="0" applyFont="1" applyBorder="1"/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167" fontId="12" fillId="2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Alignment="1">
      <alignment horizontal="center" vertical="center"/>
    </xf>
    <xf numFmtId="167" fontId="12" fillId="2" borderId="0" xfId="0" applyNumberFormat="1" applyFont="1" applyFill="1" applyAlignment="1">
      <alignment horizontal="center" vertical="center"/>
    </xf>
    <xf numFmtId="168" fontId="12" fillId="2" borderId="0" xfId="0" applyNumberFormat="1" applyFont="1" applyFill="1" applyAlignment="1">
      <alignment horizontal="right" vertical="center"/>
    </xf>
    <xf numFmtId="0" fontId="12" fillId="0" borderId="26" xfId="0" applyFont="1" applyBorder="1"/>
    <xf numFmtId="0" fontId="12" fillId="0" borderId="0" xfId="0" applyFont="1" applyAlignment="1">
      <alignment horizontal="right"/>
    </xf>
    <xf numFmtId="172" fontId="17" fillId="0" borderId="0" xfId="0" applyNumberFormat="1" applyFont="1" applyAlignment="1">
      <alignment horizontal="right"/>
    </xf>
    <xf numFmtId="168" fontId="1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67" fontId="12" fillId="0" borderId="23" xfId="0" applyNumberFormat="1" applyFont="1" applyBorder="1" applyAlignment="1">
      <alignment horizontal="right"/>
    </xf>
    <xf numFmtId="10" fontId="12" fillId="0" borderId="16" xfId="0" applyNumberFormat="1" applyFont="1" applyBorder="1" applyAlignment="1">
      <alignment horizontal="right"/>
    </xf>
    <xf numFmtId="167" fontId="12" fillId="0" borderId="16" xfId="0" applyNumberFormat="1" applyFont="1" applyBorder="1" applyAlignment="1">
      <alignment horizontal="right"/>
    </xf>
    <xf numFmtId="167" fontId="12" fillId="0" borderId="24" xfId="0" applyNumberFormat="1" applyFont="1" applyBorder="1" applyAlignment="1">
      <alignment horizontal="right"/>
    </xf>
    <xf numFmtId="167" fontId="26" fillId="0" borderId="16" xfId="0" applyNumberFormat="1" applyFont="1" applyBorder="1" applyAlignment="1">
      <alignment horizontal="right"/>
    </xf>
    <xf numFmtId="167" fontId="23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0" fontId="20" fillId="3" borderId="0" xfId="0" applyNumberFormat="1" applyFont="1" applyFill="1" applyAlignment="1">
      <alignment horizontal="right"/>
    </xf>
    <xf numFmtId="167" fontId="8" fillId="9" borderId="28" xfId="0" applyNumberFormat="1" applyFont="1" applyFill="1" applyBorder="1" applyAlignment="1">
      <alignment horizontal="center"/>
    </xf>
    <xf numFmtId="0" fontId="8" fillId="9" borderId="28" xfId="0" applyFont="1" applyFill="1" applyBorder="1" applyAlignment="1">
      <alignment horizontal="center"/>
    </xf>
    <xf numFmtId="10" fontId="8" fillId="9" borderId="28" xfId="0" applyNumberFormat="1" applyFont="1" applyFill="1" applyBorder="1" applyAlignment="1">
      <alignment horizontal="center"/>
    </xf>
    <xf numFmtId="169" fontId="8" fillId="9" borderId="28" xfId="0" applyNumberFormat="1" applyFont="1" applyFill="1" applyBorder="1" applyAlignment="1">
      <alignment horizontal="center"/>
    </xf>
    <xf numFmtId="1" fontId="8" fillId="9" borderId="28" xfId="0" applyNumberFormat="1" applyFont="1" applyFill="1" applyBorder="1" applyAlignment="1">
      <alignment horizontal="center"/>
    </xf>
    <xf numFmtId="0" fontId="30" fillId="10" borderId="0" xfId="0" applyFont="1" applyFill="1" applyAlignment="1">
      <alignment horizontal="left" vertical="center"/>
    </xf>
    <xf numFmtId="0" fontId="22" fillId="11" borderId="16" xfId="0" applyFont="1" applyFill="1" applyBorder="1" applyAlignment="1">
      <alignment horizontal="left"/>
    </xf>
    <xf numFmtId="0" fontId="22" fillId="11" borderId="2" xfId="0" applyFont="1" applyFill="1" applyBorder="1" applyAlignment="1">
      <alignment horizontal="left"/>
    </xf>
    <xf numFmtId="0" fontId="7" fillId="10" borderId="4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22" fillId="11" borderId="19" xfId="0" applyFont="1" applyFill="1" applyBorder="1"/>
    <xf numFmtId="0" fontId="7" fillId="10" borderId="20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28" fillId="10" borderId="0" xfId="0" applyFont="1" applyFill="1" applyAlignment="1">
      <alignment horizontal="left" vertical="center"/>
    </xf>
    <xf numFmtId="0" fontId="7" fillId="11" borderId="16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right" vertical="center" wrapText="1"/>
    </xf>
    <xf numFmtId="0" fontId="10" fillId="10" borderId="16" xfId="0" applyFont="1" applyFill="1" applyBorder="1" applyAlignment="1">
      <alignment horizontal="left" vertical="center"/>
    </xf>
    <xf numFmtId="0" fontId="10" fillId="10" borderId="16" xfId="0" applyFont="1" applyFill="1" applyBorder="1" applyAlignment="1">
      <alignment horizontal="right" vertical="center"/>
    </xf>
    <xf numFmtId="0" fontId="31" fillId="10" borderId="16" xfId="0" applyFont="1" applyFill="1" applyBorder="1" applyAlignment="1">
      <alignment horizontal="left" vertical="center"/>
    </xf>
    <xf numFmtId="0" fontId="32" fillId="4" borderId="0" xfId="0" applyFont="1" applyFill="1" applyAlignment="1">
      <alignment vertical="center"/>
    </xf>
    <xf numFmtId="0" fontId="33" fillId="4" borderId="0" xfId="0" applyFont="1" applyFill="1"/>
    <xf numFmtId="0" fontId="34" fillId="4" borderId="0" xfId="0" applyFont="1" applyFill="1" applyAlignment="1">
      <alignment vertical="center"/>
    </xf>
    <xf numFmtId="0" fontId="35" fillId="11" borderId="18" xfId="0" applyFont="1" applyFill="1" applyBorder="1" applyAlignment="1">
      <alignment vertical="center"/>
    </xf>
    <xf numFmtId="0" fontId="35" fillId="11" borderId="15" xfId="0" applyFont="1" applyFill="1" applyBorder="1" applyAlignment="1">
      <alignment vertical="center"/>
    </xf>
    <xf numFmtId="0" fontId="35" fillId="11" borderId="17" xfId="0" applyFont="1" applyFill="1" applyBorder="1" applyAlignment="1">
      <alignment vertical="center"/>
    </xf>
    <xf numFmtId="0" fontId="36" fillId="11" borderId="25" xfId="0" applyFont="1" applyFill="1" applyBorder="1"/>
    <xf numFmtId="1" fontId="37" fillId="9" borderId="27" xfId="0" applyNumberFormat="1" applyFont="1" applyFill="1" applyBorder="1" applyAlignment="1">
      <alignment horizontal="center" vertical="center"/>
    </xf>
    <xf numFmtId="0" fontId="33" fillId="4" borderId="23" xfId="0" applyFont="1" applyFill="1" applyBorder="1"/>
    <xf numFmtId="1" fontId="37" fillId="9" borderId="28" xfId="0" applyNumberFormat="1" applyFont="1" applyFill="1" applyBorder="1" applyAlignment="1">
      <alignment horizontal="center" vertical="center"/>
    </xf>
    <xf numFmtId="167" fontId="37" fillId="9" borderId="28" xfId="0" applyNumberFormat="1" applyFont="1" applyFill="1" applyBorder="1" applyAlignment="1">
      <alignment horizontal="center" vertical="center"/>
    </xf>
    <xf numFmtId="1" fontId="39" fillId="3" borderId="0" xfId="0" applyNumberFormat="1" applyFont="1" applyFill="1" applyAlignment="1">
      <alignment horizontal="center" vertical="center"/>
    </xf>
    <xf numFmtId="165" fontId="39" fillId="3" borderId="0" xfId="0" applyNumberFormat="1" applyFont="1" applyFill="1" applyAlignment="1">
      <alignment horizontal="center" vertical="center"/>
    </xf>
    <xf numFmtId="0" fontId="33" fillId="4" borderId="24" xfId="0" applyFont="1" applyFill="1" applyBorder="1"/>
    <xf numFmtId="0" fontId="40" fillId="11" borderId="17" xfId="0" applyFont="1" applyFill="1" applyBorder="1" applyAlignment="1">
      <alignment vertical="center" wrapText="1"/>
    </xf>
    <xf numFmtId="0" fontId="41" fillId="9" borderId="27" xfId="0" applyFont="1" applyFill="1" applyBorder="1" applyAlignment="1">
      <alignment horizontal="center" vertical="center"/>
    </xf>
    <xf numFmtId="1" fontId="41" fillId="9" borderId="28" xfId="0" applyNumberFormat="1" applyFont="1" applyFill="1" applyBorder="1" applyAlignment="1">
      <alignment horizontal="center" vertical="center"/>
    </xf>
    <xf numFmtId="168" fontId="37" fillId="9" borderId="28" xfId="0" applyNumberFormat="1" applyFont="1" applyFill="1" applyBorder="1" applyAlignment="1">
      <alignment horizontal="center" vertical="center"/>
    </xf>
    <xf numFmtId="0" fontId="37" fillId="9" borderId="28" xfId="0" applyFont="1" applyFill="1" applyBorder="1" applyAlignment="1">
      <alignment horizontal="center" vertical="center"/>
    </xf>
    <xf numFmtId="1" fontId="37" fillId="9" borderId="29" xfId="0" applyNumberFormat="1" applyFont="1" applyFill="1" applyBorder="1" applyAlignment="1">
      <alignment horizontal="center" vertical="center"/>
    </xf>
    <xf numFmtId="0" fontId="42" fillId="11" borderId="18" xfId="0" applyFont="1" applyFill="1" applyBorder="1" applyAlignment="1">
      <alignment vertical="center"/>
    </xf>
    <xf numFmtId="0" fontId="35" fillId="11" borderId="0" xfId="0" applyFont="1" applyFill="1" applyAlignment="1">
      <alignment vertical="center"/>
    </xf>
    <xf numFmtId="168" fontId="37" fillId="9" borderId="27" xfId="0" applyNumberFormat="1" applyFont="1" applyFill="1" applyBorder="1" applyAlignment="1">
      <alignment horizontal="center" vertical="center"/>
    </xf>
    <xf numFmtId="167" fontId="37" fillId="9" borderId="27" xfId="0" applyNumberFormat="1" applyFont="1" applyFill="1" applyBorder="1" applyAlignment="1">
      <alignment horizontal="center" vertical="center"/>
    </xf>
    <xf numFmtId="0" fontId="33" fillId="4" borderId="22" xfId="0" applyFont="1" applyFill="1" applyBorder="1"/>
    <xf numFmtId="0" fontId="43" fillId="0" borderId="23" xfId="0" applyFont="1" applyBorder="1"/>
    <xf numFmtId="0" fontId="44" fillId="9" borderId="28" xfId="0" applyFont="1" applyFill="1" applyBorder="1" applyAlignment="1">
      <alignment horizontal="center"/>
    </xf>
    <xf numFmtId="168" fontId="44" fillId="9" borderId="29" xfId="0" applyNumberFormat="1" applyFont="1" applyFill="1" applyBorder="1" applyAlignment="1">
      <alignment horizontal="center"/>
    </xf>
    <xf numFmtId="0" fontId="43" fillId="0" borderId="24" xfId="0" applyFont="1" applyBorder="1"/>
    <xf numFmtId="0" fontId="45" fillId="4" borderId="0" xfId="0" applyFont="1" applyFill="1" applyAlignment="1">
      <alignment vertical="center" wrapText="1"/>
    </xf>
    <xf numFmtId="0" fontId="43" fillId="0" borderId="0" xfId="0" applyFont="1"/>
    <xf numFmtId="0" fontId="44" fillId="0" borderId="0" xfId="0" applyFont="1"/>
    <xf numFmtId="0" fontId="35" fillId="11" borderId="19" xfId="0" applyFont="1" applyFill="1" applyBorder="1" applyAlignment="1">
      <alignment vertical="center"/>
    </xf>
    <xf numFmtId="0" fontId="40" fillId="11" borderId="15" xfId="0" applyFont="1" applyFill="1" applyBorder="1" applyAlignment="1">
      <alignment vertical="center" wrapText="1"/>
    </xf>
    <xf numFmtId="0" fontId="36" fillId="11" borderId="22" xfId="0" applyFont="1" applyFill="1" applyBorder="1"/>
    <xf numFmtId="0" fontId="37" fillId="9" borderId="27" xfId="0" applyFont="1" applyFill="1" applyBorder="1" applyAlignment="1">
      <alignment horizontal="center" vertical="center"/>
    </xf>
    <xf numFmtId="0" fontId="46" fillId="4" borderId="20" xfId="0" applyFont="1" applyFill="1" applyBorder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46" fillId="0" borderId="23" xfId="0" applyFont="1" applyBorder="1"/>
    <xf numFmtId="169" fontId="47" fillId="3" borderId="0" xfId="0" applyNumberFormat="1" applyFont="1" applyFill="1" applyAlignment="1">
      <alignment horizontal="center" vertical="center"/>
    </xf>
    <xf numFmtId="1" fontId="44" fillId="9" borderId="29" xfId="0" applyNumberFormat="1" applyFont="1" applyFill="1" applyBorder="1" applyAlignment="1">
      <alignment horizontal="center"/>
    </xf>
    <xf numFmtId="0" fontId="48" fillId="11" borderId="0" xfId="0" applyFont="1" applyFill="1" applyAlignment="1">
      <alignment vertical="center" wrapText="1"/>
    </xf>
    <xf numFmtId="0" fontId="36" fillId="11" borderId="0" xfId="0" applyFont="1" applyFill="1"/>
    <xf numFmtId="0" fontId="49" fillId="0" borderId="0" xfId="0" applyFont="1"/>
    <xf numFmtId="0" fontId="50" fillId="4" borderId="20" xfId="0" applyFont="1" applyFill="1" applyBorder="1" applyAlignment="1">
      <alignment vertical="center" wrapText="1"/>
    </xf>
    <xf numFmtId="0" fontId="50" fillId="4" borderId="21" xfId="0" applyFont="1" applyFill="1" applyBorder="1" applyAlignment="1">
      <alignment vertical="center" wrapText="1"/>
    </xf>
    <xf numFmtId="0" fontId="50" fillId="4" borderId="19" xfId="0" applyFont="1" applyFill="1" applyBorder="1" applyAlignment="1">
      <alignment vertical="center" wrapText="1"/>
    </xf>
    <xf numFmtId="0" fontId="50" fillId="4" borderId="0" xfId="0" applyFont="1" applyFill="1" applyAlignment="1">
      <alignment vertical="center" wrapText="1"/>
    </xf>
    <xf numFmtId="0" fontId="51" fillId="4" borderId="0" xfId="0" applyFont="1" applyFill="1" applyAlignment="1">
      <alignment vertical="center"/>
    </xf>
    <xf numFmtId="0" fontId="52" fillId="4" borderId="0" xfId="0" applyFont="1" applyFill="1" applyAlignment="1">
      <alignment vertical="center"/>
    </xf>
    <xf numFmtId="0" fontId="52" fillId="4" borderId="0" xfId="0" applyFont="1" applyFill="1" applyAlignment="1">
      <alignment vertical="center" wrapText="1"/>
    </xf>
    <xf numFmtId="0" fontId="52" fillId="0" borderId="0" xfId="0" applyFont="1"/>
    <xf numFmtId="0" fontId="52" fillId="0" borderId="16" xfId="0" applyFont="1" applyBorder="1"/>
    <xf numFmtId="0" fontId="53" fillId="0" borderId="0" xfId="0" applyFont="1" applyAlignment="1">
      <alignment vertical="center" wrapText="1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 wrapText="1"/>
    </xf>
    <xf numFmtId="0" fontId="55" fillId="4" borderId="16" xfId="0" applyFont="1" applyFill="1" applyBorder="1" applyAlignment="1">
      <alignment vertical="center" wrapText="1"/>
    </xf>
    <xf numFmtId="0" fontId="55" fillId="4" borderId="15" xfId="0" applyFont="1" applyFill="1" applyBorder="1" applyAlignment="1">
      <alignment vertical="center" wrapText="1"/>
    </xf>
    <xf numFmtId="0" fontId="0" fillId="4" borderId="0" xfId="0" applyFill="1"/>
    <xf numFmtId="0" fontId="55" fillId="4" borderId="0" xfId="0" applyFont="1" applyFill="1" applyBorder="1" applyAlignment="1">
      <alignment vertical="center" wrapText="1"/>
    </xf>
    <xf numFmtId="0" fontId="50" fillId="4" borderId="18" xfId="0" applyFont="1" applyFill="1" applyBorder="1" applyAlignment="1">
      <alignment vertical="center" wrapText="1"/>
    </xf>
    <xf numFmtId="0" fontId="38" fillId="9" borderId="30" xfId="0" applyFont="1" applyFill="1" applyBorder="1" applyAlignment="1">
      <alignment horizontal="center" vertical="center"/>
    </xf>
    <xf numFmtId="0" fontId="55" fillId="4" borderId="17" xfId="0" applyFont="1" applyFill="1" applyBorder="1" applyAlignment="1">
      <alignment vertical="center" wrapText="1"/>
    </xf>
    <xf numFmtId="0" fontId="33" fillId="4" borderId="25" xfId="0" applyFont="1" applyFill="1" applyBorder="1"/>
    <xf numFmtId="0" fontId="20" fillId="0" borderId="0" xfId="0" applyFont="1"/>
    <xf numFmtId="0" fontId="12" fillId="4" borderId="1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right" vertical="center"/>
    </xf>
    <xf numFmtId="0" fontId="17" fillId="4" borderId="12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7" fillId="8" borderId="0" xfId="0" applyFont="1" applyFill="1"/>
  </cellXfs>
  <cellStyles count="1">
    <cellStyle name="Normal" xfId="0" builtinId="0"/>
  </cellStyles>
  <dxfs count="23"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6B9E78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6B9E78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6B9E78"/>
        </patternFill>
      </fill>
    </dxf>
    <dxf>
      <font>
        <color rgb="FF262A2E"/>
      </font>
      <fill>
        <patternFill patternType="solid">
          <fgColor indexed="64"/>
          <bgColor rgb="FFF5F6F7"/>
        </patternFill>
      </fill>
    </dxf>
    <dxf>
      <font>
        <color rgb="FF262A2E"/>
      </font>
      <fill>
        <patternFill patternType="solid">
          <fgColor indexed="64"/>
          <bgColor rgb="FFF5F6F7"/>
        </patternFill>
      </fill>
    </dxf>
    <dxf>
      <font>
        <color rgb="FFFAFAFA"/>
      </font>
      <fill>
        <patternFill patternType="solid">
          <fgColor indexed="64"/>
          <bgColor rgb="FF6B9E78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C1666B"/>
        </patternFill>
      </fill>
    </dxf>
    <dxf>
      <font>
        <color rgb="FFFAFAFA"/>
      </font>
      <fill>
        <patternFill patternType="solid">
          <fgColor indexed="64"/>
          <bgColor rgb="FF6B9E78"/>
        </patternFill>
      </fill>
    </dxf>
    <dxf>
      <font>
        <color rgb="FF7F7F7F"/>
      </font>
      <fill>
        <patternFill patternType="solid">
          <fgColor indexed="64"/>
          <bgColor rgb="FFE7E6E6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D9D9D9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  <dxf>
      <font>
        <color rgb="FF888888"/>
      </font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colors>
    <mruColors>
      <color rgb="FFA24200"/>
      <color rgb="FFD65700"/>
      <color rgb="FFA20000"/>
      <color rgb="FF752D6C"/>
      <color rgb="FF902078"/>
      <color rgb="FF8F2172"/>
      <color rgb="FF1B2A3B"/>
      <color rgb="FF0C3754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Nominal and Real Roth IRA Balance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Nominal Roth Balance</c:v>
          </c:tx>
          <c:spPr>
            <a:ln w="28575" cap="rnd">
              <a:solidFill>
                <a:srgbClr val="17A39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[0]!NominalBal_Range</c:f>
              <c:numCache>
                <c:formatCode>General</c:formatCode>
                <c:ptCount val="44"/>
                <c:pt idx="0">
                  <c:v>8250</c:v>
                </c:pt>
                <c:pt idx="1">
                  <c:v>17325</c:v>
                </c:pt>
                <c:pt idx="2">
                  <c:v>27857.5</c:v>
                </c:pt>
                <c:pt idx="3">
                  <c:v>39993.25</c:v>
                </c:pt>
                <c:pt idx="4">
                  <c:v>53892.575000000004</c:v>
                </c:pt>
                <c:pt idx="5">
                  <c:v>70281.832500000019</c:v>
                </c:pt>
                <c:pt idx="6">
                  <c:v>88860.01575000002</c:v>
                </c:pt>
                <c:pt idx="7">
                  <c:v>109846.01732500004</c:v>
                </c:pt>
                <c:pt idx="8">
                  <c:v>133480.61905750007</c:v>
                </c:pt>
                <c:pt idx="9">
                  <c:v>160578.68096325008</c:v>
                </c:pt>
                <c:pt idx="10">
                  <c:v>190936.5490595751</c:v>
                </c:pt>
                <c:pt idx="11">
                  <c:v>225430.20396553262</c:v>
                </c:pt>
                <c:pt idx="12">
                  <c:v>264473.22436208592</c:v>
                </c:pt>
                <c:pt idx="13">
                  <c:v>307970.54679829453</c:v>
                </c:pt>
                <c:pt idx="14">
                  <c:v>356917.60147812398</c:v>
                </c:pt>
                <c:pt idx="15">
                  <c:v>411859.36162593641</c:v>
                </c:pt>
                <c:pt idx="16">
                  <c:v>473945.29778853006</c:v>
                </c:pt>
                <c:pt idx="17">
                  <c:v>543339.82756738318</c:v>
                </c:pt>
                <c:pt idx="18">
                  <c:v>620773.8103241215</c:v>
                </c:pt>
                <c:pt idx="19">
                  <c:v>707601.19135653367</c:v>
                </c:pt>
                <c:pt idx="20">
                  <c:v>804761.31049218716</c:v>
                </c:pt>
                <c:pt idx="21">
                  <c:v>912737.44154140598</c:v>
                </c:pt>
                <c:pt idx="22">
                  <c:v>1033711.1856955467</c:v>
                </c:pt>
                <c:pt idx="23">
                  <c:v>1168432.3042651014</c:v>
                </c:pt>
                <c:pt idx="24">
                  <c:v>1318275.5346916118</c:v>
                </c:pt>
                <c:pt idx="25">
                  <c:v>1485303.088160773</c:v>
                </c:pt>
                <c:pt idx="26">
                  <c:v>1671233.3969768505</c:v>
                </c:pt>
                <c:pt idx="27">
                  <c:v>1877956.7366745356</c:v>
                </c:pt>
                <c:pt idx="28">
                  <c:v>2113712.4103419892</c:v>
                </c:pt>
                <c:pt idx="29">
                  <c:v>2376123.6513761883</c:v>
                </c:pt>
                <c:pt idx="30">
                  <c:v>2667966.0165138072</c:v>
                </c:pt>
                <c:pt idx="31">
                  <c:v>2992072.618165188</c:v>
                </c:pt>
                <c:pt idx="32">
                  <c:v>3351779.8799817069</c:v>
                </c:pt>
                <c:pt idx="33">
                  <c:v>3751307.8679798776</c:v>
                </c:pt>
                <c:pt idx="34">
                  <c:v>4194528.6547778659</c:v>
                </c:pt>
                <c:pt idx="35">
                  <c:v>4686471.5202556532</c:v>
                </c:pt>
                <c:pt idx="36">
                  <c:v>5232008.6722812187</c:v>
                </c:pt>
                <c:pt idx="37">
                  <c:v>5836499.5395093411</c:v>
                </c:pt>
                <c:pt idx="38">
                  <c:v>6506499.4934602762</c:v>
                </c:pt>
                <c:pt idx="39">
                  <c:v>7248559.4428063044</c:v>
                </c:pt>
                <c:pt idx="40">
                  <c:v>8070545.3870869353</c:v>
                </c:pt>
                <c:pt idx="41">
                  <c:v>8980339.9257956296</c:v>
                </c:pt>
                <c:pt idx="42">
                  <c:v>9987493.9183751941</c:v>
                </c:pt>
                <c:pt idx="43">
                  <c:v>11101633.310212715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0B-4231-8E5A-D4E98B4EAC3D}"/>
            </c:ext>
          </c:extLst>
        </c:ser>
        <c:ser>
          <c:idx val="0"/>
          <c:order val="1"/>
          <c:tx>
            <c:v>Real Roth Balance</c:v>
          </c:tx>
          <c:spPr>
            <a:ln w="28575" cap="rnd">
              <a:solidFill>
                <a:srgbClr val="4A4F5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[0]!RealBal_Range</c:f>
              <c:numCache>
                <c:formatCode>General</c:formatCode>
                <c:ptCount val="44"/>
                <c:pt idx="0">
                  <c:v>8250</c:v>
                </c:pt>
                <c:pt idx="1">
                  <c:v>16344.339622641508</c:v>
                </c:pt>
                <c:pt idx="2">
                  <c:v>24793.075827696684</c:v>
                </c:pt>
                <c:pt idx="3">
                  <c:v>33579.103891131599</c:v>
                </c:pt>
                <c:pt idx="4">
                  <c:v>42687.967153079764</c:v>
                </c:pt>
                <c:pt idx="5">
                  <c:v>52518.67373962827</c:v>
                </c:pt>
                <c:pt idx="6">
                  <c:v>62642.804726598159</c:v>
                </c:pt>
                <c:pt idx="7">
                  <c:v>73053.875225073643</c:v>
                </c:pt>
                <c:pt idx="8">
                  <c:v>83747.39173104112</c:v>
                </c:pt>
                <c:pt idx="9">
                  <c:v>95046.274537825797</c:v>
                </c:pt>
                <c:pt idx="10">
                  <c:v>106617.97171706391</c:v>
                </c:pt>
                <c:pt idx="11">
                  <c:v>118753.81929553121</c:v>
                </c:pt>
                <c:pt idx="12">
                  <c:v>131435.0899943831</c:v>
                </c:pt>
                <c:pt idx="13">
                  <c:v>144388.61004038609</c:v>
                </c:pt>
                <c:pt idx="14">
                  <c:v>157864.99933785401</c:v>
                </c:pt>
                <c:pt idx="15">
                  <c:v>171854.52154334722</c:v>
                </c:pt>
                <c:pt idx="16">
                  <c:v>186566.80515759886</c:v>
                </c:pt>
                <c:pt idx="17">
                  <c:v>201777.0791651319</c:v>
                </c:pt>
                <c:pt idx="18">
                  <c:v>217484.25014267434</c:v>
                </c:pt>
                <c:pt idx="19">
                  <c:v>233871.39998810334</c:v>
                </c:pt>
                <c:pt idx="20">
                  <c:v>250928.3806265037</c:v>
                </c:pt>
                <c:pt idx="21">
                  <c:v>268486.64969671826</c:v>
                </c:pt>
                <c:pt idx="22">
                  <c:v>286860.12276156124</c:v>
                </c:pt>
                <c:pt idx="23">
                  <c:v>305892.37719414174</c:v>
                </c:pt>
                <c:pt idx="24">
                  <c:v>325585.77786253195</c:v>
                </c:pt>
                <c:pt idx="25">
                  <c:v>346073.58542466653</c:v>
                </c:pt>
                <c:pt idx="26">
                  <c:v>367353.86108299892</c:v>
                </c:pt>
                <c:pt idx="27">
                  <c:v>389428.04182158323</c:v>
                </c:pt>
                <c:pt idx="28">
                  <c:v>413505.8612888247</c:v>
                </c:pt>
                <c:pt idx="29">
                  <c:v>438529.63200102019</c:v>
                </c:pt>
                <c:pt idx="30">
                  <c:v>464519.91240034241</c:v>
                </c:pt>
                <c:pt idx="31">
                  <c:v>491462.41060647642</c:v>
                </c:pt>
                <c:pt idx="32">
                  <c:v>519383.08444931026</c:v>
                </c:pt>
                <c:pt idx="33">
                  <c:v>548389.52959495829</c:v>
                </c:pt>
                <c:pt idx="34">
                  <c:v>578473.87028099177</c:v>
                </c:pt>
                <c:pt idx="35">
                  <c:v>609734.40020779858</c:v>
                </c:pt>
                <c:pt idx="36">
                  <c:v>642180.78345641505</c:v>
                </c:pt>
                <c:pt idx="37">
                  <c:v>675826.84826088406</c:v>
                </c:pt>
                <c:pt idx="38">
                  <c:v>710762.52290219313</c:v>
                </c:pt>
                <c:pt idx="39">
                  <c:v>747004.05517066165</c:v>
                </c:pt>
                <c:pt idx="40">
                  <c:v>784636.07853337994</c:v>
                </c:pt>
                <c:pt idx="41">
                  <c:v>823668.20184140571</c:v>
                </c:pt>
                <c:pt idx="42">
                  <c:v>864191.89077058656</c:v>
                </c:pt>
                <c:pt idx="43">
                  <c:v>906222.14777677099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0B-4231-8E5A-D4E98B4E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642303"/>
        <c:axId val="1621652863"/>
      </c:lineChart>
      <c:catAx>
        <c:axId val="162164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52863"/>
        <c:crosses val="autoZero"/>
        <c:auto val="1"/>
        <c:lblAlgn val="ctr"/>
        <c:lblOffset val="100"/>
        <c:noMultiLvlLbl val="0"/>
      </c:catAx>
      <c:valAx>
        <c:axId val="16216528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Roth IRA 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Annual Disposable Take-Home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Disposable Take-Home Pay</c:v>
          </c:tx>
          <c:spPr>
            <a:solidFill>
              <a:srgbClr val="17A398"/>
            </a:solidFill>
            <a:ln>
              <a:solidFill>
                <a:srgbClr val="17A398"/>
              </a:solidFill>
              <a:prstDash val="solid"/>
            </a:ln>
            <a:effectLst/>
          </c:spPr>
          <c:invertIfNegative val="0"/>
          <c:cat>
            <c:numRef>
              <c:f>[0]!ProjYear_Range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[0]!DisposablePay_Range</c:f>
              <c:numCache>
                <c:formatCode>General</c:formatCode>
                <c:ptCount val="44"/>
                <c:pt idx="0">
                  <c:v>50575</c:v>
                </c:pt>
                <c:pt idx="1">
                  <c:v>54105.224999999999</c:v>
                </c:pt>
                <c:pt idx="2">
                  <c:v>57254.25675</c:v>
                </c:pt>
                <c:pt idx="3">
                  <c:v>60540.849452499999</c:v>
                </c:pt>
                <c:pt idx="4">
                  <c:v>74493.339936075005</c:v>
                </c:pt>
                <c:pt idx="5">
                  <c:v>81074.824211507264</c:v>
                </c:pt>
                <c:pt idx="6">
                  <c:v>83448.058937852489</c:v>
                </c:pt>
                <c:pt idx="7">
                  <c:v>85906.160705988063</c:v>
                </c:pt>
                <c:pt idx="8">
                  <c:v>88468.435527167705</c:v>
                </c:pt>
                <c:pt idx="9">
                  <c:v>90627.258592982733</c:v>
                </c:pt>
                <c:pt idx="10">
                  <c:v>93390.076350772215</c:v>
                </c:pt>
                <c:pt idx="11">
                  <c:v>95760.408641295377</c:v>
                </c:pt>
                <c:pt idx="12">
                  <c:v>98238.850900534249</c:v>
                </c:pt>
                <c:pt idx="13">
                  <c:v>101331.07642755027</c:v>
                </c:pt>
                <c:pt idx="14">
                  <c:v>104043.83872037679</c:v>
                </c:pt>
                <c:pt idx="15">
                  <c:v>106880.97388198809</c:v>
                </c:pt>
                <c:pt idx="16">
                  <c:v>109345.40309844773</c:v>
                </c:pt>
                <c:pt idx="17">
                  <c:v>112440.13519140118</c:v>
                </c:pt>
                <c:pt idx="18">
                  <c:v>115669.26924714321</c:v>
                </c:pt>
                <c:pt idx="19">
                  <c:v>118540.99732455751</c:v>
                </c:pt>
                <c:pt idx="20">
                  <c:v>121553.60724429422</c:v>
                </c:pt>
                <c:pt idx="21">
                  <c:v>125190.92256085449</c:v>
                </c:pt>
                <c:pt idx="22">
                  <c:v>127929.90023768015</c:v>
                </c:pt>
                <c:pt idx="23">
                  <c:v>131325.29724481056</c:v>
                </c:pt>
                <c:pt idx="24">
                  <c:v>134880.90616215486</c:v>
                </c:pt>
                <c:pt idx="25">
                  <c:v>138100.63334701952</c:v>
                </c:pt>
                <c:pt idx="26">
                  <c:v>141493.5023474301</c:v>
                </c:pt>
                <c:pt idx="27">
                  <c:v>145063.65741785301</c:v>
                </c:pt>
                <c:pt idx="28">
                  <c:v>143215.36714038861</c:v>
                </c:pt>
                <c:pt idx="29">
                  <c:v>146358.0281546003</c:v>
                </c:pt>
                <c:pt idx="30">
                  <c:v>149596.16899923829</c:v>
                </c:pt>
                <c:pt idx="31">
                  <c:v>153139.45406921546</c:v>
                </c:pt>
                <c:pt idx="32">
                  <c:v>156792.68769129191</c:v>
                </c:pt>
                <c:pt idx="33">
                  <c:v>160065.81832203065</c:v>
                </c:pt>
                <c:pt idx="34">
                  <c:v>163659.52819549825</c:v>
                </c:pt>
                <c:pt idx="35">
                  <c:v>166825.26404136317</c:v>
                </c:pt>
                <c:pt idx="36">
                  <c:v>170224.62196260408</c:v>
                </c:pt>
                <c:pt idx="37">
                  <c:v>173878.11062148225</c:v>
                </c:pt>
                <c:pt idx="38">
                  <c:v>177186.40394012674</c:v>
                </c:pt>
                <c:pt idx="39">
                  <c:v>180765.34605833056</c:v>
                </c:pt>
                <c:pt idx="40">
                  <c:v>184015.95644008048</c:v>
                </c:pt>
                <c:pt idx="41">
                  <c:v>187654.43513328291</c:v>
                </c:pt>
                <c:pt idx="42">
                  <c:v>190892.16818728141</c:v>
                </c:pt>
                <c:pt idx="43">
                  <c:v>194530.73323289986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E-41CB-BC88-89BF45141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1644703"/>
        <c:axId val="1621657183"/>
      </c:barChart>
      <c:catAx>
        <c:axId val="162164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57183"/>
        <c:crosses val="autoZero"/>
        <c:auto val="1"/>
        <c:lblAlgn val="ctr"/>
        <c:lblOffset val="100"/>
        <c:noMultiLvlLbl val="0"/>
      </c:catAx>
      <c:valAx>
        <c:axId val="162165718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Disposable Take-Home Pay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4470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Nominal vs. Real Roth IRA Balance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Nominal Roth Balance</c:v>
          </c:tx>
          <c:spPr>
            <a:ln w="28575" cap="rnd">
              <a:solidFill>
                <a:srgbClr val="17A39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[0]!NominalBal_Range</c:f>
              <c:numCache>
                <c:formatCode>General</c:formatCode>
                <c:ptCount val="44"/>
                <c:pt idx="0">
                  <c:v>8250</c:v>
                </c:pt>
                <c:pt idx="1">
                  <c:v>17325</c:v>
                </c:pt>
                <c:pt idx="2">
                  <c:v>27857.5</c:v>
                </c:pt>
                <c:pt idx="3">
                  <c:v>39993.25</c:v>
                </c:pt>
                <c:pt idx="4">
                  <c:v>53892.575000000004</c:v>
                </c:pt>
                <c:pt idx="5">
                  <c:v>70281.832500000019</c:v>
                </c:pt>
                <c:pt idx="6">
                  <c:v>88860.01575000002</c:v>
                </c:pt>
                <c:pt idx="7">
                  <c:v>109846.01732500004</c:v>
                </c:pt>
                <c:pt idx="8">
                  <c:v>133480.61905750007</c:v>
                </c:pt>
                <c:pt idx="9">
                  <c:v>160578.68096325008</c:v>
                </c:pt>
                <c:pt idx="10">
                  <c:v>190936.5490595751</c:v>
                </c:pt>
                <c:pt idx="11">
                  <c:v>225430.20396553262</c:v>
                </c:pt>
                <c:pt idx="12">
                  <c:v>264473.22436208592</c:v>
                </c:pt>
                <c:pt idx="13">
                  <c:v>307970.54679829453</c:v>
                </c:pt>
                <c:pt idx="14">
                  <c:v>356917.60147812398</c:v>
                </c:pt>
                <c:pt idx="15">
                  <c:v>411859.36162593641</c:v>
                </c:pt>
                <c:pt idx="16">
                  <c:v>473945.29778853006</c:v>
                </c:pt>
                <c:pt idx="17">
                  <c:v>543339.82756738318</c:v>
                </c:pt>
                <c:pt idx="18">
                  <c:v>620773.8103241215</c:v>
                </c:pt>
                <c:pt idx="19">
                  <c:v>707601.19135653367</c:v>
                </c:pt>
                <c:pt idx="20">
                  <c:v>804761.31049218716</c:v>
                </c:pt>
                <c:pt idx="21">
                  <c:v>912737.44154140598</c:v>
                </c:pt>
                <c:pt idx="22">
                  <c:v>1033711.1856955467</c:v>
                </c:pt>
                <c:pt idx="23">
                  <c:v>1168432.3042651014</c:v>
                </c:pt>
                <c:pt idx="24">
                  <c:v>1318275.5346916118</c:v>
                </c:pt>
                <c:pt idx="25">
                  <c:v>1485303.088160773</c:v>
                </c:pt>
                <c:pt idx="26">
                  <c:v>1671233.3969768505</c:v>
                </c:pt>
                <c:pt idx="27">
                  <c:v>1877956.7366745356</c:v>
                </c:pt>
                <c:pt idx="28">
                  <c:v>2113712.4103419892</c:v>
                </c:pt>
                <c:pt idx="29">
                  <c:v>2376123.6513761883</c:v>
                </c:pt>
                <c:pt idx="30">
                  <c:v>2667966.0165138072</c:v>
                </c:pt>
                <c:pt idx="31">
                  <c:v>2992072.618165188</c:v>
                </c:pt>
                <c:pt idx="32">
                  <c:v>3351779.8799817069</c:v>
                </c:pt>
                <c:pt idx="33">
                  <c:v>3751307.8679798776</c:v>
                </c:pt>
                <c:pt idx="34">
                  <c:v>4194528.6547778659</c:v>
                </c:pt>
                <c:pt idx="35">
                  <c:v>4686471.5202556532</c:v>
                </c:pt>
                <c:pt idx="36">
                  <c:v>5232008.6722812187</c:v>
                </c:pt>
                <c:pt idx="37">
                  <c:v>5836499.5395093411</c:v>
                </c:pt>
                <c:pt idx="38">
                  <c:v>6506499.4934602762</c:v>
                </c:pt>
                <c:pt idx="39">
                  <c:v>7248559.4428063044</c:v>
                </c:pt>
                <c:pt idx="40">
                  <c:v>8070545.3870869353</c:v>
                </c:pt>
                <c:pt idx="41">
                  <c:v>8980339.9257956296</c:v>
                </c:pt>
                <c:pt idx="42">
                  <c:v>9987493.9183751941</c:v>
                </c:pt>
                <c:pt idx="43">
                  <c:v>11101633.310212715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F-470A-91E4-7557A33A37CB}"/>
            </c:ext>
          </c:extLst>
        </c:ser>
        <c:ser>
          <c:idx val="1"/>
          <c:order val="1"/>
          <c:tx>
            <c:v>Real Roth Balance</c:v>
          </c:tx>
          <c:spPr>
            <a:ln w="28575" cap="rnd">
              <a:solidFill>
                <a:srgbClr val="4A4F5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[0]!RealBal_Range</c:f>
              <c:numCache>
                <c:formatCode>General</c:formatCode>
                <c:ptCount val="44"/>
                <c:pt idx="0">
                  <c:v>8250</c:v>
                </c:pt>
                <c:pt idx="1">
                  <c:v>16344.339622641508</c:v>
                </c:pt>
                <c:pt idx="2">
                  <c:v>24793.075827696684</c:v>
                </c:pt>
                <c:pt idx="3">
                  <c:v>33579.103891131599</c:v>
                </c:pt>
                <c:pt idx="4">
                  <c:v>42687.967153079764</c:v>
                </c:pt>
                <c:pt idx="5">
                  <c:v>52518.67373962827</c:v>
                </c:pt>
                <c:pt idx="6">
                  <c:v>62642.804726598159</c:v>
                </c:pt>
                <c:pt idx="7">
                  <c:v>73053.875225073643</c:v>
                </c:pt>
                <c:pt idx="8">
                  <c:v>83747.39173104112</c:v>
                </c:pt>
                <c:pt idx="9">
                  <c:v>95046.274537825797</c:v>
                </c:pt>
                <c:pt idx="10">
                  <c:v>106617.97171706391</c:v>
                </c:pt>
                <c:pt idx="11">
                  <c:v>118753.81929553121</c:v>
                </c:pt>
                <c:pt idx="12">
                  <c:v>131435.0899943831</c:v>
                </c:pt>
                <c:pt idx="13">
                  <c:v>144388.61004038609</c:v>
                </c:pt>
                <c:pt idx="14">
                  <c:v>157864.99933785401</c:v>
                </c:pt>
                <c:pt idx="15">
                  <c:v>171854.52154334722</c:v>
                </c:pt>
                <c:pt idx="16">
                  <c:v>186566.80515759886</c:v>
                </c:pt>
                <c:pt idx="17">
                  <c:v>201777.0791651319</c:v>
                </c:pt>
                <c:pt idx="18">
                  <c:v>217484.25014267434</c:v>
                </c:pt>
                <c:pt idx="19">
                  <c:v>233871.39998810334</c:v>
                </c:pt>
                <c:pt idx="20">
                  <c:v>250928.3806265037</c:v>
                </c:pt>
                <c:pt idx="21">
                  <c:v>268486.64969671826</c:v>
                </c:pt>
                <c:pt idx="22">
                  <c:v>286860.12276156124</c:v>
                </c:pt>
                <c:pt idx="23">
                  <c:v>305892.37719414174</c:v>
                </c:pt>
                <c:pt idx="24">
                  <c:v>325585.77786253195</c:v>
                </c:pt>
                <c:pt idx="25">
                  <c:v>346073.58542466653</c:v>
                </c:pt>
                <c:pt idx="26">
                  <c:v>367353.86108299892</c:v>
                </c:pt>
                <c:pt idx="27">
                  <c:v>389428.04182158323</c:v>
                </c:pt>
                <c:pt idx="28">
                  <c:v>413505.8612888247</c:v>
                </c:pt>
                <c:pt idx="29">
                  <c:v>438529.63200102019</c:v>
                </c:pt>
                <c:pt idx="30">
                  <c:v>464519.91240034241</c:v>
                </c:pt>
                <c:pt idx="31">
                  <c:v>491462.41060647642</c:v>
                </c:pt>
                <c:pt idx="32">
                  <c:v>519383.08444931026</c:v>
                </c:pt>
                <c:pt idx="33">
                  <c:v>548389.52959495829</c:v>
                </c:pt>
                <c:pt idx="34">
                  <c:v>578473.87028099177</c:v>
                </c:pt>
                <c:pt idx="35">
                  <c:v>609734.40020779858</c:v>
                </c:pt>
                <c:pt idx="36">
                  <c:v>642180.78345641505</c:v>
                </c:pt>
                <c:pt idx="37">
                  <c:v>675826.84826088406</c:v>
                </c:pt>
                <c:pt idx="38">
                  <c:v>710762.52290219313</c:v>
                </c:pt>
                <c:pt idx="39">
                  <c:v>747004.05517066165</c:v>
                </c:pt>
                <c:pt idx="40">
                  <c:v>784636.07853337994</c:v>
                </c:pt>
                <c:pt idx="41">
                  <c:v>823668.20184140571</c:v>
                </c:pt>
                <c:pt idx="42">
                  <c:v>864191.89077058656</c:v>
                </c:pt>
                <c:pt idx="43">
                  <c:v>906222.14777677099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F-470A-91E4-7557A33A37CB}"/>
            </c:ext>
          </c:extLst>
        </c:ser>
        <c:ser>
          <c:idx val="2"/>
          <c:order val="2"/>
          <c:tx>
            <c:v>$500,000 Threshold</c:v>
          </c:tx>
          <c:spPr>
            <a:ln w="12700" cap="rnd">
              <a:solidFill>
                <a:srgbClr val="C9A227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[0]!Threshold500k_Range</c:f>
              <c:numCache>
                <c:formatCode>General</c:formatCode>
                <c:ptCount val="44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  <c:pt idx="15">
                  <c:v>500000</c:v>
                </c:pt>
                <c:pt idx="16">
                  <c:v>500000</c:v>
                </c:pt>
                <c:pt idx="17">
                  <c:v>500000</c:v>
                </c:pt>
                <c:pt idx="18">
                  <c:v>500000</c:v>
                </c:pt>
                <c:pt idx="19">
                  <c:v>500000</c:v>
                </c:pt>
                <c:pt idx="20">
                  <c:v>500000</c:v>
                </c:pt>
                <c:pt idx="21">
                  <c:v>500000</c:v>
                </c:pt>
                <c:pt idx="22">
                  <c:v>500000</c:v>
                </c:pt>
                <c:pt idx="23">
                  <c:v>500000</c:v>
                </c:pt>
                <c:pt idx="24">
                  <c:v>500000</c:v>
                </c:pt>
                <c:pt idx="25">
                  <c:v>500000</c:v>
                </c:pt>
                <c:pt idx="26">
                  <c:v>500000</c:v>
                </c:pt>
                <c:pt idx="27">
                  <c:v>500000</c:v>
                </c:pt>
                <c:pt idx="28">
                  <c:v>500000</c:v>
                </c:pt>
                <c:pt idx="29">
                  <c:v>500000</c:v>
                </c:pt>
                <c:pt idx="30">
                  <c:v>500000</c:v>
                </c:pt>
                <c:pt idx="31">
                  <c:v>500000</c:v>
                </c:pt>
                <c:pt idx="32">
                  <c:v>500000</c:v>
                </c:pt>
                <c:pt idx="33">
                  <c:v>500000</c:v>
                </c:pt>
                <c:pt idx="34">
                  <c:v>500000</c:v>
                </c:pt>
                <c:pt idx="35">
                  <c:v>500000</c:v>
                </c:pt>
                <c:pt idx="36">
                  <c:v>500000</c:v>
                </c:pt>
                <c:pt idx="37">
                  <c:v>500000</c:v>
                </c:pt>
                <c:pt idx="38">
                  <c:v>500000</c:v>
                </c:pt>
                <c:pt idx="39">
                  <c:v>500000</c:v>
                </c:pt>
                <c:pt idx="40">
                  <c:v>500000</c:v>
                </c:pt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1-438C-BF04-530378399D9C}"/>
            </c:ext>
          </c:extLst>
        </c:ser>
        <c:ser>
          <c:idx val="3"/>
          <c:order val="3"/>
          <c:tx>
            <c:v>$1,000,000 Threshold</c:v>
          </c:tx>
          <c:spPr>
            <a:ln w="12700" cap="rnd">
              <a:solidFill>
                <a:srgbClr val="C9A227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[0]!Threshold1M_Range</c:f>
              <c:numCache>
                <c:formatCode>General</c:formatCode>
                <c:ptCount val="4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1-438C-BF04-530378399D9C}"/>
            </c:ext>
          </c:extLst>
        </c:ser>
        <c:ser>
          <c:idx val="4"/>
          <c:order val="4"/>
          <c:tx>
            <c:v>$2,000,000 Threshold</c:v>
          </c:tx>
          <c:spPr>
            <a:ln w="12700" cap="rnd">
              <a:solidFill>
                <a:srgbClr val="C9A227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[0]!Threshold2M_Range</c:f>
              <c:numCache>
                <c:formatCode>General</c:formatCode>
                <c:ptCount val="44"/>
                <c:pt idx="0">
                  <c:v>2000000</c:v>
                </c:pt>
                <c:pt idx="1">
                  <c:v>2000000</c:v>
                </c:pt>
                <c:pt idx="2">
                  <c:v>2000000</c:v>
                </c:pt>
                <c:pt idx="3">
                  <c:v>2000000</c:v>
                </c:pt>
                <c:pt idx="4">
                  <c:v>2000000</c:v>
                </c:pt>
                <c:pt idx="5">
                  <c:v>2000000</c:v>
                </c:pt>
                <c:pt idx="6">
                  <c:v>2000000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2000000</c:v>
                </c:pt>
                <c:pt idx="13">
                  <c:v>2000000</c:v>
                </c:pt>
                <c:pt idx="14">
                  <c:v>2000000</c:v>
                </c:pt>
                <c:pt idx="15">
                  <c:v>2000000</c:v>
                </c:pt>
                <c:pt idx="16">
                  <c:v>2000000</c:v>
                </c:pt>
                <c:pt idx="17">
                  <c:v>2000000</c:v>
                </c:pt>
                <c:pt idx="18">
                  <c:v>2000000</c:v>
                </c:pt>
                <c:pt idx="19">
                  <c:v>2000000</c:v>
                </c:pt>
                <c:pt idx="20">
                  <c:v>2000000</c:v>
                </c:pt>
                <c:pt idx="21">
                  <c:v>2000000</c:v>
                </c:pt>
                <c:pt idx="22">
                  <c:v>2000000</c:v>
                </c:pt>
                <c:pt idx="23">
                  <c:v>2000000</c:v>
                </c:pt>
                <c:pt idx="24">
                  <c:v>2000000</c:v>
                </c:pt>
                <c:pt idx="25">
                  <c:v>2000000</c:v>
                </c:pt>
                <c:pt idx="26">
                  <c:v>2000000</c:v>
                </c:pt>
                <c:pt idx="27">
                  <c:v>2000000</c:v>
                </c:pt>
                <c:pt idx="28">
                  <c:v>2000000</c:v>
                </c:pt>
                <c:pt idx="29">
                  <c:v>2000000</c:v>
                </c:pt>
                <c:pt idx="30">
                  <c:v>2000000</c:v>
                </c:pt>
                <c:pt idx="31">
                  <c:v>2000000</c:v>
                </c:pt>
                <c:pt idx="32">
                  <c:v>2000000</c:v>
                </c:pt>
                <c:pt idx="33">
                  <c:v>2000000</c:v>
                </c:pt>
                <c:pt idx="34">
                  <c:v>2000000</c:v>
                </c:pt>
                <c:pt idx="35">
                  <c:v>2000000</c:v>
                </c:pt>
                <c:pt idx="36">
                  <c:v>2000000</c:v>
                </c:pt>
                <c:pt idx="37">
                  <c:v>2000000</c:v>
                </c:pt>
                <c:pt idx="38">
                  <c:v>2000000</c:v>
                </c:pt>
                <c:pt idx="39">
                  <c:v>2000000</c:v>
                </c:pt>
                <c:pt idx="40">
                  <c:v>2000000</c:v>
                </c:pt>
                <c:pt idx="41">
                  <c:v>2000000</c:v>
                </c:pt>
                <c:pt idx="42">
                  <c:v>2000000</c:v>
                </c:pt>
                <c:pt idx="43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1-438C-BF04-530378399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649503"/>
        <c:axId val="1621642783"/>
      </c:lineChart>
      <c:catAx>
        <c:axId val="162164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42783"/>
        <c:crosses val="autoZero"/>
        <c:auto val="1"/>
        <c:lblAlgn val="ctr"/>
        <c:lblOffset val="100"/>
        <c:noMultiLvlLbl val="0"/>
      </c:catAx>
      <c:valAx>
        <c:axId val="162164278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Roth IRA 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Annual Contribution and Investment Growth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Roth Contribution</c:v>
          </c:tx>
          <c:spPr>
            <a:ln w="28575" cap="rnd">
              <a:solidFill>
                <a:srgbClr val="17A39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[0]!AgeContrib_Range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[0]!Contribution_Range</c:f>
              <c:numCache>
                <c:formatCode>General</c:formatCode>
                <c:ptCount val="44"/>
                <c:pt idx="0">
                  <c:v>7500</c:v>
                </c:pt>
                <c:pt idx="1">
                  <c:v>7500</c:v>
                </c:pt>
                <c:pt idx="2">
                  <c:v>8000</c:v>
                </c:pt>
                <c:pt idx="3">
                  <c:v>8500</c:v>
                </c:pt>
                <c:pt idx="4">
                  <c:v>9000</c:v>
                </c:pt>
                <c:pt idx="5">
                  <c:v>10000</c:v>
                </c:pt>
                <c:pt idx="6">
                  <c:v>10500</c:v>
                </c:pt>
                <c:pt idx="7">
                  <c:v>11000</c:v>
                </c:pt>
                <c:pt idx="8">
                  <c:v>11500</c:v>
                </c:pt>
                <c:pt idx="9">
                  <c:v>12500</c:v>
                </c:pt>
                <c:pt idx="10">
                  <c:v>13000</c:v>
                </c:pt>
                <c:pt idx="11">
                  <c:v>14000</c:v>
                </c:pt>
                <c:pt idx="12">
                  <c:v>15000</c:v>
                </c:pt>
                <c:pt idx="13">
                  <c:v>15500</c:v>
                </c:pt>
                <c:pt idx="14">
                  <c:v>16500</c:v>
                </c:pt>
                <c:pt idx="15">
                  <c:v>17500</c:v>
                </c:pt>
                <c:pt idx="16">
                  <c:v>19000</c:v>
                </c:pt>
                <c:pt idx="17">
                  <c:v>20000</c:v>
                </c:pt>
                <c:pt idx="18">
                  <c:v>21000</c:v>
                </c:pt>
                <c:pt idx="19">
                  <c:v>22500</c:v>
                </c:pt>
                <c:pt idx="20">
                  <c:v>24000</c:v>
                </c:pt>
                <c:pt idx="21">
                  <c:v>25000</c:v>
                </c:pt>
                <c:pt idx="22">
                  <c:v>27000</c:v>
                </c:pt>
                <c:pt idx="23">
                  <c:v>28500</c:v>
                </c:pt>
                <c:pt idx="24">
                  <c:v>30000</c:v>
                </c:pt>
                <c:pt idx="25">
                  <c:v>32000</c:v>
                </c:pt>
                <c:pt idx="26">
                  <c:v>34000</c:v>
                </c:pt>
                <c:pt idx="27">
                  <c:v>36000</c:v>
                </c:pt>
                <c:pt idx="28">
                  <c:v>43600</c:v>
                </c:pt>
                <c:pt idx="29">
                  <c:v>46400</c:v>
                </c:pt>
                <c:pt idx="30">
                  <c:v>49300</c:v>
                </c:pt>
                <c:pt idx="31">
                  <c:v>52100</c:v>
                </c:pt>
                <c:pt idx="32">
                  <c:v>55000</c:v>
                </c:pt>
                <c:pt idx="33">
                  <c:v>58500</c:v>
                </c:pt>
                <c:pt idx="34">
                  <c:v>61900</c:v>
                </c:pt>
                <c:pt idx="35">
                  <c:v>65900</c:v>
                </c:pt>
                <c:pt idx="36">
                  <c:v>69900</c:v>
                </c:pt>
                <c:pt idx="37">
                  <c:v>73900</c:v>
                </c:pt>
                <c:pt idx="38">
                  <c:v>78500</c:v>
                </c:pt>
                <c:pt idx="39">
                  <c:v>83100</c:v>
                </c:pt>
                <c:pt idx="40">
                  <c:v>88300</c:v>
                </c:pt>
                <c:pt idx="41">
                  <c:v>93400</c:v>
                </c:pt>
                <c:pt idx="42">
                  <c:v>99200</c:v>
                </c:pt>
                <c:pt idx="43">
                  <c:v>104900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2-4D65-A1D6-D0064490B8D0}"/>
            </c:ext>
          </c:extLst>
        </c:ser>
        <c:ser>
          <c:idx val="1"/>
          <c:order val="1"/>
          <c:tx>
            <c:v>Annual Investment Growth</c:v>
          </c:tx>
          <c:spPr>
            <a:ln w="28575" cap="rnd">
              <a:solidFill>
                <a:srgbClr val="6FC3B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[0]!AgeContrib_Range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[0]!Growth_Range</c:f>
              <c:numCache>
                <c:formatCode>General</c:formatCode>
                <c:ptCount val="44"/>
                <c:pt idx="0">
                  <c:v>750</c:v>
                </c:pt>
                <c:pt idx="1">
                  <c:v>1575</c:v>
                </c:pt>
                <c:pt idx="2">
                  <c:v>2532.5</c:v>
                </c:pt>
                <c:pt idx="3">
                  <c:v>3635.75</c:v>
                </c:pt>
                <c:pt idx="4">
                  <c:v>4899.3249999999998</c:v>
                </c:pt>
                <c:pt idx="5">
                  <c:v>6389.2575000000006</c:v>
                </c:pt>
                <c:pt idx="6">
                  <c:v>8078.183250000001</c:v>
                </c:pt>
                <c:pt idx="7">
                  <c:v>9986.001575000002</c:v>
                </c:pt>
                <c:pt idx="8">
                  <c:v>12134.601732500003</c:v>
                </c:pt>
                <c:pt idx="9">
                  <c:v>14598.061905750004</c:v>
                </c:pt>
                <c:pt idx="10">
                  <c:v>17357.868096325004</c:v>
                </c:pt>
                <c:pt idx="11">
                  <c:v>20493.654905957508</c:v>
                </c:pt>
                <c:pt idx="12">
                  <c:v>24043.02039655326</c:v>
                </c:pt>
                <c:pt idx="13">
                  <c:v>27997.322436208589</c:v>
                </c:pt>
                <c:pt idx="14">
                  <c:v>32447.054679829449</c:v>
                </c:pt>
                <c:pt idx="15">
                  <c:v>37441.760147812391</c:v>
                </c:pt>
                <c:pt idx="16">
                  <c:v>43085.936162593636</c:v>
                </c:pt>
                <c:pt idx="17">
                  <c:v>49394.529778853001</c:v>
                </c:pt>
                <c:pt idx="18">
                  <c:v>56433.982756738311</c:v>
                </c:pt>
                <c:pt idx="19">
                  <c:v>64327.381032412144</c:v>
                </c:pt>
                <c:pt idx="20">
                  <c:v>73160.119135653353</c:v>
                </c:pt>
                <c:pt idx="21">
                  <c:v>82976.131049218704</c:v>
                </c:pt>
                <c:pt idx="22">
                  <c:v>93973.744154140586</c:v>
                </c:pt>
                <c:pt idx="23">
                  <c:v>106221.11856955464</c:v>
                </c:pt>
                <c:pt idx="24">
                  <c:v>119843.23042651013</c:v>
                </c:pt>
                <c:pt idx="25">
                  <c:v>135027.55346916115</c:v>
                </c:pt>
                <c:pt idx="26">
                  <c:v>151930.30881607727</c:v>
                </c:pt>
                <c:pt idx="27">
                  <c:v>170723.33969768503</c:v>
                </c:pt>
                <c:pt idx="28">
                  <c:v>192155.67366745355</c:v>
                </c:pt>
                <c:pt idx="29">
                  <c:v>216011.24103419893</c:v>
                </c:pt>
                <c:pt idx="30">
                  <c:v>242542.36513761885</c:v>
                </c:pt>
                <c:pt idx="31">
                  <c:v>272006.60165138071</c:v>
                </c:pt>
                <c:pt idx="32">
                  <c:v>304707.26181651879</c:v>
                </c:pt>
                <c:pt idx="33">
                  <c:v>341027.98799817072</c:v>
                </c:pt>
                <c:pt idx="34">
                  <c:v>381320.78679798776</c:v>
                </c:pt>
                <c:pt idx="35">
                  <c:v>426042.86547778663</c:v>
                </c:pt>
                <c:pt idx="36">
                  <c:v>475637.15202556533</c:v>
                </c:pt>
                <c:pt idx="37">
                  <c:v>530590.86722812185</c:v>
                </c:pt>
                <c:pt idx="38">
                  <c:v>591499.95395093411</c:v>
                </c:pt>
                <c:pt idx="39">
                  <c:v>658959.94934602769</c:v>
                </c:pt>
                <c:pt idx="40">
                  <c:v>733685.94428063044</c:v>
                </c:pt>
                <c:pt idx="41">
                  <c:v>816394.53870869358</c:v>
                </c:pt>
                <c:pt idx="42">
                  <c:v>907953.99257956306</c:v>
                </c:pt>
                <c:pt idx="43">
                  <c:v>1009239.3918375195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2-4D65-A1D6-D0064490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736383"/>
        <c:axId val="1621740223"/>
      </c:lineChart>
      <c:catAx>
        <c:axId val="162173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740223"/>
        <c:crosses val="autoZero"/>
        <c:auto val="1"/>
        <c:lblAlgn val="ctr"/>
        <c:lblOffset val="100"/>
        <c:noMultiLvlLbl val="0"/>
      </c:catAx>
      <c:valAx>
        <c:axId val="162174022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73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Growth Multiple by Contribution Vintage (by 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Growth Multiple</c:v>
          </c:tx>
          <c:spPr>
            <a:ln w="28575" cap="rnd">
              <a:solidFill>
                <a:srgbClr val="17A39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[0]!GrowthMultiple_Range</c:f>
              <c:numCache>
                <c:formatCode>General</c:formatCode>
                <c:ptCount val="44"/>
                <c:pt idx="0" formatCode="0.00&quot;x&quot;">
                  <c:v>66.26407607736661</c:v>
                </c:pt>
                <c:pt idx="1">
                  <c:v>60.240069161242367</c:v>
                </c:pt>
                <c:pt idx="2">
                  <c:v>54.763699237493057</c:v>
                </c:pt>
                <c:pt idx="3">
                  <c:v>49.785181124993684</c:v>
                </c:pt>
                <c:pt idx="4">
                  <c:v>45.25925556817608</c:v>
                </c:pt>
                <c:pt idx="5">
                  <c:v>41.144777789250981</c:v>
                </c:pt>
                <c:pt idx="6">
                  <c:v>37.404343444773609</c:v>
                </c:pt>
                <c:pt idx="7">
                  <c:v>34.003948586157826</c:v>
                </c:pt>
                <c:pt idx="8">
                  <c:v>30.912680532870752</c:v>
                </c:pt>
                <c:pt idx="9">
                  <c:v>28.102436848064315</c:v>
                </c:pt>
                <c:pt idx="10">
                  <c:v>25.547669861876649</c:v>
                </c:pt>
                <c:pt idx="11">
                  <c:v>23.225154419887861</c:v>
                </c:pt>
                <c:pt idx="12">
                  <c:v>21.113776745352599</c:v>
                </c:pt>
                <c:pt idx="13">
                  <c:v>19.194342495775089</c:v>
                </c:pt>
                <c:pt idx="14">
                  <c:v>17.449402268886441</c:v>
                </c:pt>
                <c:pt idx="15">
                  <c:v>15.863092971714948</c:v>
                </c:pt>
                <c:pt idx="16">
                  <c:v>14.420993610649953</c:v>
                </c:pt>
                <c:pt idx="17">
                  <c:v>13.109994191499954</c:v>
                </c:pt>
                <c:pt idx="18">
                  <c:v>11.918176537727231</c:v>
                </c:pt>
                <c:pt idx="19">
                  <c:v>10.834705943388389</c:v>
                </c:pt>
                <c:pt idx="20">
                  <c:v>9.849732675807628</c:v>
                </c:pt>
                <c:pt idx="21">
                  <c:v>8.9543024325523888</c:v>
                </c:pt>
                <c:pt idx="22">
                  <c:v>8.140274938683989</c:v>
                </c:pt>
                <c:pt idx="23">
                  <c:v>7.4002499442581708</c:v>
                </c:pt>
                <c:pt idx="24">
                  <c:v>6.72749994932561</c:v>
                </c:pt>
                <c:pt idx="25">
                  <c:v>6.1159090448414624</c:v>
                </c:pt>
                <c:pt idx="26">
                  <c:v>5.5599173134922379</c:v>
                </c:pt>
                <c:pt idx="27">
                  <c:v>5.0544702849929433</c:v>
                </c:pt>
                <c:pt idx="28">
                  <c:v>4.5949729863572211</c:v>
                </c:pt>
                <c:pt idx="29">
                  <c:v>4.1772481694156554</c:v>
                </c:pt>
                <c:pt idx="30">
                  <c:v>3.7974983358324135</c:v>
                </c:pt>
                <c:pt idx="31">
                  <c:v>3.4522712143931034</c:v>
                </c:pt>
                <c:pt idx="32">
                  <c:v>3.1384283767210031</c:v>
                </c:pt>
                <c:pt idx="33">
                  <c:v>2.8531167061100025</c:v>
                </c:pt>
                <c:pt idx="34">
                  <c:v>2.5937424601000019</c:v>
                </c:pt>
                <c:pt idx="35">
                  <c:v>2.3579476910000015</c:v>
                </c:pt>
                <c:pt idx="36">
                  <c:v>2.1435888100000016</c:v>
                </c:pt>
                <c:pt idx="37">
                  <c:v>1.948717100000001</c:v>
                </c:pt>
                <c:pt idx="38">
                  <c:v>1.7715610000000008</c:v>
                </c:pt>
                <c:pt idx="39">
                  <c:v>1.6105100000000006</c:v>
                </c:pt>
                <c:pt idx="40">
                  <c:v>1.4641000000000006</c:v>
                </c:pt>
                <c:pt idx="41">
                  <c:v>1.3310000000000004</c:v>
                </c:pt>
                <c:pt idx="42">
                  <c:v>1.2100000000000002</c:v>
                </c:pt>
                <c:pt idx="4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D-4E5A-8433-FAF9E66A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567392"/>
        <c:axId val="800465392"/>
      </c:lineChart>
      <c:catAx>
        <c:axId val="95356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at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00465392"/>
        <c:crosses val="autoZero"/>
        <c:auto val="1"/>
        <c:lblAlgn val="ctr"/>
        <c:lblOffset val="100"/>
        <c:noMultiLvlLbl val="0"/>
      </c:catAx>
      <c:valAx>
        <c:axId val="800465392"/>
        <c:scaling>
          <c:orientation val="minMax"/>
          <c:min val="1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Multiple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&quot;x&quot;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535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Terminal Value by Contribution Year (by 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Terminal Value</c:v>
          </c:tx>
          <c:spPr>
            <a:solidFill>
              <a:srgbClr val="17A398"/>
            </a:solidFill>
            <a:ln>
              <a:noFill/>
            </a:ln>
            <a:effectLst/>
          </c:spPr>
          <c:invertIfNegative val="0"/>
          <c:cat>
            <c:numRef>
              <c:f>[0]!Age_Range</c:f>
              <c:numCache>
                <c:formatCode>General</c:formatCode>
                <c:ptCount val="4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</c:numCache>
            </c:numRef>
          </c:cat>
          <c:val>
            <c:numRef>
              <c:f>[0]!TerminalValueByYear_Range</c:f>
              <c:numCache>
                <c:formatCode>"$"#,##0;[Red]\("$"#,##0\);\-</c:formatCode>
                <c:ptCount val="44"/>
                <c:pt idx="0">
                  <c:v>496980.57058024959</c:v>
                </c:pt>
                <c:pt idx="1">
                  <c:v>451800.51870931778</c:v>
                </c:pt>
                <c:pt idx="2">
                  <c:v>438109.59389994445</c:v>
                </c:pt>
                <c:pt idx="3">
                  <c:v>423174.0395624463</c:v>
                </c:pt>
                <c:pt idx="4">
                  <c:v>407333.30011358473</c:v>
                </c:pt>
                <c:pt idx="5">
                  <c:v>411447.77789250982</c:v>
                </c:pt>
                <c:pt idx="6">
                  <c:v>392745.60617012292</c:v>
                </c:pt>
                <c:pt idx="7">
                  <c:v>374043.43444773607</c:v>
                </c:pt>
                <c:pt idx="8">
                  <c:v>355495.82612801366</c:v>
                </c:pt>
                <c:pt idx="9">
                  <c:v>351280.46060080396</c:v>
                </c:pt>
                <c:pt idx="10">
                  <c:v>332119.70820439642</c:v>
                </c:pt>
                <c:pt idx="11">
                  <c:v>325152.16187843005</c:v>
                </c:pt>
                <c:pt idx="12">
                  <c:v>316706.65118028899</c:v>
                </c:pt>
                <c:pt idx="13">
                  <c:v>297512.3086845139</c:v>
                </c:pt>
                <c:pt idx="14">
                  <c:v>287915.1374366263</c:v>
                </c:pt>
                <c:pt idx="15">
                  <c:v>277604.1270050116</c:v>
                </c:pt>
                <c:pt idx="16">
                  <c:v>273998.87860234908</c:v>
                </c:pt>
                <c:pt idx="17">
                  <c:v>262199.88382999907</c:v>
                </c:pt>
                <c:pt idx="18">
                  <c:v>250281.70729227184</c:v>
                </c:pt>
                <c:pt idx="19">
                  <c:v>243780.88372623877</c:v>
                </c:pt>
                <c:pt idx="20">
                  <c:v>236393.58421938308</c:v>
                </c:pt>
                <c:pt idx="21">
                  <c:v>223857.56081380972</c:v>
                </c:pt>
                <c:pt idx="22">
                  <c:v>219787.42334446771</c:v>
                </c:pt>
                <c:pt idx="23">
                  <c:v>210907.12341135787</c:v>
                </c:pt>
                <c:pt idx="24">
                  <c:v>201824.99847976831</c:v>
                </c:pt>
                <c:pt idx="25">
                  <c:v>195709.08943492681</c:v>
                </c:pt>
                <c:pt idx="26">
                  <c:v>189037.18865873609</c:v>
                </c:pt>
                <c:pt idx="27">
                  <c:v>181960.93025974595</c:v>
                </c:pt>
                <c:pt idx="28">
                  <c:v>200340.82220517483</c:v>
                </c:pt>
                <c:pt idx="29">
                  <c:v>193824.31506088641</c:v>
                </c:pt>
                <c:pt idx="30">
                  <c:v>187216.66795653797</c:v>
                </c:pt>
                <c:pt idx="31">
                  <c:v>179863.33026988068</c:v>
                </c:pt>
                <c:pt idx="32">
                  <c:v>172613.56071965516</c:v>
                </c:pt>
                <c:pt idx="33">
                  <c:v>166907.32730743513</c:v>
                </c:pt>
                <c:pt idx="34">
                  <c:v>160552.65828019011</c:v>
                </c:pt>
                <c:pt idx="35">
                  <c:v>155388.75283690009</c:v>
                </c:pt>
                <c:pt idx="36">
                  <c:v>149836.85781900011</c:v>
                </c:pt>
                <c:pt idx="37">
                  <c:v>144010.19369000007</c:v>
                </c:pt>
                <c:pt idx="38">
                  <c:v>139067.53850000005</c:v>
                </c:pt>
                <c:pt idx="39">
                  <c:v>133833.38100000005</c:v>
                </c:pt>
                <c:pt idx="40">
                  <c:v>129280.03000000006</c:v>
                </c:pt>
                <c:pt idx="41">
                  <c:v>124315.40000000004</c:v>
                </c:pt>
                <c:pt idx="42">
                  <c:v>120032.00000000001</c:v>
                </c:pt>
                <c:pt idx="43">
                  <c:v>115390.00000000001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A-4B7E-BACF-39D86115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353312"/>
        <c:axId val="995133904"/>
      </c:barChart>
      <c:catAx>
        <c:axId val="106235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at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5133904"/>
        <c:crosses val="autoZero"/>
        <c:auto val="1"/>
        <c:lblAlgn val="ctr"/>
        <c:lblOffset val="100"/>
        <c:noMultiLvlLbl val="0"/>
      </c:catAx>
      <c:valAx>
        <c:axId val="9951339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Terminal Value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6235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Annual Disposable Take-Home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Disposable Take-Home Pay</c:v>
          </c:tx>
          <c:spPr>
            <a:solidFill>
              <a:srgbClr val="17A398"/>
            </a:solidFill>
            <a:ln>
              <a:noFill/>
            </a:ln>
            <a:effectLst/>
          </c:spPr>
          <c:invertIfNegative val="0"/>
          <c:cat>
            <c:numRef>
              <c:f>[0]!ProjYear_Range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[0]!DisposablePay_Range</c:f>
              <c:numCache>
                <c:formatCode>General</c:formatCode>
                <c:ptCount val="44"/>
                <c:pt idx="0">
                  <c:v>50575</c:v>
                </c:pt>
                <c:pt idx="1">
                  <c:v>54105.224999999999</c:v>
                </c:pt>
                <c:pt idx="2">
                  <c:v>57254.25675</c:v>
                </c:pt>
                <c:pt idx="3">
                  <c:v>60540.849452499999</c:v>
                </c:pt>
                <c:pt idx="4">
                  <c:v>74493.339936075005</c:v>
                </c:pt>
                <c:pt idx="5">
                  <c:v>81074.824211507264</c:v>
                </c:pt>
                <c:pt idx="6">
                  <c:v>83448.058937852489</c:v>
                </c:pt>
                <c:pt idx="7">
                  <c:v>85906.160705988063</c:v>
                </c:pt>
                <c:pt idx="8">
                  <c:v>88468.435527167705</c:v>
                </c:pt>
                <c:pt idx="9">
                  <c:v>90627.258592982733</c:v>
                </c:pt>
                <c:pt idx="10">
                  <c:v>93390.076350772215</c:v>
                </c:pt>
                <c:pt idx="11">
                  <c:v>95760.408641295377</c:v>
                </c:pt>
                <c:pt idx="12">
                  <c:v>98238.850900534249</c:v>
                </c:pt>
                <c:pt idx="13">
                  <c:v>101331.07642755027</c:v>
                </c:pt>
                <c:pt idx="14">
                  <c:v>104043.83872037679</c:v>
                </c:pt>
                <c:pt idx="15">
                  <c:v>106880.97388198809</c:v>
                </c:pt>
                <c:pt idx="16">
                  <c:v>109345.40309844773</c:v>
                </c:pt>
                <c:pt idx="17">
                  <c:v>112440.13519140118</c:v>
                </c:pt>
                <c:pt idx="18">
                  <c:v>115669.26924714321</c:v>
                </c:pt>
                <c:pt idx="19">
                  <c:v>118540.99732455751</c:v>
                </c:pt>
                <c:pt idx="20">
                  <c:v>121553.60724429422</c:v>
                </c:pt>
                <c:pt idx="21">
                  <c:v>125190.92256085449</c:v>
                </c:pt>
                <c:pt idx="22">
                  <c:v>127929.90023768015</c:v>
                </c:pt>
                <c:pt idx="23">
                  <c:v>131325.29724481056</c:v>
                </c:pt>
                <c:pt idx="24">
                  <c:v>134880.90616215486</c:v>
                </c:pt>
                <c:pt idx="25">
                  <c:v>138100.63334701952</c:v>
                </c:pt>
                <c:pt idx="26">
                  <c:v>141493.5023474301</c:v>
                </c:pt>
                <c:pt idx="27">
                  <c:v>145063.65741785301</c:v>
                </c:pt>
                <c:pt idx="28">
                  <c:v>143215.36714038861</c:v>
                </c:pt>
                <c:pt idx="29">
                  <c:v>146358.0281546003</c:v>
                </c:pt>
                <c:pt idx="30">
                  <c:v>149596.16899923829</c:v>
                </c:pt>
                <c:pt idx="31">
                  <c:v>153139.45406921546</c:v>
                </c:pt>
                <c:pt idx="32">
                  <c:v>156792.68769129191</c:v>
                </c:pt>
                <c:pt idx="33">
                  <c:v>160065.81832203065</c:v>
                </c:pt>
                <c:pt idx="34">
                  <c:v>163659.52819549825</c:v>
                </c:pt>
                <c:pt idx="35">
                  <c:v>166825.26404136317</c:v>
                </c:pt>
                <c:pt idx="36">
                  <c:v>170224.62196260408</c:v>
                </c:pt>
                <c:pt idx="37">
                  <c:v>173878.11062148225</c:v>
                </c:pt>
                <c:pt idx="38">
                  <c:v>177186.40394012674</c:v>
                </c:pt>
                <c:pt idx="39">
                  <c:v>180765.34605833056</c:v>
                </c:pt>
                <c:pt idx="40">
                  <c:v>184015.95644008048</c:v>
                </c:pt>
                <c:pt idx="41">
                  <c:v>187654.43513328291</c:v>
                </c:pt>
                <c:pt idx="42">
                  <c:v>190892.16818728141</c:v>
                </c:pt>
                <c:pt idx="43">
                  <c:v>194530.73323289986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E-48C3-A7DD-B9EAD9CD8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1737823"/>
        <c:axId val="1621738303"/>
      </c:barChart>
      <c:catAx>
        <c:axId val="162173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738303"/>
        <c:crosses val="autoZero"/>
        <c:auto val="1"/>
        <c:lblAlgn val="ctr"/>
        <c:lblOffset val="100"/>
        <c:noMultiLvlLbl val="0"/>
      </c:catAx>
      <c:valAx>
        <c:axId val="162173830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Disposable Take-Home Pay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73782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Annual Taxes by Category and Take-Home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Federal Income Tax</c:v>
          </c:tx>
          <c:spPr>
            <a:solidFill>
              <a:srgbClr val="262A2E"/>
            </a:solidFill>
            <a:ln>
              <a:solidFill>
                <a:srgbClr val="17324D"/>
              </a:solidFill>
              <a:prstDash val="solid"/>
            </a:ln>
            <a:effectLst/>
          </c:spPr>
          <c:invertIfNegative val="0"/>
          <c:cat>
            <c:numRef>
              <c:f>[0]!ProjYearTax_Range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[0]!FedTax_Range</c:f>
              <c:numCache>
                <c:formatCode>General</c:formatCode>
                <c:ptCount val="44"/>
                <c:pt idx="0">
                  <c:v>6570</c:v>
                </c:pt>
                <c:pt idx="1">
                  <c:v>7057</c:v>
                </c:pt>
                <c:pt idx="2">
                  <c:v>7545.71</c:v>
                </c:pt>
                <c:pt idx="3">
                  <c:v>8020.9913000000015</c:v>
                </c:pt>
                <c:pt idx="4">
                  <c:v>11810.731039000002</c:v>
                </c:pt>
                <c:pt idx="5">
                  <c:v>7088.3688928200017</c:v>
                </c:pt>
                <c:pt idx="6">
                  <c:v>7160.0299596046025</c:v>
                </c:pt>
                <c:pt idx="7">
                  <c:v>7235.1708583927411</c:v>
                </c:pt>
                <c:pt idx="8">
                  <c:v>7297.1359841445228</c:v>
                </c:pt>
                <c:pt idx="9">
                  <c:v>7356.2800636688589</c:v>
                </c:pt>
                <c:pt idx="10">
                  <c:v>7407.9684655789242</c:v>
                </c:pt>
                <c:pt idx="11">
                  <c:v>7451.5775195462911</c:v>
                </c:pt>
                <c:pt idx="12">
                  <c:v>7489.4948451326809</c:v>
                </c:pt>
                <c:pt idx="13">
                  <c:v>7519.119690486662</c:v>
                </c:pt>
                <c:pt idx="14">
                  <c:v>7536.863281201262</c:v>
                </c:pt>
                <c:pt idx="15">
                  <c:v>7542.1491796372993</c:v>
                </c:pt>
                <c:pt idx="16">
                  <c:v>7535.4136550264193</c:v>
                </c:pt>
                <c:pt idx="17">
                  <c:v>7517.106064677213</c:v>
                </c:pt>
                <c:pt idx="18">
                  <c:v>7486.6892466175304</c:v>
                </c:pt>
                <c:pt idx="19">
                  <c:v>7439.6399240160545</c:v>
                </c:pt>
                <c:pt idx="20">
                  <c:v>7381.4491217365376</c:v>
                </c:pt>
                <c:pt idx="21">
                  <c:v>7332.1854961571953</c:v>
                </c:pt>
                <c:pt idx="22">
                  <c:v>7318.9010610419127</c:v>
                </c:pt>
                <c:pt idx="23">
                  <c:v>7290.9680928731686</c:v>
                </c:pt>
                <c:pt idx="24">
                  <c:v>7248.8471356593654</c:v>
                </c:pt>
                <c:pt idx="25">
                  <c:v>7193.0125497291483</c:v>
                </c:pt>
                <c:pt idx="26">
                  <c:v>7118.9529262210217</c:v>
                </c:pt>
                <c:pt idx="27">
                  <c:v>7027.1715140076531</c:v>
                </c:pt>
                <c:pt idx="28">
                  <c:v>6918.1866594278836</c:v>
                </c:pt>
                <c:pt idx="29">
                  <c:v>6787.5322592107204</c:v>
                </c:pt>
                <c:pt idx="30">
                  <c:v>6635.7582269870418</c:v>
                </c:pt>
                <c:pt idx="31">
                  <c:v>6458.4309737966541</c:v>
                </c:pt>
                <c:pt idx="32">
                  <c:v>6256.1339030105537</c:v>
                </c:pt>
                <c:pt idx="33">
                  <c:v>6024.4679201008694</c:v>
                </c:pt>
                <c:pt idx="34">
                  <c:v>5764.0519577038976</c:v>
                </c:pt>
                <c:pt idx="35">
                  <c:v>5470.5235164350133</c:v>
                </c:pt>
                <c:pt idx="36">
                  <c:v>5149.5392219280657</c:v>
                </c:pt>
                <c:pt idx="37">
                  <c:v>4786.7753985859108</c:v>
                </c:pt>
                <c:pt idx="38">
                  <c:v>4387.92866054349</c:v>
                </c:pt>
                <c:pt idx="39">
                  <c:v>3943.7165203597979</c:v>
                </c:pt>
                <c:pt idx="40">
                  <c:v>3459.8780159705902</c:v>
                </c:pt>
                <c:pt idx="41">
                  <c:v>2927.1743564497101</c:v>
                </c:pt>
                <c:pt idx="42">
                  <c:v>2341.3895871432032</c:v>
                </c:pt>
                <c:pt idx="43">
                  <c:v>1708.3312747574994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9-4F5D-BA11-F06AD605659D}"/>
            </c:ext>
          </c:extLst>
        </c:ser>
        <c:ser>
          <c:idx val="1"/>
          <c:order val="1"/>
          <c:tx>
            <c:v>Flat State Income Tax</c:v>
          </c:tx>
          <c:spPr>
            <a:solidFill>
              <a:srgbClr val="4A4F55"/>
            </a:solidFill>
            <a:ln>
              <a:solidFill>
                <a:srgbClr val="A67C2E"/>
              </a:solidFill>
              <a:prstDash val="solid"/>
            </a:ln>
            <a:effectLst/>
          </c:spPr>
          <c:invertIfNegative val="0"/>
          <c:cat>
            <c:numRef>
              <c:f>[0]!ProjYearTax_Range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[0]!StateTax_Range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9-4F5D-BA11-F06AD605659D}"/>
            </c:ext>
          </c:extLst>
        </c:ser>
        <c:ser>
          <c:idx val="2"/>
          <c:order val="2"/>
          <c:tx>
            <c:v>Payroll Taxes</c:v>
          </c:tx>
          <c:spPr>
            <a:solidFill>
              <a:srgbClr val="C9A227"/>
            </a:solidFill>
            <a:ln>
              <a:solidFill>
                <a:srgbClr val="9AA1A8"/>
              </a:solidFill>
              <a:prstDash val="solid"/>
            </a:ln>
            <a:effectLst/>
          </c:spPr>
          <c:invertIfNegative val="0"/>
          <c:cat>
            <c:numRef>
              <c:f>[0]!ProjYearTax_Range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[0]!Payroll_Range</c:f>
              <c:numCache>
                <c:formatCode>General</c:formatCode>
                <c:ptCount val="44"/>
                <c:pt idx="0">
                  <c:v>5355</c:v>
                </c:pt>
                <c:pt idx="1">
                  <c:v>5687.7749999999996</c:v>
                </c:pt>
                <c:pt idx="2">
                  <c:v>6030.5332500000004</c:v>
                </c:pt>
                <c:pt idx="3">
                  <c:v>6383.5742475000006</c:v>
                </c:pt>
                <c:pt idx="4">
                  <c:v>7894.7064749250012</c:v>
                </c:pt>
                <c:pt idx="5">
                  <c:v>8131.5476691727508</c:v>
                </c:pt>
                <c:pt idx="6">
                  <c:v>8375.4940992479351</c:v>
                </c:pt>
                <c:pt idx="7">
                  <c:v>8626.7589222253719</c:v>
                </c:pt>
                <c:pt idx="8">
                  <c:v>8885.5616898921326</c:v>
                </c:pt>
                <c:pt idx="9">
                  <c:v>9152.1285405888975</c:v>
                </c:pt>
                <c:pt idx="10">
                  <c:v>9426.6923968065639</c:v>
                </c:pt>
                <c:pt idx="11">
                  <c:v>9709.4931687107601</c:v>
                </c:pt>
                <c:pt idx="12">
                  <c:v>10000.777963772083</c:v>
                </c:pt>
                <c:pt idx="13">
                  <c:v>10300.801302685248</c:v>
                </c:pt>
                <c:pt idx="14">
                  <c:v>10609.825341765805</c:v>
                </c:pt>
                <c:pt idx="15">
                  <c:v>10928.120102018778</c:v>
                </c:pt>
                <c:pt idx="16">
                  <c:v>11255.963705079343</c:v>
                </c:pt>
                <c:pt idx="17">
                  <c:v>11593.642616231722</c:v>
                </c:pt>
                <c:pt idx="18">
                  <c:v>11941.451894718675</c:v>
                </c:pt>
                <c:pt idx="19">
                  <c:v>12299.695451560234</c:v>
                </c:pt>
                <c:pt idx="20">
                  <c:v>12668.686315107043</c:v>
                </c:pt>
                <c:pt idx="21">
                  <c:v>13048.746904560256</c:v>
                </c:pt>
                <c:pt idx="22">
                  <c:v>13440.209311697063</c:v>
                </c:pt>
                <c:pt idx="23">
                  <c:v>13843.415591047975</c:v>
                </c:pt>
                <c:pt idx="24">
                  <c:v>14258.718058779416</c:v>
                </c:pt>
                <c:pt idx="25">
                  <c:v>14686.479600542798</c:v>
                </c:pt>
                <c:pt idx="26">
                  <c:v>15127.073988559081</c:v>
                </c:pt>
                <c:pt idx="27">
                  <c:v>15580.886208215854</c:v>
                </c:pt>
                <c:pt idx="28">
                  <c:v>16048.31279446233</c:v>
                </c:pt>
                <c:pt idx="29">
                  <c:v>16529.762178296201</c:v>
                </c:pt>
                <c:pt idx="30">
                  <c:v>17025.655043645085</c:v>
                </c:pt>
                <c:pt idx="31">
                  <c:v>17536.424694954439</c:v>
                </c:pt>
                <c:pt idx="32">
                  <c:v>18062.517435803071</c:v>
                </c:pt>
                <c:pt idx="33">
                  <c:v>18604.392958877164</c:v>
                </c:pt>
                <c:pt idx="34">
                  <c:v>19166.939423836833</c:v>
                </c:pt>
                <c:pt idx="35">
                  <c:v>19809.447606551937</c:v>
                </c:pt>
                <c:pt idx="36">
                  <c:v>20471.231034748496</c:v>
                </c:pt>
                <c:pt idx="37">
                  <c:v>21152.867965790952</c:v>
                </c:pt>
                <c:pt idx="38">
                  <c:v>21854.954004764681</c:v>
                </c:pt>
                <c:pt idx="39">
                  <c:v>22578.102624907628</c:v>
                </c:pt>
                <c:pt idx="40">
                  <c:v>23322.945703654856</c:v>
                </c:pt>
                <c:pt idx="41">
                  <c:v>24090.134074764501</c:v>
                </c:pt>
                <c:pt idx="42">
                  <c:v>24880.338097007436</c:v>
                </c:pt>
                <c:pt idx="43">
                  <c:v>25694.248239917659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9-4F5D-BA11-F06AD605659D}"/>
            </c:ext>
          </c:extLst>
        </c:ser>
        <c:ser>
          <c:idx val="3"/>
          <c:order val="3"/>
          <c:tx>
            <c:v>Take-Home Pay After Taxes</c:v>
          </c:tx>
          <c:spPr>
            <a:solidFill>
              <a:srgbClr val="17A398"/>
            </a:solidFill>
            <a:ln>
              <a:solidFill>
                <a:srgbClr val="5F7A68"/>
              </a:solidFill>
              <a:prstDash val="solid"/>
            </a:ln>
            <a:effectLst/>
          </c:spPr>
          <c:invertIfNegative val="0"/>
          <c:cat>
            <c:numRef>
              <c:f>[0]!ProjYearTax_Range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[0]!TakeHome_Range</c:f>
              <c:numCache>
                <c:formatCode>General</c:formatCode>
                <c:ptCount val="44"/>
                <c:pt idx="0">
                  <c:v>58075</c:v>
                </c:pt>
                <c:pt idx="1">
                  <c:v>61605.224999999999</c:v>
                </c:pt>
                <c:pt idx="2">
                  <c:v>65254.25675</c:v>
                </c:pt>
                <c:pt idx="3">
                  <c:v>69040.849452499999</c:v>
                </c:pt>
                <c:pt idx="4">
                  <c:v>83493.339936075005</c:v>
                </c:pt>
                <c:pt idx="5">
                  <c:v>91074.824211507264</c:v>
                </c:pt>
                <c:pt idx="6">
                  <c:v>93948.058937852489</c:v>
                </c:pt>
                <c:pt idx="7">
                  <c:v>96906.160705988063</c:v>
                </c:pt>
                <c:pt idx="8">
                  <c:v>99968.435527167705</c:v>
                </c:pt>
                <c:pt idx="9">
                  <c:v>103127.25859298273</c:v>
                </c:pt>
                <c:pt idx="10">
                  <c:v>106390.07635077221</c:v>
                </c:pt>
                <c:pt idx="11">
                  <c:v>109760.40864129538</c:v>
                </c:pt>
                <c:pt idx="12">
                  <c:v>113238.85090053425</c:v>
                </c:pt>
                <c:pt idx="13">
                  <c:v>116831.07642755027</c:v>
                </c:pt>
                <c:pt idx="14">
                  <c:v>120543.83872037679</c:v>
                </c:pt>
                <c:pt idx="15">
                  <c:v>124380.97388198809</c:v>
                </c:pt>
                <c:pt idx="16">
                  <c:v>128345.40309844773</c:v>
                </c:pt>
                <c:pt idx="17">
                  <c:v>132440.13519140118</c:v>
                </c:pt>
                <c:pt idx="18">
                  <c:v>136669.26924714321</c:v>
                </c:pt>
                <c:pt idx="19">
                  <c:v>141040.99732455751</c:v>
                </c:pt>
                <c:pt idx="20">
                  <c:v>145553.60724429422</c:v>
                </c:pt>
                <c:pt idx="21">
                  <c:v>150190.92256085449</c:v>
                </c:pt>
                <c:pt idx="22">
                  <c:v>154929.90023768015</c:v>
                </c:pt>
                <c:pt idx="23">
                  <c:v>159825.29724481056</c:v>
                </c:pt>
                <c:pt idx="24">
                  <c:v>164880.90616215486</c:v>
                </c:pt>
                <c:pt idx="25">
                  <c:v>170100.63334701952</c:v>
                </c:pt>
                <c:pt idx="26">
                  <c:v>175493.5023474301</c:v>
                </c:pt>
                <c:pt idx="27">
                  <c:v>181063.65741785301</c:v>
                </c:pt>
                <c:pt idx="28">
                  <c:v>186815.36714038861</c:v>
                </c:pt>
                <c:pt idx="29">
                  <c:v>192758.0281546003</c:v>
                </c:pt>
                <c:pt idx="30">
                  <c:v>198896.16899923829</c:v>
                </c:pt>
                <c:pt idx="31">
                  <c:v>205239.45406921546</c:v>
                </c:pt>
                <c:pt idx="32">
                  <c:v>211792.68769129191</c:v>
                </c:pt>
                <c:pt idx="33">
                  <c:v>218565.81832203065</c:v>
                </c:pt>
                <c:pt idx="34">
                  <c:v>225559.52819549825</c:v>
                </c:pt>
                <c:pt idx="35">
                  <c:v>232725.26404136317</c:v>
                </c:pt>
                <c:pt idx="36">
                  <c:v>240124.62196260408</c:v>
                </c:pt>
                <c:pt idx="37">
                  <c:v>247778.11062148225</c:v>
                </c:pt>
                <c:pt idx="38">
                  <c:v>255686.40394012674</c:v>
                </c:pt>
                <c:pt idx="39">
                  <c:v>263865.34605833056</c:v>
                </c:pt>
                <c:pt idx="40">
                  <c:v>272315.95644008048</c:v>
                </c:pt>
                <c:pt idx="41">
                  <c:v>281054.43513328291</c:v>
                </c:pt>
                <c:pt idx="42">
                  <c:v>290092.16818728141</c:v>
                </c:pt>
                <c:pt idx="43">
                  <c:v>299430.73323289986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D9-4F5D-BA11-F06AD6056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1653823"/>
        <c:axId val="1621666303"/>
      </c:barChart>
      <c:catAx>
        <c:axId val="162165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66303"/>
        <c:crosses val="autoZero"/>
        <c:auto val="1"/>
        <c:lblAlgn val="ctr"/>
        <c:lblOffset val="100"/>
        <c:noMultiLvlLbl val="0"/>
      </c:catAx>
      <c:valAx>
        <c:axId val="162166630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Cash Flow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2165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62A2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Lifetime Income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DATA'!$Y$1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262A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F-4E1B-8D6C-E73582FB0566}"/>
              </c:ext>
            </c:extLst>
          </c:dPt>
          <c:dPt>
            <c:idx val="1"/>
            <c:bubble3D val="0"/>
            <c:spPr>
              <a:solidFill>
                <a:srgbClr val="4A4F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F-4E1B-8D6C-E73582FB0566}"/>
              </c:ext>
            </c:extLst>
          </c:dPt>
          <c:dPt>
            <c:idx val="2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F-4E1B-8D6C-E73582FB0566}"/>
              </c:ext>
            </c:extLst>
          </c:dPt>
          <c:dPt>
            <c:idx val="3"/>
            <c:bubble3D val="0"/>
            <c:spPr>
              <a:solidFill>
                <a:srgbClr val="6FC3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4F-4E1B-8D6C-E73582FB0566}"/>
              </c:ext>
            </c:extLst>
          </c:dPt>
          <c:dPt>
            <c:idx val="4"/>
            <c:bubble3D val="0"/>
            <c:spPr>
              <a:solidFill>
                <a:srgbClr val="17A39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4F-4E1B-8D6C-E73582FB0566}"/>
              </c:ext>
            </c:extLst>
          </c:dPt>
          <c:dLbls>
            <c:dLbl>
              <c:idx val="0"/>
              <c:layout>
                <c:manualLayout>
                  <c:x val="-1.7535699986654212E-2"/>
                  <c:y val="-2.6800816564594393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4F-4E1B-8D6C-E73582FB056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DATA'!$X$2:$X$6</c:f>
              <c:strCache>
                <c:ptCount val="5"/>
                <c:pt idx="0">
                  <c:v>Federal income tax</c:v>
                </c:pt>
                <c:pt idx="1">
                  <c:v>Flat state income tax</c:v>
                </c:pt>
                <c:pt idx="2">
                  <c:v>Payroll taxes</c:v>
                </c:pt>
                <c:pt idx="3">
                  <c:v>IRA contributions</c:v>
                </c:pt>
                <c:pt idx="4">
                  <c:v>Remaining income (after tax &amp; Roth)</c:v>
                </c:pt>
              </c:strCache>
            </c:strRef>
          </c:cat>
          <c:val>
            <c:numRef>
              <c:f>'CHART DATA'!$Y$2:$Y$6</c:f>
              <c:numCache>
                <c:formatCode>General</c:formatCode>
                <c:ptCount val="5"/>
                <c:pt idx="0">
                  <c:v>288998.74631938792</c:v>
                </c:pt>
                <c:pt idx="1">
                  <c:v>0</c:v>
                </c:pt>
                <c:pt idx="2">
                  <c:v>622072.03369739396</c:v>
                </c:pt>
                <c:pt idx="3">
                  <c:v>1630400</c:v>
                </c:pt>
                <c:pt idx="4">
                  <c:v>5546472.9576499537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A-4B58-AEF7-D64DB8DD8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62A2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50074</xdr:rowOff>
    </xdr:from>
    <xdr:to>
      <xdr:col>4</xdr:col>
      <xdr:colOff>969555</xdr:colOff>
      <xdr:row>41</xdr:row>
      <xdr:rowOff>134620</xdr:rowOff>
    </xdr:to>
    <xdr:graphicFrame macro="">
      <xdr:nvGraphicFramePr>
        <xdr:cNvPr id="16" name="cht_Summary_Roth_Balance">
          <a:extLst>
            <a:ext uri="{FF2B5EF4-FFF2-40B4-BE49-F238E27FC236}">
              <a16:creationId xmlns:a16="http://schemas.microsoft.com/office/drawing/2014/main" id="{F1A43F45-890C-F5F6-7CD3-242D32FA3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981166</xdr:colOff>
      <xdr:row>29</xdr:row>
      <xdr:rowOff>42454</xdr:rowOff>
    </xdr:from>
    <xdr:to>
      <xdr:col>11</xdr:col>
      <xdr:colOff>658585</xdr:colOff>
      <xdr:row>41</xdr:row>
      <xdr:rowOff>127000</xdr:rowOff>
    </xdr:to>
    <xdr:graphicFrame macro="">
      <xdr:nvGraphicFramePr>
        <xdr:cNvPr id="17" name="cht_Summary_Disposable_Pay">
          <a:extLst>
            <a:ext uri="{FF2B5EF4-FFF2-40B4-BE49-F238E27FC236}">
              <a16:creationId xmlns:a16="http://schemas.microsoft.com/office/drawing/2014/main" id="{F048FFDA-18A6-4913-0345-ED9836B4F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t_Retirement_Balance">
          <a:extLst>
            <a:ext uri="{FF2B5EF4-FFF2-40B4-BE49-F238E27FC236}">
              <a16:creationId xmlns:a16="http://schemas.microsoft.com/office/drawing/2014/main" id="{FAF9EE81-6210-1CA9-0E5C-6CAA4C7CC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3" name="cht_Retirement_Contribution_Growth">
          <a:extLst>
            <a:ext uri="{FF2B5EF4-FFF2-40B4-BE49-F238E27FC236}">
              <a16:creationId xmlns:a16="http://schemas.microsoft.com/office/drawing/2014/main" id="{8957B49C-1B69-AD23-BA89-6342C597C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18</xdr:col>
      <xdr:colOff>0</xdr:colOff>
      <xdr:row>49</xdr:row>
      <xdr:rowOff>0</xdr:rowOff>
    </xdr:to>
    <xdr:graphicFrame macro="">
      <xdr:nvGraphicFramePr>
        <xdr:cNvPr id="4" name="cht_GrowthMultiple_ByVintage">
          <a:extLst>
            <a:ext uri="{FF2B5EF4-FFF2-40B4-BE49-F238E27FC236}">
              <a16:creationId xmlns:a16="http://schemas.microsoft.com/office/drawing/2014/main" id="{A63A25D4-69B1-EFC5-F717-2EBEDDAF2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18</xdr:col>
      <xdr:colOff>0</xdr:colOff>
      <xdr:row>64</xdr:row>
      <xdr:rowOff>0</xdr:rowOff>
    </xdr:to>
    <xdr:graphicFrame macro="">
      <xdr:nvGraphicFramePr>
        <xdr:cNvPr id="5" name="cht_TerminalValue_ByVintage">
          <a:extLst>
            <a:ext uri="{FF2B5EF4-FFF2-40B4-BE49-F238E27FC236}">
              <a16:creationId xmlns:a16="http://schemas.microsoft.com/office/drawing/2014/main" id="{A2F0BCBB-8B8D-5347-C2A8-7E8E85098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5</xdr:row>
      <xdr:rowOff>0</xdr:rowOff>
    </xdr:from>
    <xdr:to>
      <xdr:col>21</xdr:col>
      <xdr:colOff>410788</xdr:colOff>
      <xdr:row>22</xdr:row>
      <xdr:rowOff>0</xdr:rowOff>
    </xdr:to>
    <xdr:graphicFrame macro="">
      <xdr:nvGraphicFramePr>
        <xdr:cNvPr id="2" name="cht_CashFlow_Disposable_Pay">
          <a:extLst>
            <a:ext uri="{FF2B5EF4-FFF2-40B4-BE49-F238E27FC236}">
              <a16:creationId xmlns:a16="http://schemas.microsoft.com/office/drawing/2014/main" id="{5734533C-1045-95F3-795A-221519BA7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510540</xdr:colOff>
      <xdr:row>34</xdr:row>
      <xdr:rowOff>0</xdr:rowOff>
    </xdr:from>
    <xdr:to>
      <xdr:col>25</xdr:col>
      <xdr:colOff>434340</xdr:colOff>
      <xdr:row>53</xdr:row>
      <xdr:rowOff>0</xdr:rowOff>
    </xdr:to>
    <xdr:graphicFrame macro="">
      <xdr:nvGraphicFramePr>
        <xdr:cNvPr id="3" name="cht_CashFlow_Tax_Allocation">
          <a:extLst>
            <a:ext uri="{FF2B5EF4-FFF2-40B4-BE49-F238E27FC236}">
              <a16:creationId xmlns:a16="http://schemas.microsoft.com/office/drawing/2014/main" id="{5D99AE10-88ED-25DC-35AC-38B108978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510540</xdr:colOff>
      <xdr:row>55</xdr:row>
      <xdr:rowOff>0</xdr:rowOff>
    </xdr:from>
    <xdr:to>
      <xdr:col>22</xdr:col>
      <xdr:colOff>327660</xdr:colOff>
      <xdr:row>73</xdr:row>
      <xdr:rowOff>0</xdr:rowOff>
    </xdr:to>
    <xdr:graphicFrame macro="">
      <xdr:nvGraphicFramePr>
        <xdr:cNvPr id="6" name="cht_CashFlow_Lifetime_Income_Allocation">
          <a:extLst>
            <a:ext uri="{FF2B5EF4-FFF2-40B4-BE49-F238E27FC236}">
              <a16:creationId xmlns:a16="http://schemas.microsoft.com/office/drawing/2014/main" id="{B6910742-047A-63B0-D728-AB0B8FEFD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ven Ferstenfeld" id="{4DDC7519-509F-495E-A95F-0077A03ABDA2}" userId="S::snf22@fsu.edu::bb3b3334-abe1-447f-92a3-be52071631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7-30T02:14:01.76" personId="{4DDC7519-509F-495E-A95F-0077A03ABDA2}" id="{A44BB228-B7D6-4834-8CD0-3B92508DB31C}">
    <text>Year 0 is the first modeled contribution year. With a zero-year delay, the modeled maximum contribution is included immediately. Actual contribution: 0 during the contribution-delay period; afterward equals the total maximum modeled contribution, including catch-up only when age is at least 50.</text>
  </threadedComment>
  <threadedComment ref="E1" dT="2026-07-30T02:47:46.96" personId="{4DDC7519-509F-495E-A95F-0077A03ABDA2}" id="{BB302F35-79B5-4F7C-A15D-E6E5A477D25F}">
    <text>Flags each year Direct vs Backdoor based on whether modeled salary is within the Roth MAGI phase-out band for the active filing status. Modeled income crosses the phase-out ceiling in year 11 under current assumptions; from that year onward, the contribution amount is unchanged but is made via the backdoor Roth mechanism (non-deductible traditional IRA contribution, then conversion) since direct contributions are not permitted above the MAGI ceiling.</text>
  </threadedComment>
  <threadedComment ref="L1" dT="2026-07-30T02:14:01.80" personId="{4DDC7519-509F-495E-A95F-0077A03ABDA2}" id="{138CF396-3869-450E-AE09-9F95AE13712A}">
    <text>End timing: Beg. Balance × (1 + return) + Contribution. Beginning timing: (Beg. Balance + Contribution) × (1 + return).</text>
  </threadedComment>
  <threadedComment ref="M1" dT="2026-07-30T02:14:01.80" personId="{4DDC7519-509F-495E-A95F-0077A03ABDA2}" id="{6F769EE5-751F-4CD6-AAC0-1489176C5065}">
    <text>Inflation Index: (1 + inflation)^Year.</text>
  </threadedComment>
  <threadedComment ref="N1" dT="2026-07-30T02:14:01.81" personId="{4DDC7519-509F-495E-A95F-0077A03ABDA2}" id="{9BB8721C-5FB0-4B33-A810-81F2B2240E42}">
    <text>Real Balance: Nominal Ending Balance ÷ Inflation Index.</text>
  </threadedComment>
  <threadedComment ref="P1" dT="2026-07-30T02:14:01.82" personId="{4DDC7519-509F-495E-A95F-0077A03ABDA2}" id="{D6AA1911-2B03-4218-A3E0-B678F636EBB4}">
    <text>Cumulative Growth: Ending Balance − Beginning Balance − Contributions.</text>
  </threadedComment>
  <threadedComment ref="AB1" dT="2026-07-30T02:14:01.82" personId="{4DDC7519-509F-495E-A95F-0077A03ABDA2}" id="{027560E8-F7B7-44AE-826A-A5FB1719A44D}">
    <text>Federal taxable income = MAX(0, Gross Salary - modeled standard deduction). The 2026 standard deduction is the base value; future years use simplified C-CPI-U indexing and downward $50 rounding.</text>
  </threadedComment>
  <threadedComment ref="AC1" dT="2026-07-30T02:14:01.83" personId="{4DDC7519-509F-495E-A95F-0077A03ABDA2}" id="{64C1AD52-1558-4942-B165-C77F0902B8F7}">
    <text>Federal income tax is progressive. Each marginal rate applies only within the modeled bracket thresholds for that projection year.</text>
  </threadedComment>
  <threadedComment ref="AD1" dT="2026-07-30T02:14:01.84" personId="{4DDC7519-509F-495E-A95F-0077A03ABDA2}" id="{279ACEFF-F324-44EC-B49E-036A99BA24C2}">
    <text>Illustrative flat state income tax = federal taxable income × state rate when enabled.</text>
  </threadedComment>
  <threadedComment ref="AE1" dT="2026-07-30T02:14:01.84" personId="{4DDC7519-509F-495E-A95F-0077A03ABDA2}" id="{32BDB674-7BA2-4E2D-ABB8-487B111AACFC}">
    <text>Social Security tax = 6.2% of gross salary up to the wage cap.</text>
  </threadedComment>
  <threadedComment ref="AF1" dT="2026-07-30T02:14:01.85" personId="{4DDC7519-509F-495E-A95F-0077A03ABDA2}" id="{D53E6CF5-0807-468E-A328-D87F84655AB8}">
    <text>Medicare tax includes the base rate plus Additional Medicare Tax above the applicable filing-status threshold.</text>
  </threadedComment>
  <threadedComment ref="AI1" dT="2026-07-30T02:14:01.85" personId="{4DDC7519-509F-495E-A95F-0077A03ABDA2}" id="{790E4785-55BE-4EF7-954E-20F2744A2839}">
    <text>Take-home income = Gross Salary - Federal Tax - State Tax - Payroll Taxes.</text>
  </threadedComment>
  <threadedComment ref="AL1" dT="2026-07-30T02:14:01.86" personId="{4DDC7519-509F-495E-A95F-0077A03ABDA2}" id="{93784909-FB3A-4A2F-86DB-D20174C4F79A}">
    <text>Future tax thresholds and deductions are illustrative assumptions under simplified C-CPI-U indexing; they are not an IRS forecast.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5DA79EA-8E07-4391-8F79-E9DEF30AF746}">
  <we:reference id="WA200010215" version="1.0.0.0" store="Omex" storeType="OMEX"/>
  <we:alternateReferences>
    <we:reference id="WA200010215" version="1.0.0.0" store="WA200010215" storeType="OMEX"/>
  </we:alternateReferences>
  <we:properties>
    <we:property name="bps.codex_control.document_id" value="&quot;24774425-f4c5-4619-a2a0-43083e96b3a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573C974-B179-475A-85DD-AC76675BF21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e330459-4c93-4f81-95d4-9272c6a62ef4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263F918D-68B7-4327-BCCE-193A21DF716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5b0c7bf-1371-409a-b520-3acdb743b14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DB4E-7FEC-4B20-88B4-4EB6ACA16044}">
  <sheetPr>
    <tabColor rgb="FFA20000"/>
  </sheetPr>
  <dimension ref="A1:H40"/>
  <sheetViews>
    <sheetView showGridLines="0" workbookViewId="0">
      <selection activeCell="L12" sqref="L12"/>
    </sheetView>
  </sheetViews>
  <sheetFormatPr defaultRowHeight="12.75" x14ac:dyDescent="0.2"/>
  <cols>
    <col min="1" max="1" width="34.140625" bestFit="1" customWidth="1"/>
    <col min="2" max="2" width="50.5703125" bestFit="1" customWidth="1"/>
    <col min="3" max="3" width="38.85546875" bestFit="1" customWidth="1"/>
    <col min="4" max="8" width="3.28515625" customWidth="1"/>
  </cols>
  <sheetData>
    <row r="1" spans="1:8" ht="51" x14ac:dyDescent="0.5">
      <c r="A1" s="87" t="s">
        <v>435</v>
      </c>
      <c r="B1" s="87"/>
      <c r="C1" s="87"/>
      <c r="D1" s="87"/>
      <c r="E1" s="87"/>
      <c r="F1" s="87"/>
      <c r="G1" s="87"/>
      <c r="H1" s="87"/>
    </row>
    <row r="2" spans="1:8" ht="31.5" x14ac:dyDescent="0.3">
      <c r="A2" s="85" t="s">
        <v>127</v>
      </c>
      <c r="B2" s="85"/>
      <c r="C2" s="85"/>
      <c r="D2" s="85"/>
      <c r="E2" s="85"/>
      <c r="F2" s="85"/>
      <c r="G2" s="85"/>
      <c r="H2" s="85"/>
    </row>
    <row r="3" spans="1:8" ht="15.75" x14ac:dyDescent="0.3">
      <c r="A3" s="85"/>
      <c r="B3" s="85"/>
      <c r="C3" s="85"/>
      <c r="D3" s="85"/>
      <c r="E3" s="85"/>
      <c r="F3" s="85"/>
      <c r="G3" s="85"/>
      <c r="H3" s="85"/>
    </row>
    <row r="4" spans="1:8" ht="15.75" x14ac:dyDescent="0.3">
      <c r="A4" s="88" t="s">
        <v>95</v>
      </c>
      <c r="B4" s="88"/>
      <c r="C4" s="88"/>
      <c r="D4" s="88"/>
      <c r="E4" s="88"/>
      <c r="F4" s="88"/>
      <c r="G4" s="88"/>
      <c r="H4" s="88"/>
    </row>
    <row r="5" spans="1:8" ht="63" x14ac:dyDescent="0.3">
      <c r="A5" s="85" t="s">
        <v>436</v>
      </c>
      <c r="B5" s="85"/>
      <c r="C5" s="85"/>
      <c r="D5" s="85"/>
      <c r="E5" s="85"/>
      <c r="F5" s="85"/>
      <c r="G5" s="85"/>
      <c r="H5" s="85"/>
    </row>
    <row r="6" spans="1:8" ht="15.75" x14ac:dyDescent="0.3">
      <c r="A6" s="85"/>
      <c r="B6" s="85"/>
      <c r="C6" s="85"/>
      <c r="D6" s="85"/>
      <c r="E6" s="85"/>
      <c r="F6" s="85"/>
      <c r="G6" s="85"/>
      <c r="H6" s="85"/>
    </row>
    <row r="7" spans="1:8" ht="15.75" x14ac:dyDescent="0.3">
      <c r="A7" s="88" t="s">
        <v>128</v>
      </c>
      <c r="B7" s="88"/>
      <c r="C7" s="88"/>
      <c r="D7" s="88"/>
      <c r="E7" s="88"/>
      <c r="F7" s="88"/>
      <c r="G7" s="88"/>
      <c r="H7" s="88"/>
    </row>
    <row r="8" spans="1:8" ht="31.5" x14ac:dyDescent="0.3">
      <c r="A8" s="85" t="s">
        <v>465</v>
      </c>
      <c r="B8" s="85"/>
      <c r="C8" s="85"/>
      <c r="D8" s="85"/>
      <c r="E8" s="85"/>
      <c r="F8" s="85"/>
      <c r="G8" s="85"/>
      <c r="H8" s="85"/>
    </row>
    <row r="9" spans="1:8" ht="31.5" x14ac:dyDescent="0.3">
      <c r="A9" s="85" t="s">
        <v>129</v>
      </c>
      <c r="B9" s="85"/>
      <c r="C9" s="85"/>
      <c r="D9" s="85"/>
      <c r="E9" s="85"/>
      <c r="F9" s="85"/>
      <c r="G9" s="85"/>
      <c r="H9" s="85"/>
    </row>
    <row r="10" spans="1:8" ht="31.5" x14ac:dyDescent="0.3">
      <c r="A10" s="85" t="s">
        <v>130</v>
      </c>
      <c r="B10" s="85"/>
      <c r="C10" s="85"/>
      <c r="D10" s="85"/>
      <c r="E10" s="85"/>
      <c r="F10" s="85"/>
      <c r="G10" s="85"/>
      <c r="H10" s="85"/>
    </row>
    <row r="11" spans="1:8" ht="47.25" x14ac:dyDescent="0.3">
      <c r="A11" s="85" t="s">
        <v>131</v>
      </c>
      <c r="B11" s="85"/>
      <c r="C11" s="85"/>
      <c r="D11" s="85"/>
      <c r="E11" s="85"/>
      <c r="F11" s="85"/>
      <c r="G11" s="85"/>
      <c r="H11" s="85"/>
    </row>
    <row r="12" spans="1:8" ht="63" x14ac:dyDescent="0.3">
      <c r="A12" s="85" t="s">
        <v>437</v>
      </c>
      <c r="B12" s="85"/>
      <c r="C12" s="85"/>
      <c r="D12" s="85"/>
      <c r="E12" s="85"/>
      <c r="F12" s="85"/>
      <c r="G12" s="85"/>
      <c r="H12" s="85"/>
    </row>
    <row r="13" spans="1:8" ht="15.75" x14ac:dyDescent="0.3">
      <c r="A13" s="85"/>
      <c r="B13" s="85"/>
      <c r="C13" s="85"/>
      <c r="D13" s="85"/>
      <c r="E13" s="85"/>
      <c r="F13" s="85"/>
      <c r="G13" s="85"/>
      <c r="H13" s="85"/>
    </row>
    <row r="14" spans="1:8" ht="15.75" x14ac:dyDescent="0.3">
      <c r="A14" s="88" t="s">
        <v>132</v>
      </c>
      <c r="B14" s="88"/>
      <c r="C14" s="88"/>
      <c r="D14" s="88"/>
      <c r="E14" s="88"/>
      <c r="F14" s="88"/>
      <c r="G14" s="88"/>
      <c r="H14" s="88"/>
    </row>
    <row r="15" spans="1:8" ht="15.75" x14ac:dyDescent="0.3">
      <c r="A15" s="91" t="s">
        <v>133</v>
      </c>
      <c r="B15" s="91" t="s">
        <v>134</v>
      </c>
      <c r="C15" s="91" t="s">
        <v>135</v>
      </c>
      <c r="D15" s="90"/>
      <c r="E15" s="90"/>
      <c r="F15" s="90"/>
      <c r="G15" s="90"/>
      <c r="H15" s="90"/>
    </row>
    <row r="16" spans="1:8" ht="15.75" x14ac:dyDescent="0.3">
      <c r="A16" s="85" t="s">
        <v>96</v>
      </c>
      <c r="B16" s="85" t="s">
        <v>136</v>
      </c>
      <c r="C16" s="85" t="s">
        <v>466</v>
      </c>
      <c r="D16" s="85"/>
      <c r="E16" s="85"/>
      <c r="F16" s="85"/>
      <c r="G16" s="85"/>
      <c r="H16" s="85"/>
    </row>
    <row r="17" spans="1:8" ht="15.75" x14ac:dyDescent="0.3">
      <c r="A17" s="85" t="s">
        <v>97</v>
      </c>
      <c r="B17" s="85" t="s">
        <v>137</v>
      </c>
      <c r="C17" s="85" t="s">
        <v>138</v>
      </c>
      <c r="D17" s="85"/>
      <c r="E17" s="85"/>
      <c r="F17" s="85"/>
      <c r="G17" s="85"/>
      <c r="H17" s="85"/>
    </row>
    <row r="18" spans="1:8" ht="15.75" x14ac:dyDescent="0.3">
      <c r="A18" s="85" t="s">
        <v>98</v>
      </c>
      <c r="B18" s="85" t="s">
        <v>139</v>
      </c>
      <c r="C18" s="85" t="s">
        <v>139</v>
      </c>
      <c r="D18" s="85"/>
      <c r="E18" s="85"/>
      <c r="F18" s="85"/>
      <c r="G18" s="85"/>
      <c r="H18" s="85"/>
    </row>
    <row r="19" spans="1:8" ht="31.5" x14ac:dyDescent="0.3">
      <c r="A19" s="85" t="s">
        <v>159</v>
      </c>
      <c r="B19" s="85" t="s">
        <v>160</v>
      </c>
      <c r="C19" s="85" t="s">
        <v>161</v>
      </c>
      <c r="D19" s="85"/>
      <c r="E19" s="85"/>
      <c r="F19" s="85"/>
      <c r="G19" s="85"/>
      <c r="H19" s="85"/>
    </row>
    <row r="20" spans="1:8" ht="15.75" x14ac:dyDescent="0.3">
      <c r="A20" s="85" t="s">
        <v>87</v>
      </c>
      <c r="B20" s="85" t="s">
        <v>162</v>
      </c>
      <c r="C20" s="85" t="s">
        <v>163</v>
      </c>
      <c r="D20" s="85"/>
      <c r="E20" s="85"/>
      <c r="F20" s="85"/>
      <c r="G20" s="85"/>
      <c r="H20" s="85"/>
    </row>
    <row r="21" spans="1:8" ht="15.75" x14ac:dyDescent="0.3">
      <c r="A21" s="88" t="s">
        <v>140</v>
      </c>
      <c r="B21" s="88"/>
      <c r="C21" s="88"/>
      <c r="D21" s="88"/>
      <c r="E21" s="88"/>
      <c r="F21" s="88"/>
      <c r="G21" s="88"/>
      <c r="H21" s="88"/>
    </row>
    <row r="22" spans="1:8" ht="15.75" x14ac:dyDescent="0.3">
      <c r="A22" s="89" t="s">
        <v>141</v>
      </c>
      <c r="B22" s="89" t="s">
        <v>142</v>
      </c>
      <c r="C22" s="89" t="s">
        <v>134</v>
      </c>
      <c r="D22" s="90"/>
      <c r="E22" s="90"/>
      <c r="F22" s="90"/>
      <c r="G22" s="90"/>
      <c r="H22" s="90"/>
    </row>
    <row r="23" spans="1:8" ht="15.75" x14ac:dyDescent="0.3">
      <c r="A23" s="85" t="s">
        <v>99</v>
      </c>
      <c r="B23" s="85" t="s">
        <v>143</v>
      </c>
      <c r="C23" s="85" t="s">
        <v>144</v>
      </c>
      <c r="D23" s="85"/>
      <c r="E23" s="85"/>
      <c r="F23" s="85"/>
      <c r="G23" s="85"/>
      <c r="H23" s="85"/>
    </row>
    <row r="24" spans="1:8" ht="15.75" x14ac:dyDescent="0.3">
      <c r="A24" s="85" t="s">
        <v>100</v>
      </c>
      <c r="B24" s="85" t="s">
        <v>145</v>
      </c>
      <c r="C24" s="85" t="s">
        <v>146</v>
      </c>
      <c r="D24" s="85"/>
      <c r="E24" s="85"/>
      <c r="F24" s="85"/>
      <c r="G24" s="85"/>
      <c r="H24" s="85"/>
    </row>
    <row r="25" spans="1:8" ht="15.75" x14ac:dyDescent="0.3">
      <c r="A25" s="85" t="s">
        <v>101</v>
      </c>
      <c r="B25" s="85" t="s">
        <v>102</v>
      </c>
      <c r="C25" s="85" t="s">
        <v>103</v>
      </c>
      <c r="D25" s="85"/>
      <c r="E25" s="85"/>
      <c r="F25" s="85"/>
      <c r="G25" s="85"/>
      <c r="H25" s="85"/>
    </row>
    <row r="26" spans="1:8" ht="31.5" x14ac:dyDescent="0.3">
      <c r="A26" s="85" t="s">
        <v>104</v>
      </c>
      <c r="B26" s="85" t="s">
        <v>105</v>
      </c>
      <c r="C26" s="85" t="s">
        <v>106</v>
      </c>
      <c r="D26" s="85"/>
      <c r="E26" s="85"/>
      <c r="F26" s="85"/>
      <c r="G26" s="85"/>
      <c r="H26" s="85"/>
    </row>
    <row r="27" spans="1:8" ht="15.75" x14ac:dyDescent="0.3">
      <c r="A27" s="85"/>
      <c r="B27" s="85"/>
      <c r="C27" s="85"/>
      <c r="D27" s="85"/>
      <c r="E27" s="85"/>
      <c r="F27" s="85"/>
      <c r="G27" s="85"/>
      <c r="H27" s="85"/>
    </row>
    <row r="28" spans="1:8" ht="15.75" x14ac:dyDescent="0.3">
      <c r="A28" s="88" t="s">
        <v>107</v>
      </c>
      <c r="B28" s="88"/>
      <c r="C28" s="88"/>
      <c r="D28" s="88"/>
      <c r="E28" s="88"/>
      <c r="F28" s="88"/>
      <c r="G28" s="88"/>
      <c r="H28" s="88"/>
    </row>
    <row r="29" spans="1:8" ht="47.25" x14ac:dyDescent="0.3">
      <c r="A29" s="85" t="s">
        <v>108</v>
      </c>
      <c r="B29" s="85"/>
      <c r="C29" s="85"/>
      <c r="D29" s="85"/>
      <c r="E29" s="85"/>
      <c r="F29" s="85"/>
      <c r="G29" s="85"/>
      <c r="H29" s="85"/>
    </row>
    <row r="30" spans="1:8" ht="110.25" x14ac:dyDescent="0.3">
      <c r="A30" s="85" t="s">
        <v>193</v>
      </c>
      <c r="B30" s="85"/>
      <c r="C30" s="85"/>
      <c r="D30" s="85"/>
      <c r="E30" s="85"/>
      <c r="F30" s="85"/>
      <c r="G30" s="85"/>
      <c r="H30" s="85"/>
    </row>
    <row r="31" spans="1:8" ht="78.75" x14ac:dyDescent="0.3">
      <c r="A31" s="85" t="s">
        <v>194</v>
      </c>
      <c r="B31" s="85"/>
      <c r="C31" s="85" t="s">
        <v>2</v>
      </c>
      <c r="D31" s="85"/>
      <c r="E31" s="85"/>
      <c r="F31" s="85"/>
      <c r="G31" s="85"/>
      <c r="H31" s="85"/>
    </row>
    <row r="32" spans="1:8" ht="31.5" x14ac:dyDescent="0.3">
      <c r="A32" s="85" t="s">
        <v>109</v>
      </c>
      <c r="B32" s="85"/>
      <c r="C32" s="85"/>
      <c r="D32" s="85"/>
      <c r="E32" s="85"/>
      <c r="F32" s="85"/>
      <c r="G32" s="85"/>
      <c r="H32" s="85"/>
    </row>
    <row r="33" spans="1:8" ht="78.75" x14ac:dyDescent="0.3">
      <c r="A33" s="85" t="s">
        <v>195</v>
      </c>
      <c r="B33" s="85"/>
      <c r="C33" s="85"/>
      <c r="D33" s="85"/>
      <c r="E33" s="85"/>
      <c r="F33" s="85"/>
      <c r="G33" s="85"/>
      <c r="H33" s="85"/>
    </row>
    <row r="34" spans="1:8" ht="15.75" x14ac:dyDescent="0.3">
      <c r="A34" s="6"/>
      <c r="B34" s="86"/>
      <c r="C34" s="86"/>
      <c r="D34" s="86"/>
      <c r="E34" s="86"/>
      <c r="F34" s="86"/>
      <c r="G34" s="86"/>
      <c r="H34" s="86"/>
    </row>
    <row r="35" spans="1:8" ht="15.75" x14ac:dyDescent="0.3">
      <c r="A35" s="6"/>
      <c r="B35" s="85"/>
      <c r="C35" s="85"/>
      <c r="D35" s="85"/>
      <c r="E35" s="85"/>
      <c r="F35" s="85"/>
      <c r="G35" s="85"/>
      <c r="H35" s="85"/>
    </row>
    <row r="36" spans="1:8" ht="14.25" x14ac:dyDescent="0.25">
      <c r="A36" s="6"/>
      <c r="B36" s="6"/>
      <c r="C36" s="6"/>
      <c r="D36" s="6"/>
      <c r="E36" s="6"/>
      <c r="F36" s="6"/>
      <c r="G36" s="6"/>
      <c r="H36" s="6"/>
    </row>
    <row r="37" spans="1:8" ht="15.75" x14ac:dyDescent="0.3">
      <c r="A37" s="85" t="s">
        <v>272</v>
      </c>
      <c r="B37" s="6"/>
      <c r="C37" s="6"/>
      <c r="D37" s="6"/>
      <c r="E37" s="6"/>
      <c r="F37" s="6"/>
      <c r="G37" s="6"/>
      <c r="H37" s="6"/>
    </row>
    <row r="38" spans="1:8" ht="78.75" x14ac:dyDescent="0.3">
      <c r="A38" s="85" t="s">
        <v>278</v>
      </c>
      <c r="B38" s="6"/>
      <c r="C38" s="6"/>
      <c r="D38" s="6"/>
      <c r="E38" s="6"/>
      <c r="F38" s="6"/>
      <c r="G38" s="6"/>
      <c r="H38" s="6"/>
    </row>
    <row r="39" spans="1:8" ht="63" x14ac:dyDescent="0.3">
      <c r="A39" s="85" t="s">
        <v>279</v>
      </c>
      <c r="B39" s="6"/>
      <c r="C39" s="6"/>
      <c r="D39" s="6"/>
      <c r="E39" s="6"/>
      <c r="F39" s="6"/>
      <c r="G39" s="6"/>
      <c r="H39" s="6"/>
    </row>
    <row r="40" spans="1:8" ht="78.75" x14ac:dyDescent="0.3">
      <c r="A40" s="85" t="s">
        <v>280</v>
      </c>
      <c r="B40" s="6"/>
      <c r="C40" s="6"/>
      <c r="D40" s="6"/>
      <c r="E40" s="6"/>
      <c r="F40" s="6"/>
      <c r="G40" s="6"/>
      <c r="H4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810B-70D9-433B-98DD-F47E8A9C1067}">
  <sheetPr>
    <tabColor rgb="FFA20000"/>
  </sheetPr>
  <dimension ref="A1:E49"/>
  <sheetViews>
    <sheetView showGridLines="0" showRowColHeaders="0" tabSelected="1" zoomScale="115" zoomScaleNormal="115" workbookViewId="0">
      <selection activeCell="C20" sqref="C20"/>
    </sheetView>
  </sheetViews>
  <sheetFormatPr defaultRowHeight="12.75" x14ac:dyDescent="0.2"/>
  <cols>
    <col min="1" max="1" width="3.28515625" style="208" customWidth="1"/>
    <col min="2" max="2" width="102.140625" bestFit="1" customWidth="1"/>
    <col min="3" max="3" width="20.7109375" bestFit="1" customWidth="1"/>
    <col min="4" max="4" width="59.28515625" customWidth="1"/>
    <col min="5" max="5" width="34.140625" bestFit="1" customWidth="1"/>
  </cols>
  <sheetData>
    <row r="1" spans="2:5" x14ac:dyDescent="0.2">
      <c r="B1" s="208"/>
      <c r="C1" s="208"/>
      <c r="D1" s="208"/>
      <c r="E1" s="208"/>
    </row>
    <row r="2" spans="2:5" ht="23.25" x14ac:dyDescent="0.2">
      <c r="B2" s="149" t="s">
        <v>438</v>
      </c>
      <c r="C2" s="149"/>
      <c r="D2" s="149"/>
      <c r="E2" s="149"/>
    </row>
    <row r="3" spans="2:5" x14ac:dyDescent="0.2">
      <c r="B3" s="198" t="s">
        <v>126</v>
      </c>
      <c r="C3" s="150"/>
      <c r="D3" s="199"/>
      <c r="E3" s="151"/>
    </row>
    <row r="4" spans="2:5" ht="15" x14ac:dyDescent="0.2">
      <c r="B4" s="152"/>
      <c r="C4" s="152"/>
      <c r="D4" s="204"/>
      <c r="E4" s="151"/>
    </row>
    <row r="5" spans="2:5" ht="15" x14ac:dyDescent="0.2">
      <c r="B5" s="153" t="s">
        <v>439</v>
      </c>
      <c r="C5" s="154"/>
      <c r="D5" s="155"/>
      <c r="E5" s="156"/>
    </row>
    <row r="6" spans="2:5" ht="14.25" x14ac:dyDescent="0.2">
      <c r="B6" s="194" t="s">
        <v>110</v>
      </c>
      <c r="C6" s="157">
        <v>22</v>
      </c>
      <c r="D6" s="205" t="s">
        <v>69</v>
      </c>
      <c r="E6" s="158"/>
    </row>
    <row r="7" spans="2:5" ht="14.25" x14ac:dyDescent="0.2">
      <c r="B7" s="194" t="s">
        <v>111</v>
      </c>
      <c r="C7" s="159">
        <v>65</v>
      </c>
      <c r="D7" s="205" t="s">
        <v>69</v>
      </c>
      <c r="E7" s="158"/>
    </row>
    <row r="8" spans="2:5" ht="14.25" x14ac:dyDescent="0.2">
      <c r="B8" s="194" t="s">
        <v>440</v>
      </c>
      <c r="C8" s="160">
        <v>0</v>
      </c>
      <c r="D8" s="209" t="s">
        <v>70</v>
      </c>
      <c r="E8" s="158"/>
    </row>
    <row r="9" spans="2:5" ht="15" x14ac:dyDescent="0.2">
      <c r="B9" s="210" t="s">
        <v>441</v>
      </c>
      <c r="C9" s="211" t="s">
        <v>352</v>
      </c>
      <c r="D9" s="212" t="str">
        <f>IF($C$39="On","Ignored while advanced trading-day contributions are On","Annual, Semiannual, Quarterly, Monthly, Biweekly, or Weekly")</f>
        <v>Annual, Semiannual, Quarterly, Monthly, Biweekly, or Weekly</v>
      </c>
      <c r="E9" s="213"/>
    </row>
    <row r="10" spans="2:5" ht="14.25" x14ac:dyDescent="0.2">
      <c r="B10" s="194" t="s">
        <v>112</v>
      </c>
      <c r="C10" s="167">
        <v>0.1</v>
      </c>
      <c r="D10" s="205" t="s">
        <v>72</v>
      </c>
      <c r="E10" s="158"/>
    </row>
    <row r="11" spans="2:5" ht="14.25" x14ac:dyDescent="0.2">
      <c r="B11" s="194" t="s">
        <v>113</v>
      </c>
      <c r="C11" s="167">
        <v>0.06</v>
      </c>
      <c r="D11" s="205" t="s">
        <v>73</v>
      </c>
      <c r="E11" s="158"/>
    </row>
    <row r="12" spans="2:5" ht="14.25" x14ac:dyDescent="0.2">
      <c r="B12" s="194" t="s">
        <v>114</v>
      </c>
      <c r="C12" s="168" t="s">
        <v>81</v>
      </c>
      <c r="D12" s="205" t="s">
        <v>83</v>
      </c>
      <c r="E12" s="158"/>
    </row>
    <row r="13" spans="2:5" ht="14.25" x14ac:dyDescent="0.2">
      <c r="B13" s="194" t="s">
        <v>115</v>
      </c>
      <c r="C13" s="169">
        <v>0</v>
      </c>
      <c r="D13" s="205" t="s">
        <v>256</v>
      </c>
      <c r="E13" s="158"/>
    </row>
    <row r="14" spans="2:5" ht="15" x14ac:dyDescent="0.2">
      <c r="B14" s="170" t="s">
        <v>285</v>
      </c>
      <c r="C14" s="171"/>
      <c r="D14" s="164"/>
      <c r="E14" s="156"/>
    </row>
    <row r="15" spans="2:5" ht="14.25" x14ac:dyDescent="0.2">
      <c r="B15" s="194" t="s">
        <v>119</v>
      </c>
      <c r="C15" s="172">
        <v>0.03</v>
      </c>
      <c r="D15" s="205" t="s">
        <v>71</v>
      </c>
      <c r="E15" s="158"/>
    </row>
    <row r="16" spans="2:5" ht="14.25" x14ac:dyDescent="0.2">
      <c r="B16" s="194" t="s">
        <v>120</v>
      </c>
      <c r="C16" s="160">
        <v>70000</v>
      </c>
      <c r="D16" s="205" t="s">
        <v>84</v>
      </c>
      <c r="E16" s="158"/>
    </row>
    <row r="17" spans="2:5" ht="14.25" x14ac:dyDescent="0.2">
      <c r="B17" s="196" t="s">
        <v>361</v>
      </c>
      <c r="C17" s="173" t="s">
        <v>167</v>
      </c>
      <c r="D17" s="207" t="s">
        <v>117</v>
      </c>
      <c r="E17" s="174"/>
    </row>
    <row r="18" spans="2:5" ht="14.25" x14ac:dyDescent="0.2">
      <c r="B18" s="194" t="s">
        <v>362</v>
      </c>
      <c r="C18" s="160">
        <v>275000</v>
      </c>
      <c r="D18" s="205" t="s">
        <v>363</v>
      </c>
      <c r="E18" s="158" t="str">
        <f>IF($C$17="Yes","Active","Ignored while cap is No")</f>
        <v>Ignored while cap is No</v>
      </c>
    </row>
    <row r="19" spans="2:5" ht="25.5" x14ac:dyDescent="0.2">
      <c r="B19" s="194" t="s">
        <v>164</v>
      </c>
      <c r="C19" s="160" t="s">
        <v>165</v>
      </c>
      <c r="D19" s="200" t="s">
        <v>351</v>
      </c>
      <c r="E19" s="175"/>
    </row>
    <row r="20" spans="2:5" ht="14.25" x14ac:dyDescent="0.2">
      <c r="B20" s="194" t="s">
        <v>173</v>
      </c>
      <c r="C20" s="176" t="s">
        <v>167</v>
      </c>
      <c r="D20" s="201" t="s">
        <v>174</v>
      </c>
      <c r="E20" s="175"/>
    </row>
    <row r="21" spans="2:5" ht="14.25" x14ac:dyDescent="0.2">
      <c r="B21" s="195" t="s">
        <v>175</v>
      </c>
      <c r="C21" s="177">
        <v>0</v>
      </c>
      <c r="D21" s="202" t="s">
        <v>176</v>
      </c>
      <c r="E21" s="178"/>
    </row>
    <row r="22" spans="2:5" x14ac:dyDescent="0.2">
      <c r="B22" s="179" t="s">
        <v>177</v>
      </c>
      <c r="C22" s="180"/>
      <c r="D22" s="201"/>
      <c r="E22" s="180"/>
    </row>
    <row r="23" spans="2:5" x14ac:dyDescent="0.2">
      <c r="B23" s="181"/>
      <c r="C23" s="181"/>
      <c r="D23" s="201"/>
      <c r="E23" s="181"/>
    </row>
    <row r="24" spans="2:5" x14ac:dyDescent="0.2">
      <c r="B24" s="181"/>
      <c r="C24" s="181"/>
      <c r="D24" s="201"/>
      <c r="E24" s="181"/>
    </row>
    <row r="25" spans="2:5" ht="15" x14ac:dyDescent="0.2">
      <c r="B25" s="182" t="s">
        <v>281</v>
      </c>
      <c r="C25" s="154"/>
      <c r="D25" s="183"/>
      <c r="E25" s="184"/>
    </row>
    <row r="26" spans="2:5" ht="15" x14ac:dyDescent="0.2">
      <c r="B26" s="153" t="s">
        <v>286</v>
      </c>
      <c r="C26" s="154"/>
      <c r="D26" s="164"/>
      <c r="E26" s="156"/>
    </row>
    <row r="27" spans="2:5" ht="14.25" x14ac:dyDescent="0.2">
      <c r="B27" s="194" t="s">
        <v>116</v>
      </c>
      <c r="C27" s="185" t="s">
        <v>350</v>
      </c>
      <c r="D27" s="205" t="s">
        <v>117</v>
      </c>
      <c r="E27" s="158" t="s">
        <v>118</v>
      </c>
    </row>
    <row r="28" spans="2:5" ht="14.25" x14ac:dyDescent="0.2">
      <c r="B28" s="194" t="s">
        <v>338</v>
      </c>
      <c r="C28" s="168" t="s">
        <v>468</v>
      </c>
      <c r="D28" s="205" t="s">
        <v>339</v>
      </c>
      <c r="E28" s="158" t="str">
        <f>IF($C$27="Yes","Active","Ignored while Actuary Mode is No")</f>
        <v>Active</v>
      </c>
    </row>
    <row r="29" spans="2:5" x14ac:dyDescent="0.2">
      <c r="B29" s="186" t="s">
        <v>349</v>
      </c>
      <c r="C29" s="187"/>
      <c r="D29" s="203"/>
      <c r="E29" s="188"/>
    </row>
    <row r="30" spans="2:5" ht="14.25" x14ac:dyDescent="0.2">
      <c r="B30" s="194" t="s">
        <v>340</v>
      </c>
      <c r="C30" s="159">
        <v>3</v>
      </c>
      <c r="D30" s="205" t="s">
        <v>341</v>
      </c>
      <c r="E30" s="158" t="str">
        <f>IF($C$27&lt;&gt;"Yes","Ignored while Actuary Mode is No",IF($C$28="FSA / FCAS","Already reflected in starting salary","Active"))</f>
        <v>Active</v>
      </c>
    </row>
    <row r="31" spans="2:5" ht="14.25" x14ac:dyDescent="0.2">
      <c r="B31" s="194" t="s">
        <v>121</v>
      </c>
      <c r="C31" s="160">
        <v>3000</v>
      </c>
      <c r="D31" s="205" t="s">
        <v>85</v>
      </c>
      <c r="E31" s="158" t="str">
        <f>IF($C$27&lt;&gt;"Yes","Ignored while Actuary Mode is No",IF($C$28="FSA / FCAS","Already reflected in starting salary","Active"))</f>
        <v>Active</v>
      </c>
    </row>
    <row r="32" spans="2:5" ht="14.25" x14ac:dyDescent="0.2">
      <c r="B32" s="194" t="s">
        <v>122</v>
      </c>
      <c r="C32" s="160">
        <v>15000</v>
      </c>
      <c r="D32" s="205" t="s">
        <v>86</v>
      </c>
      <c r="E32" s="158" t="str">
        <f>IF($C$27&lt;&gt;"Yes","Ignored while Actuary Mode is No",IF(OR($C$28="ASA / ACAS",$C$28="FSA / FCAS"),"Already reflected in starting salary","Active"))</f>
        <v>Already reflected in starting salary</v>
      </c>
    </row>
    <row r="33" spans="2:5" ht="14.25" x14ac:dyDescent="0.2">
      <c r="B33" s="194" t="s">
        <v>123</v>
      </c>
      <c r="C33" s="159">
        <v>5</v>
      </c>
      <c r="D33" s="205" t="s">
        <v>343</v>
      </c>
      <c r="E33" s="158" t="str">
        <f>IF($C$27&lt;&gt;"Yes","Ignored while Actuary Mode is No",IF(OR($C$28="ASA / ACAS",$C$28="FSA / FCAS"),"Already reflected in starting salary","Active"))</f>
        <v>Already reflected in starting salary</v>
      </c>
    </row>
    <row r="34" spans="2:5" ht="14.25" x14ac:dyDescent="0.2">
      <c r="B34" s="194" t="s">
        <v>124</v>
      </c>
      <c r="C34" s="160">
        <v>15000</v>
      </c>
      <c r="D34" s="205" t="s">
        <v>86</v>
      </c>
      <c r="E34" s="158" t="str">
        <f>IF($C$27&lt;&gt;"Yes","Ignored while Actuary Mode is No",IF($C$28="FSA / FCAS","Already reflected in starting salary","Active"))</f>
        <v>Active</v>
      </c>
    </row>
    <row r="35" spans="2:5" ht="14.25" x14ac:dyDescent="0.2">
      <c r="B35" s="194" t="s">
        <v>342</v>
      </c>
      <c r="C35" s="159">
        <v>4</v>
      </c>
      <c r="D35" s="205" t="s">
        <v>343</v>
      </c>
      <c r="E35" s="158" t="str">
        <f>IF($C$27&lt;&gt;"Yes","Ignored while Actuary Mode is No",IF($C$28="FSA / FCAS","Already reflected in starting salary","Active"))</f>
        <v>Active</v>
      </c>
    </row>
    <row r="36" spans="2:5" ht="14.25" x14ac:dyDescent="0.2">
      <c r="B36" s="195" t="s">
        <v>345</v>
      </c>
      <c r="C36" s="169">
        <v>4</v>
      </c>
      <c r="D36" s="206" t="s">
        <v>346</v>
      </c>
      <c r="E36" s="163" t="str">
        <f>IF($C$27&lt;&gt;"Yes","Ignored while Actuary Mode is No",IF($C$28="FSA / FCAS","Already reflected in starting salary","Active"))</f>
        <v>Active</v>
      </c>
    </row>
    <row r="37" spans="2:5" ht="14.25" x14ac:dyDescent="0.2">
      <c r="B37" s="197" t="s">
        <v>347</v>
      </c>
      <c r="C37" s="189">
        <f>IF(C36=0,"—",C30/C36)</f>
        <v>0.75</v>
      </c>
      <c r="D37" s="205" t="s">
        <v>348</v>
      </c>
      <c r="E37" s="151" t="str">
        <f>IF($C$27&lt;&gt;"Yes","Ignored while Actuary Mode is No",IF($C$28="FSA / FCAS","Already reflected in starting salary","Calculated"))</f>
        <v>Calculated</v>
      </c>
    </row>
    <row r="38" spans="2:5" ht="15" x14ac:dyDescent="0.2">
      <c r="B38" s="153" t="s">
        <v>282</v>
      </c>
      <c r="C38" s="154"/>
      <c r="D38" s="164"/>
      <c r="E38" s="156"/>
    </row>
    <row r="39" spans="2:5" ht="15" x14ac:dyDescent="0.2">
      <c r="B39" s="194" t="s">
        <v>273</v>
      </c>
      <c r="C39" s="165" t="s">
        <v>320</v>
      </c>
      <c r="D39" s="205" t="s">
        <v>283</v>
      </c>
      <c r="E39" s="175"/>
    </row>
    <row r="40" spans="2:5" ht="15" x14ac:dyDescent="0.2">
      <c r="B40" s="194" t="s">
        <v>274</v>
      </c>
      <c r="C40" s="166">
        <v>18</v>
      </c>
      <c r="D40" s="205" t="s">
        <v>284</v>
      </c>
      <c r="E40" s="175"/>
    </row>
    <row r="41" spans="2:5" ht="15" x14ac:dyDescent="0.2">
      <c r="B41" s="194" t="s">
        <v>275</v>
      </c>
      <c r="C41" s="161" t="str">
        <f>IF(C39="On",252/C40,"")</f>
        <v/>
      </c>
      <c r="D41" s="205" t="s">
        <v>276</v>
      </c>
      <c r="E41" s="175"/>
    </row>
    <row r="42" spans="2:5" ht="25.5" x14ac:dyDescent="0.2">
      <c r="B42" s="194" t="s">
        <v>277</v>
      </c>
      <c r="C42" s="162" t="str">
        <f>IF(C39="On",IFERROR(ENGINE!J2/C41,0),"")</f>
        <v/>
      </c>
      <c r="D42" s="205" t="s">
        <v>448</v>
      </c>
      <c r="E42" s="175"/>
    </row>
    <row r="43" spans="2:5" ht="14.25" x14ac:dyDescent="0.2">
      <c r="B43" s="194" t="s">
        <v>166</v>
      </c>
      <c r="C43" s="176" t="s">
        <v>350</v>
      </c>
      <c r="D43" s="201" t="s">
        <v>168</v>
      </c>
      <c r="E43" s="175"/>
    </row>
    <row r="44" spans="2:5" ht="14.25" x14ac:dyDescent="0.2">
      <c r="B44" s="194" t="s">
        <v>169</v>
      </c>
      <c r="C44" s="176" t="s">
        <v>30</v>
      </c>
      <c r="D44" s="201" t="s">
        <v>170</v>
      </c>
      <c r="E44" s="175"/>
    </row>
    <row r="45" spans="2:5" ht="14.25" x14ac:dyDescent="0.2">
      <c r="B45" s="195" t="s">
        <v>171</v>
      </c>
      <c r="C45" s="190">
        <v>5</v>
      </c>
      <c r="D45" s="202" t="s">
        <v>172</v>
      </c>
      <c r="E45" s="178"/>
    </row>
    <row r="46" spans="2:5" x14ac:dyDescent="0.2">
      <c r="B46" s="181"/>
      <c r="C46" s="181"/>
      <c r="D46" s="201"/>
      <c r="E46" s="181"/>
    </row>
    <row r="47" spans="2:5" ht="14.25" x14ac:dyDescent="0.2">
      <c r="B47" s="191" t="s">
        <v>125</v>
      </c>
      <c r="C47" s="192"/>
      <c r="D47" s="192"/>
      <c r="E47" s="192"/>
    </row>
    <row r="48" spans="2:5" x14ac:dyDescent="0.2">
      <c r="B48" s="193" t="s">
        <v>255</v>
      </c>
      <c r="C48" s="181"/>
      <c r="D48" s="201"/>
      <c r="E48" s="181"/>
    </row>
    <row r="49" spans="2:5" x14ac:dyDescent="0.2">
      <c r="B49" s="193" t="s">
        <v>178</v>
      </c>
      <c r="C49" s="181"/>
      <c r="D49" s="201"/>
      <c r="E49" s="181"/>
    </row>
  </sheetData>
  <conditionalFormatting sqref="B40:D42">
    <cfRule type="expression" dxfId="22" priority="9">
      <formula>$C$39="Off"</formula>
    </cfRule>
  </conditionalFormatting>
  <conditionalFormatting sqref="B44:D45">
    <cfRule type="expression" dxfId="21" priority="10">
      <formula>$C$43="No"</formula>
    </cfRule>
  </conditionalFormatting>
  <conditionalFormatting sqref="B18:E18">
    <cfRule type="expression" dxfId="20" priority="19">
      <formula>$C$17="No"</formula>
    </cfRule>
  </conditionalFormatting>
  <conditionalFormatting sqref="C30:C31">
    <cfRule type="expression" dxfId="19" priority="16">
      <formula>$C$28="FSA / FCAS"</formula>
    </cfRule>
  </conditionalFormatting>
  <conditionalFormatting sqref="C30:C36">
    <cfRule type="expression" dxfId="18" priority="13">
      <formula>$C$27="No"</formula>
    </cfRule>
  </conditionalFormatting>
  <conditionalFormatting sqref="C32:C33">
    <cfRule type="expression" dxfId="17" priority="17">
      <formula>OR($C$28="ASA / ACAS",$C$28="FSA / FCAS")</formula>
    </cfRule>
  </conditionalFormatting>
  <conditionalFormatting sqref="C34:C36">
    <cfRule type="expression" dxfId="16" priority="18">
      <formula>$C$28="FSA / FCAS"</formula>
    </cfRule>
  </conditionalFormatting>
  <conditionalFormatting sqref="C9:D9">
    <cfRule type="expression" dxfId="15" priority="12">
      <formula>$C$39="On"</formula>
    </cfRule>
  </conditionalFormatting>
  <dataValidations count="16">
    <dataValidation type="list" allowBlank="1" showInputMessage="1" showErrorMessage="1" sqref="C27 C17" xr:uid="{EAEAAE36-3E1C-49A5-894D-2D0499659444}">
      <formula1>"Yes,No"</formula1>
    </dataValidation>
    <dataValidation type="list" allowBlank="1" showInputMessage="1" showErrorMessage="1" sqref="C12" xr:uid="{0982692F-3D25-45DB-9F85-C4DB5A39D072}">
      <formula1>"Beginning,End"</formula1>
    </dataValidation>
    <dataValidation type="list" allowBlank="1" showInputMessage="1" showErrorMessage="1" sqref="C19" xr:uid="{D01A2ED4-DE39-402A-B098-646F69FCDB83}">
      <formula1>"""Single,Married Filing Jointly,Married Filing Separately,Head of Household"""</formula1>
    </dataValidation>
    <dataValidation type="list" allowBlank="1" showInputMessage="1" showErrorMessage="1" sqref="C20" xr:uid="{91ABA53A-8654-44D7-9C72-266A01EEEDD2}">
      <formula1>"Yes,No"</formula1>
    </dataValidation>
    <dataValidation type="whole" allowBlank="1" showInputMessage="1" showErrorMessage="1" sqref="C45" xr:uid="{54943B97-C32C-4A72-B3C2-239F87400470}">
      <formula1>0</formula1>
      <formula2>100</formula2>
    </dataValidation>
    <dataValidation type="decimal" allowBlank="1" showInputMessage="1" showErrorMessage="1" sqref="C21" xr:uid="{E44BE2BD-ABC7-4BEE-BFC8-755553272438}">
      <formula1>0</formula1>
      <formula2>0.25</formula2>
    </dataValidation>
    <dataValidation type="list" allowBlank="1" showInputMessage="1" showErrorMessage="1" errorTitle="Invalid trading-day interval" error="Choose one of the listed intervals that divides 252 evenly." sqref="C40" xr:uid="{7F474615-2C82-47A6-AA0B-26A4A7343873}">
      <formula1>"1,2,3,4,6,7,9,12,14,18,21,28,36,42,63,84,126,252"</formula1>
    </dataValidation>
    <dataValidation type="list" allowBlank="1" showInputMessage="1" showErrorMessage="1" errorTitle="Choose a listed frequency" error="Select Weekly, Biweekly, Monthly, or Annual." sqref="C9" xr:uid="{2B6FAEB8-734F-40F3-AA4C-95C1FC51F03C}">
      <formula1>"Annual,Semiannual,Quarterly,Monthly,Biweekly,Weekly"</formula1>
    </dataValidation>
    <dataValidation type="list" allowBlank="1" showInputMessage="1" showErrorMessage="1" errorTitle="Choose a listed frequency" error="Select Weekly, Biweekly, Monthly, or Annual." sqref="C39" xr:uid="{C4FA8433-79E9-4923-BD4C-B5FDCAF0852E}">
      <formula1>"Off,On"</formula1>
    </dataValidation>
    <dataValidation type="list" allowBlank="1" showInputMessage="1" showErrorMessage="1" sqref="C43" xr:uid="{A153E71E-5F1A-4FCB-B35F-0836C7EB1F35}">
      <formula1>"No,Yes"</formula1>
    </dataValidation>
    <dataValidation type="list" allowBlank="1" showInputMessage="1" showErrorMessage="1" sqref="C28:C29" xr:uid="{C339A591-CE75-4514-A076-005E28B66A43}">
      <formula1>"Not yet credentialed,ASA / ACAS,FSA / FCAS"</formula1>
    </dataValidation>
    <dataValidation type="custom" allowBlank="1" showInputMessage="1" showErrorMessage="1" errorTitle="Invalid pace" error="Years Until Exams Finish cannot be 0 while Exams Remaining &gt; 0 — instant-cramming all exams in year 1 isn't modeled. Enter a positive number of years, or set Exams Remaining to 0." sqref="C36" xr:uid="{61E76FD6-1209-49D1-A668-B858639134C4}">
      <formula1>OR($C$36&lt;&gt;0, $C$30=0)</formula1>
    </dataValidation>
    <dataValidation type="custom" allowBlank="1" showInputMessage="1" showErrorMessage="1" errorTitle="Invalid sequence" error="Fellowship must come after Associate — enter a value greater than or equal to years until Associate." sqref="C35" xr:uid="{33A9E4A9-A964-4912-968F-288E70F97F12}">
      <formula1>OR($C$28&lt;&gt;"Not yet credentialed", $C$35&gt;=$C$33)</formula1>
    </dataValidation>
    <dataValidation type="whole" operator="greaterThanOrEqual" allowBlank="1" showInputMessage="1" showErrorMessage="1" errorTitle="Invalid exams remaining" error="Enter a whole number of exams remaining that is 0 or greater." sqref="C30" xr:uid="{B4AA1EB2-5A59-4658-93F7-0981018D0425}">
      <formula1>0</formula1>
    </dataValidation>
    <dataValidation type="list" allowBlank="1" showInputMessage="1" showErrorMessage="1" sqref="C44" xr:uid="{A2AC6AFC-819F-4269-AD27-2C0650748EFF}">
      <formula1>"Single,Married Filing Jointly,Married Filing Separately,Head of Household"</formula1>
    </dataValidation>
    <dataValidation type="custom" allowBlank="1" showInputMessage="1" showErrorMessage="1" errorTitle="Invalid salary cap" error="Salary cap must be greater than your starting salary." sqref="C18" xr:uid="{1332EE70-0883-40FF-B758-9DEF7CB0539E}">
      <formula1>OR($C$17="No",$C$18&gt;$C$16)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6FB4-880B-4282-893E-288F8F25A41C}">
  <sheetPr>
    <tabColor rgb="FF1B2A3B"/>
  </sheetPr>
  <dimension ref="A1:BL217"/>
  <sheetViews>
    <sheetView showGridLines="0" zoomScale="115" zoomScaleNormal="115" workbookViewId="0">
      <selection activeCell="B6" sqref="B6"/>
    </sheetView>
  </sheetViews>
  <sheetFormatPr defaultColWidth="8.85546875" defaultRowHeight="13.5" x14ac:dyDescent="0.25"/>
  <cols>
    <col min="1" max="1" width="88.7109375" style="2" customWidth="1"/>
    <col min="2" max="2" width="12.28515625" style="2" customWidth="1"/>
    <col min="3" max="3" width="10.85546875" style="2" bestFit="1" customWidth="1"/>
    <col min="4" max="4" width="17.5703125" style="2" bestFit="1" customWidth="1"/>
    <col min="5" max="14" width="15.28515625" style="2" customWidth="1"/>
    <col min="15" max="18" width="9.140625"/>
    <col min="19" max="24" width="0" hidden="1" customWidth="1"/>
    <col min="25" max="25" width="9.140625"/>
    <col min="26" max="26" width="10.42578125" customWidth="1"/>
    <col min="27" max="30" width="8.85546875" style="1"/>
    <col min="31" max="31" width="12.42578125" style="1" bestFit="1" customWidth="1"/>
    <col min="32" max="52" width="8.85546875" style="1"/>
    <col min="53" max="64" width="0" style="1" hidden="1" customWidth="1"/>
    <col min="65" max="16384" width="8.85546875" style="1"/>
  </cols>
  <sheetData>
    <row r="1" spans="1:64" ht="28.15" customHeight="1" x14ac:dyDescent="0.2">
      <c r="A1" s="136" t="s">
        <v>444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1:64" ht="22.15" customHeight="1" x14ac:dyDescent="0.25">
      <c r="A2" s="94" t="s">
        <v>229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4" ht="18" customHeight="1" x14ac:dyDescent="0.25">
      <c r="A3" s="35"/>
      <c r="B3" s="3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64" ht="22.15" customHeight="1" x14ac:dyDescent="0.3">
      <c r="A4" s="137" t="s">
        <v>230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8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4" ht="18" customHeight="1" x14ac:dyDescent="0.3">
      <c r="A6" s="7" t="s">
        <v>231</v>
      </c>
      <c r="B6" s="34" cm="1">
        <f t="array" ref="B6">LOOKUP(2,1/('CHART DATA'!B2:B102&lt;&gt;""),'CHART DATA'!B2:B102)</f>
        <v>11101633.310212715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1:64" ht="18" customHeight="1" x14ac:dyDescent="0.3">
      <c r="A7" s="7" t="s">
        <v>232</v>
      </c>
      <c r="B7" s="34" cm="1">
        <f t="array" ref="B7">LOOKUP(2,1/('CHART DATA'!C2:C102&lt;&gt;""),'CHART DATA'!C2:C102)</f>
        <v>906222.14777677099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4" ht="22.15" customHeight="1" x14ac:dyDescent="0.3">
      <c r="A8" s="7" t="s">
        <v>155</v>
      </c>
      <c r="B8" s="34" cm="1">
        <f t="array" ref="B8">LOOKUP(2,1/('PERIODIC ENGINE'!K2:K102&lt;&gt;""),'PERIODIC ENGINE'!K2:K102)</f>
        <v>1630400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ht="18" customHeight="1" x14ac:dyDescent="0.3">
      <c r="A9" s="7" t="s">
        <v>156</v>
      </c>
      <c r="B9" s="34">
        <f>B6-INPUTS!C8-B8</f>
        <v>9471233.3102127146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ht="18" customHeight="1" x14ac:dyDescent="0.3">
      <c r="A10" s="7" t="s">
        <v>157</v>
      </c>
      <c r="B10" s="40">
        <f>IFERROR(B6/(B8+INPUTS!C8),0)</f>
        <v>6.8091470254003399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ht="18" customHeight="1" x14ac:dyDescent="0.3">
      <c r="A11" s="7" t="s">
        <v>233</v>
      </c>
      <c r="B11" s="34" cm="1">
        <f t="array" ref="B11">LOOKUP(2,1/(ENGINE!AI2:AI102&lt;&gt;""),ENGINE!AI2:AI102)-LOOKUP(2,1/(ENGINE!D2:D102&lt;&gt;""),ENGINE!D2:D102)</f>
        <v>194530.73323289986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 ht="18" customHeight="1" x14ac:dyDescent="0.3">
      <c r="A12" s="36" t="s">
        <v>449</v>
      </c>
      <c r="B12" s="3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 ht="16.5" x14ac:dyDescent="0.3">
      <c r="A13" s="7" t="s">
        <v>354</v>
      </c>
      <c r="B13" s="41" cm="1">
        <f t="array" ref="B13">INDEX('PERIODIC ENGINE'!L2:L102,MATCH(TRUE,INDEX(ENGINE!D2:D102&gt;0,0),0))</f>
        <v>66.26407607736661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 ht="16.5" x14ac:dyDescent="0.3">
      <c r="A14" s="7" t="s">
        <v>355</v>
      </c>
      <c r="B14" s="41" cm="1">
        <f t="array" ref="B14">INDEX('PERIODIC ENGINE'!L2:L102,Horizon_Rows)</f>
        <v>1.1000000000000001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ht="16.5" x14ac:dyDescent="0.3">
      <c r="A15" s="7" t="s">
        <v>358</v>
      </c>
      <c r="B15" s="34" cm="1">
        <f t="array" ref="B15">INDEX('PERIODIC ENGINE'!Q2:Q102,MATCH(TRUE,INDEX(ENGINE!D2:D102&gt;0,0),0))</f>
        <v>496980.57058024959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ht="16.5" x14ac:dyDescent="0.3">
      <c r="A16" s="7" t="s">
        <v>359</v>
      </c>
      <c r="B16" s="34" cm="1">
        <f t="array" ref="B16">INDEX('PERIODIC ENGINE'!Q2:Q102,Horizon_Rows)</f>
        <v>115390.00000000001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:64" ht="16.5" x14ac:dyDescent="0.3">
      <c r="A17" s="7" t="s">
        <v>379</v>
      </c>
      <c r="B17" s="34">
        <f>INPUTS!$C$8*(1+'PERIODIC ENGINE'!$S$5)^(Horizon_Rows*'PERIODIC ENGINE'!$S$3)</f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:64" ht="15.75" x14ac:dyDescent="0.3">
      <c r="A18" s="7" t="s">
        <v>380</v>
      </c>
      <c r="B18" s="92" cm="1">
        <f t="array" ref="B18">ROUND((B17+SUM('PERIODIC ENGINE'!$Q$2:$Q$102))-INDEX('PERIODIC ENGINE'!$J$2:$J$102,Horizon_Rows),2)</f>
        <v>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:64" ht="13.9" customHeight="1" x14ac:dyDescent="0.3">
      <c r="A19" s="37" t="str">
        <f>"Your dollars didn't grow equally: "&amp;TEXT(B13,"0.0")&amp;"x for your earliest contribution vs. "&amp;TEXT(B14,"0.0")&amp;"x for your last, because early money compounds longer. Your first year's contributions grew into "&amp;TEXT(B15,"$#,##0")&amp;", and your final year's grew into "&amp;TEXT(B16,"$#,##0")&amp;". The charts show the full curve."</f>
        <v>Your dollars didn't grow equally: 66.3x for your earliest contribution vs. 1.1x for your last, because early money compounds longer. Your first year's contributions grew into $496,981, and your final year's grew into $115,390. The charts show the full curve.</v>
      </c>
      <c r="B19" s="3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64" ht="24" customHeight="1" x14ac:dyDescent="0.3">
      <c r="A20" s="7"/>
      <c r="B20" s="3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:64" ht="18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:64" ht="18" customHeight="1" x14ac:dyDescent="0.3">
      <c r="A22" s="214" t="s">
        <v>245</v>
      </c>
      <c r="B22" s="21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:64" ht="18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:64" ht="18" customHeight="1" x14ac:dyDescent="0.25">
      <c r="A24" s="7" t="s">
        <v>246</v>
      </c>
      <c r="B24" s="38">
        <f>SUM(ENGINE!AH2:AH102)</f>
        <v>911070.78001678223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:64" ht="18" customHeight="1" x14ac:dyDescent="0.25">
      <c r="A25" s="7" t="s">
        <v>326</v>
      </c>
      <c r="B25" s="38">
        <f>SUM(ENGINE!AE2:AE102)</f>
        <v>501452.5117353375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:64" ht="18" customHeight="1" x14ac:dyDescent="0.25">
      <c r="A26" s="7" t="s">
        <v>247</v>
      </c>
      <c r="B26" s="38">
        <f>SUM(ENGINE!Y2:Y102)</f>
        <v>8087943.7376667354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:64" ht="18" customHeight="1" x14ac:dyDescent="0.25">
      <c r="A27" s="7" t="s">
        <v>248</v>
      </c>
      <c r="B27" s="39">
        <f>IFERROR(B24/B26,0)</f>
        <v>0.1126455387880349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:64" ht="18" customHeight="1" x14ac:dyDescent="0.25">
      <c r="A28" s="7" t="s">
        <v>259</v>
      </c>
      <c r="B28" s="39">
        <f>1-B27</f>
        <v>0.88735446121196504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:64" ht="18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64" ht="18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64" ht="18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:64" ht="18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ht="18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ht="18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ht="18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ht="18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1:64" ht="18" customHeigh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ht="18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ht="18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ht="18" customHeigh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ht="18" customHeigh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ht="18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ht="18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ht="18" customHeigh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ht="18" customHeigh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ht="18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ht="18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ht="18" customHeigh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1:64" ht="18" customHeigh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ht="18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ht="18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1:64" ht="18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ht="18" customHeigh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ht="18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1:64" ht="18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ht="18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ht="18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64" ht="18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ht="18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1:64" ht="18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1:64" ht="18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 ht="18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1:64" ht="18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1:64" ht="18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ht="18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ht="18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ht="18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ht="18" customHeigh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ht="18" customHeigh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ht="18" customHeigh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ht="18" customHeigh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ht="18" customHeigh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ht="18" customHeigh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ht="18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ht="18" customHeigh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ht="18" customHeigh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ht="18" customHeigh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ht="18" customHeigh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ht="18" customHeigh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ht="18" customHeigh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ht="18" customHeigh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ht="18" customHeigh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ht="18" customHeigh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ht="18" customHeigh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ht="18" customHeigh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ht="18" customHeigh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ht="18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ht="18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ht="18" customHeigh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ht="18" customHeigh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ht="18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ht="18" customHeigh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ht="18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ht="18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ht="18" customHeigh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ht="18" customHeight="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ht="18" customHeight="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ht="18" customHeight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ht="18" customHeigh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ht="18" customHeigh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ht="18" customHeigh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ht="18" customHeigh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ht="18" customHeight="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ht="18" customHeight="1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ht="18" customHeight="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ht="18" customHeight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ht="18" customHeight="1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ht="18" customHeight="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ht="18" customHeight="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ht="18" customHeight="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ht="18" customHeigh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ht="18" customHeigh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ht="18" customHeight="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ht="18" customHeigh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ht="18" customHeight="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ht="34.15" customHeight="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ht="18" customHeight="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ht="18" customHeight="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ht="18" customHeight="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ht="18" customHeight="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ht="18" customHeigh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x14ac:dyDescent="0.25">
      <c r="A122"/>
      <c r="B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x14ac:dyDescent="0.25">
      <c r="A123"/>
      <c r="B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x14ac:dyDescent="0.25">
      <c r="A124"/>
      <c r="B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x14ac:dyDescent="0.25">
      <c r="A125"/>
      <c r="B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x14ac:dyDescent="0.25">
      <c r="A126"/>
      <c r="B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x14ac:dyDescent="0.25">
      <c r="A127"/>
      <c r="B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x14ac:dyDescent="0.25">
      <c r="A128"/>
      <c r="B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x14ac:dyDescent="0.25">
      <c r="A129"/>
      <c r="B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x14ac:dyDescent="0.25">
      <c r="A130"/>
      <c r="B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x14ac:dyDescent="0.25"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x14ac:dyDescent="0.25"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x14ac:dyDescent="0.25"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x14ac:dyDescent="0.25"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x14ac:dyDescent="0.25"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x14ac:dyDescent="0.25"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x14ac:dyDescent="0.25"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x14ac:dyDescent="0.25"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x14ac:dyDescent="0.25"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x14ac:dyDescent="0.25"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x14ac:dyDescent="0.25"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x14ac:dyDescent="0.25"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x14ac:dyDescent="0.25"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x14ac:dyDescent="0.25"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27:64" x14ac:dyDescent="0.25"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27:64" x14ac:dyDescent="0.25"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27:64" x14ac:dyDescent="0.25"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27:64" x14ac:dyDescent="0.25"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27:64" x14ac:dyDescent="0.25"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27:64" x14ac:dyDescent="0.25"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27:64" x14ac:dyDescent="0.25"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27:64" x14ac:dyDescent="0.25"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27:64" x14ac:dyDescent="0.25"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27:64" x14ac:dyDescent="0.25"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27:64" x14ac:dyDescent="0.25"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27:64" x14ac:dyDescent="0.25"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27:64" x14ac:dyDescent="0.25"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27:64" x14ac:dyDescent="0.25"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27:64" x14ac:dyDescent="0.25"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27:64" x14ac:dyDescent="0.25"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27:64" x14ac:dyDescent="0.25"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27:64" x14ac:dyDescent="0.25"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27:64" x14ac:dyDescent="0.25"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27:64" x14ac:dyDescent="0.25"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27:64" x14ac:dyDescent="0.25"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27:64" x14ac:dyDescent="0.25"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27:64" x14ac:dyDescent="0.25"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27:64" x14ac:dyDescent="0.25"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27:64" x14ac:dyDescent="0.25"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27:64" x14ac:dyDescent="0.25"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27:64" x14ac:dyDescent="0.25"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27:64" x14ac:dyDescent="0.25"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27:64" x14ac:dyDescent="0.25"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27:64" x14ac:dyDescent="0.25"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27:64" x14ac:dyDescent="0.25"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27:64" x14ac:dyDescent="0.25"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27:64" x14ac:dyDescent="0.25"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27:64" x14ac:dyDescent="0.25"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27:64" x14ac:dyDescent="0.25"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27:64" x14ac:dyDescent="0.25"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27:64" x14ac:dyDescent="0.25"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27:64" x14ac:dyDescent="0.25"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27:64" x14ac:dyDescent="0.25"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27:64" x14ac:dyDescent="0.25"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27:64" x14ac:dyDescent="0.25"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27:64" x14ac:dyDescent="0.25"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27:64" x14ac:dyDescent="0.25"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27:64" x14ac:dyDescent="0.25"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27:64" x14ac:dyDescent="0.25"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27:64" x14ac:dyDescent="0.25"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27:64" x14ac:dyDescent="0.25"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27:64" x14ac:dyDescent="0.25"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27:64" x14ac:dyDescent="0.25"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27:64" x14ac:dyDescent="0.25"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27:64" x14ac:dyDescent="0.25"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27:64" x14ac:dyDescent="0.25"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27:64" x14ac:dyDescent="0.25"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27:64" x14ac:dyDescent="0.25"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27:64" x14ac:dyDescent="0.25"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27:64" x14ac:dyDescent="0.25"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27:64" x14ac:dyDescent="0.25"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27:64" x14ac:dyDescent="0.25"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27:64" x14ac:dyDescent="0.25"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27:64" x14ac:dyDescent="0.25"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27:64" x14ac:dyDescent="0.25"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27:64" x14ac:dyDescent="0.25"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27:64" x14ac:dyDescent="0.25"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27:64" x14ac:dyDescent="0.25"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27:64" x14ac:dyDescent="0.25"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27:64" x14ac:dyDescent="0.25"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27:64" x14ac:dyDescent="0.25"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27:64" x14ac:dyDescent="0.25"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27:64" x14ac:dyDescent="0.25"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27:64" x14ac:dyDescent="0.25"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27:64" x14ac:dyDescent="0.25"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27:64" x14ac:dyDescent="0.25"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27:64" x14ac:dyDescent="0.25"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</sheetData>
  <mergeCells count="1">
    <mergeCell ref="A22:B22"/>
  </mergeCells>
  <conditionalFormatting sqref="B18">
    <cfRule type="cellIs" dxfId="14" priority="1" operator="between">
      <formula>-0.01</formula>
      <formula>0.01</formula>
    </cfRule>
    <cfRule type="cellIs" dxfId="13" priority="2" operator="lessThan">
      <formula>-0.01</formula>
    </cfRule>
    <cfRule type="cellIs" dxfId="12" priority="3" operator="greaterThan">
      <formula>0.01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129D-F4EF-44F4-A23C-0A57E3E477D8}">
  <sheetPr>
    <tabColor rgb="FF1B2A3B"/>
  </sheetPr>
  <dimension ref="A1:R113"/>
  <sheetViews>
    <sheetView showGridLines="0" topLeftCell="H1" zoomScale="110" zoomScaleNormal="110" workbookViewId="0">
      <pane ySplit="1" topLeftCell="A2" activePane="bottomLeft" state="frozen"/>
      <selection activeCell="G1" sqref="G1"/>
      <selection pane="bottomLeft" activeCell="V20" sqref="V20"/>
    </sheetView>
  </sheetViews>
  <sheetFormatPr defaultRowHeight="12.75" x14ac:dyDescent="0.2"/>
  <cols>
    <col min="1" max="1" width="77.28515625" bestFit="1" customWidth="1"/>
    <col min="2" max="2" width="11.7109375" bestFit="1" customWidth="1"/>
    <col min="3" max="3" width="19.42578125" bestFit="1" customWidth="1"/>
    <col min="4" max="4" width="25.28515625" bestFit="1" customWidth="1"/>
    <col min="5" max="5" width="23" bestFit="1" customWidth="1"/>
    <col min="6" max="6" width="19.140625" bestFit="1" customWidth="1"/>
    <col min="7" max="7" width="24.28515625" bestFit="1" customWidth="1"/>
    <col min="8" max="8" width="29.28515625" bestFit="1" customWidth="1"/>
    <col min="9" max="9" width="30.140625" bestFit="1" customWidth="1"/>
    <col min="10" max="18" width="15.28515625" customWidth="1"/>
  </cols>
  <sheetData>
    <row r="1" spans="1:18" ht="29.25" x14ac:dyDescent="0.2">
      <c r="A1" s="136" t="s">
        <v>445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</row>
    <row r="2" spans="1:18" ht="14.25" x14ac:dyDescent="0.25">
      <c r="A2" s="94" t="s">
        <v>234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4.2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" thickBot="1" x14ac:dyDescent="0.35">
      <c r="A4" s="138" t="s">
        <v>235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</row>
    <row r="5" spans="1:18" ht="14.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6.5" x14ac:dyDescent="0.3">
      <c r="A6" s="7" t="s">
        <v>236</v>
      </c>
      <c r="B6" s="33">
        <f>'OUTPUT - SUMMARY'!B6</f>
        <v>11101633.310212715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6.5" x14ac:dyDescent="0.3">
      <c r="A7" s="7" t="s">
        <v>237</v>
      </c>
      <c r="B7" s="33">
        <f>'OUTPUT - SUMMARY'!B7</f>
        <v>906222.14777677099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6.5" x14ac:dyDescent="0.3">
      <c r="A8" s="7" t="s">
        <v>155</v>
      </c>
      <c r="B8" s="33">
        <f>'OUTPUT - SUMMARY'!B8</f>
        <v>1630400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6.5" x14ac:dyDescent="0.3">
      <c r="A9" s="7" t="s">
        <v>156</v>
      </c>
      <c r="B9" s="33">
        <f>'OUTPUT - SUMMARY'!B9</f>
        <v>9471233.3102127146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4.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4.2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4.25" x14ac:dyDescent="0.25">
      <c r="A12" s="139" t="s">
        <v>218</v>
      </c>
      <c r="B12" s="139" t="s">
        <v>1</v>
      </c>
      <c r="C12" s="140" t="s">
        <v>238</v>
      </c>
      <c r="D12" s="140" t="s">
        <v>228</v>
      </c>
      <c r="E12" s="140" t="s">
        <v>239</v>
      </c>
      <c r="F12" s="140" t="s">
        <v>240</v>
      </c>
      <c r="G12" s="140" t="s">
        <v>79</v>
      </c>
      <c r="H12" s="140" t="s">
        <v>80</v>
      </c>
      <c r="I12" s="140" t="s">
        <v>360</v>
      </c>
      <c r="J12" s="7"/>
      <c r="K12" s="7"/>
      <c r="L12" s="7"/>
      <c r="M12" s="7"/>
      <c r="N12" s="7"/>
      <c r="O12" s="7"/>
      <c r="P12" s="7"/>
      <c r="Q12" s="7"/>
      <c r="R12" s="7"/>
    </row>
    <row r="13" spans="1:18" ht="14.25" x14ac:dyDescent="0.25">
      <c r="A13" s="118">
        <f>IF(ENGINE!A2="","",ENGINE!A2)</f>
        <v>0</v>
      </c>
      <c r="B13" s="118">
        <f>IF(A13="","",ENGINE!B2)</f>
        <v>22</v>
      </c>
      <c r="C13" s="42">
        <f>IF(A13="","",ENGINE!D2)</f>
        <v>7500</v>
      </c>
      <c r="D13" s="42">
        <f>IF(A13="","",INDEX('PERIODIC ENGINE'!$I$2:$I$102,MATCH(A13,'PERIODIC ENGINE'!$A$2:$A$102,0)))</f>
        <v>750</v>
      </c>
      <c r="E13" s="42">
        <f>IF(A13="","",'CHART DATA'!B2)</f>
        <v>8250</v>
      </c>
      <c r="F13" s="42">
        <f>IF(A13="","",'CHART DATA'!C2)</f>
        <v>8250</v>
      </c>
      <c r="G13" s="42">
        <f>IF(A13="","",INDEX('PERIODIC ENGINE'!$K$2:$K$102,MATCH(A13,'PERIODIC ENGINE'!$A$2:$A$102,0)))</f>
        <v>7500</v>
      </c>
      <c r="H13" s="42">
        <f>IF(A13="","",E13-INPUTS!$C$8-G13)</f>
        <v>750</v>
      </c>
      <c r="I13" s="42" cm="1">
        <f t="array" ref="I13">IF(A13="","",IFERROR(INDEX(TerminalValueByYear_Range,ROW()-ROW($I$13)+1),""))</f>
        <v>496980.57058024959</v>
      </c>
      <c r="J13" s="7"/>
      <c r="K13" s="7"/>
      <c r="L13" s="7"/>
      <c r="M13" s="7"/>
      <c r="N13" s="7"/>
      <c r="O13" s="7"/>
      <c r="P13" s="7"/>
      <c r="Q13" s="7"/>
      <c r="R13" s="7"/>
    </row>
    <row r="14" spans="1:18" ht="14.25" x14ac:dyDescent="0.25">
      <c r="A14" s="118">
        <f>IF(ENGINE!A3="","",ENGINE!A3)</f>
        <v>1</v>
      </c>
      <c r="B14" s="118">
        <f>IF(A14="","",ENGINE!B3)</f>
        <v>23</v>
      </c>
      <c r="C14" s="42">
        <f>IF(A14="","",ENGINE!D3)</f>
        <v>7500</v>
      </c>
      <c r="D14" s="42">
        <f>IF(A14="","",INDEX('PERIODIC ENGINE'!$I$2:$I$102,MATCH(A14,'PERIODIC ENGINE'!$A$2:$A$102,0)))</f>
        <v>1575</v>
      </c>
      <c r="E14" s="42">
        <f>IF(A14="","",'CHART DATA'!B3)</f>
        <v>17325</v>
      </c>
      <c r="F14" s="42">
        <f>IF(A14="","",'CHART DATA'!C3)</f>
        <v>16344.339622641508</v>
      </c>
      <c r="G14" s="42">
        <f>IF(A14="","",INDEX('PERIODIC ENGINE'!$K$2:$K$102,MATCH(A14,'PERIODIC ENGINE'!$A$2:$A$102,0)))</f>
        <v>15000</v>
      </c>
      <c r="H14" s="42">
        <f>IF(A14="","",E14-INPUTS!$C$8-G14)</f>
        <v>2325</v>
      </c>
      <c r="I14" s="42" cm="1">
        <f t="array" ref="I14">IF(A14="","",IFERROR(INDEX(TerminalValueByYear_Range,ROW()-ROW($I$13)+1),""))</f>
        <v>451800.51870931778</v>
      </c>
      <c r="J14" s="7"/>
      <c r="K14" s="7"/>
      <c r="L14" s="7"/>
      <c r="M14" s="7"/>
      <c r="N14" s="7"/>
      <c r="O14" s="7"/>
      <c r="P14" s="7"/>
      <c r="Q14" s="7"/>
      <c r="R14" s="7"/>
    </row>
    <row r="15" spans="1:18" ht="14.25" x14ac:dyDescent="0.25">
      <c r="A15" s="118">
        <f>IF(ENGINE!A4="","",ENGINE!A4)</f>
        <v>2</v>
      </c>
      <c r="B15" s="118">
        <f>IF(A15="","",ENGINE!B4)</f>
        <v>24</v>
      </c>
      <c r="C15" s="42">
        <f>IF(A15="","",ENGINE!D4)</f>
        <v>8000</v>
      </c>
      <c r="D15" s="42">
        <f>IF(A15="","",INDEX('PERIODIC ENGINE'!$I$2:$I$102,MATCH(A15,'PERIODIC ENGINE'!$A$2:$A$102,0)))</f>
        <v>2532.5</v>
      </c>
      <c r="E15" s="42">
        <f>IF(A15="","",'CHART DATA'!B4)</f>
        <v>27857.5</v>
      </c>
      <c r="F15" s="42">
        <f>IF(A15="","",'CHART DATA'!C4)</f>
        <v>24793.075827696684</v>
      </c>
      <c r="G15" s="42">
        <f>IF(A15="","",INDEX('PERIODIC ENGINE'!$K$2:$K$102,MATCH(A15,'PERIODIC ENGINE'!$A$2:$A$102,0)))</f>
        <v>23000</v>
      </c>
      <c r="H15" s="42">
        <f>IF(A15="","",E15-INPUTS!$C$8-G15)</f>
        <v>4857.5</v>
      </c>
      <c r="I15" s="42" cm="1">
        <f t="array" ref="I15">IF(A15="","",IFERROR(INDEX(TerminalValueByYear_Range,ROW()-ROW($I$13)+1),""))</f>
        <v>438109.59389994445</v>
      </c>
      <c r="J15" s="7"/>
      <c r="K15" s="7"/>
      <c r="L15" s="7"/>
      <c r="M15" s="7"/>
      <c r="N15" s="7"/>
      <c r="O15" s="7"/>
      <c r="P15" s="7"/>
      <c r="Q15" s="7"/>
      <c r="R15" s="7"/>
    </row>
    <row r="16" spans="1:18" ht="14.25" x14ac:dyDescent="0.25">
      <c r="A16" s="118">
        <f>IF(ENGINE!A5="","",ENGINE!A5)</f>
        <v>3</v>
      </c>
      <c r="B16" s="118">
        <f>IF(A16="","",ENGINE!B5)</f>
        <v>25</v>
      </c>
      <c r="C16" s="42">
        <f>IF(A16="","",ENGINE!D5)</f>
        <v>8500</v>
      </c>
      <c r="D16" s="42">
        <f>IF(A16="","",INDEX('PERIODIC ENGINE'!$I$2:$I$102,MATCH(A16,'PERIODIC ENGINE'!$A$2:$A$102,0)))</f>
        <v>3635.75</v>
      </c>
      <c r="E16" s="42">
        <f>IF(A16="","",'CHART DATA'!B5)</f>
        <v>39993.25</v>
      </c>
      <c r="F16" s="42">
        <f>IF(A16="","",'CHART DATA'!C5)</f>
        <v>33579.103891131599</v>
      </c>
      <c r="G16" s="42">
        <f>IF(A16="","",INDEX('PERIODIC ENGINE'!$K$2:$K$102,MATCH(A16,'PERIODIC ENGINE'!$A$2:$A$102,0)))</f>
        <v>31500</v>
      </c>
      <c r="H16" s="42">
        <f>IF(A16="","",E16-INPUTS!$C$8-G16)</f>
        <v>8493.25</v>
      </c>
      <c r="I16" s="42" cm="1">
        <f t="array" ref="I16">IF(A16="","",IFERROR(INDEX(TerminalValueByYear_Range,ROW()-ROW($I$13)+1),""))</f>
        <v>423174.0395624463</v>
      </c>
      <c r="J16" s="7"/>
      <c r="K16" s="7"/>
      <c r="L16" s="7"/>
      <c r="M16" s="7"/>
      <c r="N16" s="7"/>
      <c r="O16" s="7"/>
      <c r="P16" s="7"/>
      <c r="Q16" s="7"/>
      <c r="R16" s="7"/>
    </row>
    <row r="17" spans="1:18" ht="14.25" x14ac:dyDescent="0.25">
      <c r="A17" s="118">
        <f>IF(ENGINE!A6="","",ENGINE!A6)</f>
        <v>4</v>
      </c>
      <c r="B17" s="118">
        <f>IF(A17="","",ENGINE!B6)</f>
        <v>26</v>
      </c>
      <c r="C17" s="42">
        <f>IF(A17="","",ENGINE!D6)</f>
        <v>9000</v>
      </c>
      <c r="D17" s="42">
        <f>IF(A17="","",INDEX('PERIODIC ENGINE'!$I$2:$I$102,MATCH(A17,'PERIODIC ENGINE'!$A$2:$A$102,0)))</f>
        <v>4899.3250000000044</v>
      </c>
      <c r="E17" s="42">
        <f>IF(A17="","",'CHART DATA'!B6)</f>
        <v>53892.575000000004</v>
      </c>
      <c r="F17" s="42">
        <f>IF(A17="","",'CHART DATA'!C6)</f>
        <v>42687.967153079764</v>
      </c>
      <c r="G17" s="42">
        <f>IF(A17="","",INDEX('PERIODIC ENGINE'!$K$2:$K$102,MATCH(A17,'PERIODIC ENGINE'!$A$2:$A$102,0)))</f>
        <v>40500</v>
      </c>
      <c r="H17" s="42">
        <f>IF(A17="","",E17-INPUTS!$C$8-G17)</f>
        <v>13392.575000000004</v>
      </c>
      <c r="I17" s="42" cm="1">
        <f t="array" ref="I17">IF(A17="","",IFERROR(INDEX(TerminalValueByYear_Range,ROW()-ROW($I$13)+1),""))</f>
        <v>407333.30011358473</v>
      </c>
      <c r="J17" s="7"/>
      <c r="K17" s="7"/>
      <c r="L17" s="7"/>
      <c r="M17" s="7"/>
      <c r="N17" s="7"/>
      <c r="O17" s="7"/>
      <c r="P17" s="7"/>
      <c r="Q17" s="7"/>
      <c r="R17" s="7"/>
    </row>
    <row r="18" spans="1:18" ht="14.25" x14ac:dyDescent="0.25">
      <c r="A18" s="118">
        <f>IF(ENGINE!A7="","",ENGINE!A7)</f>
        <v>5</v>
      </c>
      <c r="B18" s="118">
        <f>IF(A18="","",ENGINE!B7)</f>
        <v>27</v>
      </c>
      <c r="C18" s="42">
        <f>IF(A18="","",ENGINE!D7)</f>
        <v>10000</v>
      </c>
      <c r="D18" s="42">
        <f>IF(A18="","",INDEX('PERIODIC ENGINE'!$I$2:$I$102,MATCH(A18,'PERIODIC ENGINE'!$A$2:$A$102,0)))</f>
        <v>6389.2575000000143</v>
      </c>
      <c r="E18" s="42">
        <f>IF(A18="","",'CHART DATA'!B7)</f>
        <v>70281.832500000019</v>
      </c>
      <c r="F18" s="42">
        <f>IF(A18="","",'CHART DATA'!C7)</f>
        <v>52518.67373962827</v>
      </c>
      <c r="G18" s="42">
        <f>IF(A18="","",INDEX('PERIODIC ENGINE'!$K$2:$K$102,MATCH(A18,'PERIODIC ENGINE'!$A$2:$A$102,0)))</f>
        <v>50500</v>
      </c>
      <c r="H18" s="42">
        <f>IF(A18="","",E18-INPUTS!$C$8-G18)</f>
        <v>19781.832500000019</v>
      </c>
      <c r="I18" s="42" cm="1">
        <f t="array" ref="I18">IF(A18="","",IFERROR(INDEX(TerminalValueByYear_Range,ROW()-ROW($I$13)+1),""))</f>
        <v>411447.77789250982</v>
      </c>
      <c r="J18" s="7"/>
      <c r="K18" s="7"/>
      <c r="L18" s="7"/>
      <c r="M18" s="7"/>
      <c r="N18" s="7"/>
      <c r="O18" s="7"/>
      <c r="P18" s="7"/>
      <c r="Q18" s="7"/>
      <c r="R18" s="7"/>
    </row>
    <row r="19" spans="1:18" ht="14.25" x14ac:dyDescent="0.25">
      <c r="A19" s="118">
        <f>IF(ENGINE!A8="","",ENGINE!A8)</f>
        <v>6</v>
      </c>
      <c r="B19" s="118">
        <f>IF(A19="","",ENGINE!B8)</f>
        <v>28</v>
      </c>
      <c r="C19" s="42">
        <f>IF(A19="","",ENGINE!D8)</f>
        <v>10500</v>
      </c>
      <c r="D19" s="42">
        <f>IF(A19="","",INDEX('PERIODIC ENGINE'!$I$2:$I$102,MATCH(A19,'PERIODIC ENGINE'!$A$2:$A$102,0)))</f>
        <v>8078.1832500000019</v>
      </c>
      <c r="E19" s="42">
        <f>IF(A19="","",'CHART DATA'!B8)</f>
        <v>88860.01575000002</v>
      </c>
      <c r="F19" s="42">
        <f>IF(A19="","",'CHART DATA'!C8)</f>
        <v>62642.804726598159</v>
      </c>
      <c r="G19" s="42">
        <f>IF(A19="","",INDEX('PERIODIC ENGINE'!$K$2:$K$102,MATCH(A19,'PERIODIC ENGINE'!$A$2:$A$102,0)))</f>
        <v>61000</v>
      </c>
      <c r="H19" s="42">
        <f>IF(A19="","",E19-INPUTS!$C$8-G19)</f>
        <v>27860.01575000002</v>
      </c>
      <c r="I19" s="42" cm="1">
        <f t="array" ref="I19">IF(A19="","",IFERROR(INDEX(TerminalValueByYear_Range,ROW()-ROW($I$13)+1),""))</f>
        <v>392745.60617012292</v>
      </c>
      <c r="J19" s="7"/>
      <c r="K19" s="7"/>
      <c r="L19" s="7"/>
      <c r="M19" s="7"/>
      <c r="N19" s="7"/>
      <c r="O19" s="7"/>
      <c r="P19" s="7"/>
      <c r="Q19" s="7"/>
      <c r="R19" s="7"/>
    </row>
    <row r="20" spans="1:18" ht="14.25" x14ac:dyDescent="0.25">
      <c r="A20" s="118">
        <f>IF(ENGINE!A9="","",ENGINE!A9)</f>
        <v>7</v>
      </c>
      <c r="B20" s="118">
        <f>IF(A20="","",ENGINE!B9)</f>
        <v>29</v>
      </c>
      <c r="C20" s="42">
        <f>IF(A20="","",ENGINE!D9)</f>
        <v>11000</v>
      </c>
      <c r="D20" s="42">
        <f>IF(A20="","",INDEX('PERIODIC ENGINE'!$I$2:$I$102,MATCH(A20,'PERIODIC ENGINE'!$A$2:$A$102,0)))</f>
        <v>9986.0015750000166</v>
      </c>
      <c r="E20" s="42">
        <f>IF(A20="","",'CHART DATA'!B9)</f>
        <v>109846.01732500004</v>
      </c>
      <c r="F20" s="42">
        <f>IF(A20="","",'CHART DATA'!C9)</f>
        <v>73053.875225073643</v>
      </c>
      <c r="G20" s="42">
        <f>IF(A20="","",INDEX('PERIODIC ENGINE'!$K$2:$K$102,MATCH(A20,'PERIODIC ENGINE'!$A$2:$A$102,0)))</f>
        <v>72000</v>
      </c>
      <c r="H20" s="42">
        <f>IF(A20="","",E20-INPUTS!$C$8-G20)</f>
        <v>37846.017325000037</v>
      </c>
      <c r="I20" s="42" cm="1">
        <f t="array" ref="I20">IF(A20="","",IFERROR(INDEX(TerminalValueByYear_Range,ROW()-ROW($I$13)+1),""))</f>
        <v>374043.43444773607</v>
      </c>
      <c r="J20" s="7"/>
      <c r="K20" s="7"/>
      <c r="L20" s="7"/>
      <c r="M20" s="7"/>
      <c r="N20" s="7"/>
      <c r="O20" s="7"/>
      <c r="P20" s="7"/>
      <c r="Q20" s="7"/>
      <c r="R20" s="7"/>
    </row>
    <row r="21" spans="1:18" ht="14.25" x14ac:dyDescent="0.25">
      <c r="A21" s="118">
        <f>IF(ENGINE!A10="","",ENGINE!A10)</f>
        <v>8</v>
      </c>
      <c r="B21" s="118">
        <f>IF(A21="","",ENGINE!B10)</f>
        <v>30</v>
      </c>
      <c r="C21" s="42">
        <f>IF(A21="","",ENGINE!D10)</f>
        <v>11500</v>
      </c>
      <c r="D21" s="42">
        <f>IF(A21="","",INDEX('PERIODIC ENGINE'!$I$2:$I$102,MATCH(A21,'PERIODIC ENGINE'!$A$2:$A$102,0)))</f>
        <v>12134.601732500028</v>
      </c>
      <c r="E21" s="42">
        <f>IF(A21="","",'CHART DATA'!B10)</f>
        <v>133480.61905750007</v>
      </c>
      <c r="F21" s="42">
        <f>IF(A21="","",'CHART DATA'!C10)</f>
        <v>83747.39173104112</v>
      </c>
      <c r="G21" s="42">
        <f>IF(A21="","",INDEX('PERIODIC ENGINE'!$K$2:$K$102,MATCH(A21,'PERIODIC ENGINE'!$A$2:$A$102,0)))</f>
        <v>83500</v>
      </c>
      <c r="H21" s="42">
        <f>IF(A21="","",E21-INPUTS!$C$8-G21)</f>
        <v>49980.619057500066</v>
      </c>
      <c r="I21" s="42" cm="1">
        <f t="array" ref="I21">IF(A21="","",IFERROR(INDEX(TerminalValueByYear_Range,ROW()-ROW($I$13)+1),""))</f>
        <v>355495.82612801366</v>
      </c>
      <c r="J21" s="7"/>
      <c r="K21" s="7"/>
      <c r="L21" s="7"/>
      <c r="M21" s="7"/>
      <c r="N21" s="7"/>
      <c r="O21" s="7"/>
      <c r="P21" s="7"/>
      <c r="Q21" s="7"/>
      <c r="R21" s="7"/>
    </row>
    <row r="22" spans="1:18" ht="14.25" x14ac:dyDescent="0.25">
      <c r="A22" s="118">
        <f>IF(ENGINE!A11="","",ENGINE!A11)</f>
        <v>9</v>
      </c>
      <c r="B22" s="118">
        <f>IF(A22="","",ENGINE!B11)</f>
        <v>31</v>
      </c>
      <c r="C22" s="42">
        <f>IF(A22="","",ENGINE!D11)</f>
        <v>12500</v>
      </c>
      <c r="D22" s="42">
        <f>IF(A22="","",INDEX('PERIODIC ENGINE'!$I$2:$I$102,MATCH(A22,'PERIODIC ENGINE'!$A$2:$A$102,0)))</f>
        <v>14598.061905750015</v>
      </c>
      <c r="E22" s="42">
        <f>IF(A22="","",'CHART DATA'!B11)</f>
        <v>160578.68096325008</v>
      </c>
      <c r="F22" s="42">
        <f>IF(A22="","",'CHART DATA'!C11)</f>
        <v>95046.274537825797</v>
      </c>
      <c r="G22" s="42">
        <f>IF(A22="","",INDEX('PERIODIC ENGINE'!$K$2:$K$102,MATCH(A22,'PERIODIC ENGINE'!$A$2:$A$102,0)))</f>
        <v>96000</v>
      </c>
      <c r="H22" s="42">
        <f>IF(A22="","",E22-INPUTS!$C$8-G22)</f>
        <v>64578.680963250081</v>
      </c>
      <c r="I22" s="42" cm="1">
        <f t="array" ref="I22">IF(A22="","",IFERROR(INDEX(TerminalValueByYear_Range,ROW()-ROW($I$13)+1),""))</f>
        <v>351280.46060080396</v>
      </c>
      <c r="J22" s="7"/>
      <c r="K22" s="7"/>
      <c r="L22" s="7"/>
      <c r="M22" s="7"/>
      <c r="N22" s="7"/>
      <c r="O22" s="7"/>
      <c r="P22" s="7"/>
      <c r="Q22" s="7"/>
      <c r="R22" s="7"/>
    </row>
    <row r="23" spans="1:18" ht="14.25" x14ac:dyDescent="0.25">
      <c r="A23" s="118">
        <f>IF(ENGINE!A12="","",ENGINE!A12)</f>
        <v>10</v>
      </c>
      <c r="B23" s="118">
        <f>IF(A23="","",ENGINE!B12)</f>
        <v>32</v>
      </c>
      <c r="C23" s="42">
        <f>IF(A23="","",ENGINE!D12)</f>
        <v>13000</v>
      </c>
      <c r="D23" s="42">
        <f>IF(A23="","",INDEX('PERIODIC ENGINE'!$I$2:$I$102,MATCH(A23,'PERIODIC ENGINE'!$A$2:$A$102,0)))</f>
        <v>17357.868096325023</v>
      </c>
      <c r="E23" s="42">
        <f>IF(A23="","",'CHART DATA'!B12)</f>
        <v>190936.5490595751</v>
      </c>
      <c r="F23" s="42">
        <f>IF(A23="","",'CHART DATA'!C12)</f>
        <v>106617.97171706391</v>
      </c>
      <c r="G23" s="42">
        <f>IF(A23="","",INDEX('PERIODIC ENGINE'!$K$2:$K$102,MATCH(A23,'PERIODIC ENGINE'!$A$2:$A$102,0)))</f>
        <v>109000</v>
      </c>
      <c r="H23" s="42">
        <f>IF(A23="","",E23-INPUTS!$C$8-G23)</f>
        <v>81936.549059575103</v>
      </c>
      <c r="I23" s="42" cm="1">
        <f t="array" ref="I23">IF(A23="","",IFERROR(INDEX(TerminalValueByYear_Range,ROW()-ROW($I$13)+1),""))</f>
        <v>332119.70820439642</v>
      </c>
      <c r="J23" s="7"/>
      <c r="K23" s="7"/>
      <c r="L23" s="7"/>
      <c r="M23" s="7"/>
      <c r="N23" s="7"/>
      <c r="O23" s="7"/>
      <c r="P23" s="7"/>
      <c r="Q23" s="7"/>
      <c r="R23" s="7"/>
    </row>
    <row r="24" spans="1:18" ht="14.25" x14ac:dyDescent="0.25">
      <c r="A24" s="118">
        <f>IF(ENGINE!A13="","",ENGINE!A13)</f>
        <v>11</v>
      </c>
      <c r="B24" s="118">
        <f>IF(A24="","",ENGINE!B13)</f>
        <v>33</v>
      </c>
      <c r="C24" s="42">
        <f>IF(A24="","",ENGINE!D13)</f>
        <v>14000</v>
      </c>
      <c r="D24" s="42">
        <f>IF(A24="","",INDEX('PERIODIC ENGINE'!$I$2:$I$102,MATCH(A24,'PERIODIC ENGINE'!$A$2:$A$102,0)))</f>
        <v>20493.654905957519</v>
      </c>
      <c r="E24" s="42">
        <f>IF(A24="","",'CHART DATA'!B13)</f>
        <v>225430.20396553262</v>
      </c>
      <c r="F24" s="42">
        <f>IF(A24="","",'CHART DATA'!C13)</f>
        <v>118753.81929553121</v>
      </c>
      <c r="G24" s="42">
        <f>IF(A24="","",INDEX('PERIODIC ENGINE'!$K$2:$K$102,MATCH(A24,'PERIODIC ENGINE'!$A$2:$A$102,0)))</f>
        <v>123000</v>
      </c>
      <c r="H24" s="42">
        <f>IF(A24="","",E24-INPUTS!$C$8-G24)</f>
        <v>102430.20396553262</v>
      </c>
      <c r="I24" s="42" cm="1">
        <f t="array" ref="I24">IF(A24="","",IFERROR(INDEX(TerminalValueByYear_Range,ROW()-ROW($I$13)+1),""))</f>
        <v>325152.16187843005</v>
      </c>
      <c r="J24" s="7"/>
      <c r="K24" s="7"/>
      <c r="L24" s="7"/>
      <c r="M24" s="7"/>
      <c r="N24" s="7"/>
      <c r="O24" s="7"/>
      <c r="P24" s="7"/>
      <c r="Q24" s="7"/>
      <c r="R24" s="7"/>
    </row>
    <row r="25" spans="1:18" ht="14.25" x14ac:dyDescent="0.25">
      <c r="A25" s="118">
        <f>IF(ENGINE!A14="","",ENGINE!A14)</f>
        <v>12</v>
      </c>
      <c r="B25" s="118">
        <f>IF(A25="","",ENGINE!B14)</f>
        <v>34</v>
      </c>
      <c r="C25" s="42">
        <f>IF(A25="","",ENGINE!D14)</f>
        <v>15000</v>
      </c>
      <c r="D25" s="42">
        <f>IF(A25="","",INDEX('PERIODIC ENGINE'!$I$2:$I$102,MATCH(A25,'PERIODIC ENGINE'!$A$2:$A$102,0)))</f>
        <v>24043.0203965533</v>
      </c>
      <c r="E25" s="42">
        <f>IF(A25="","",'CHART DATA'!B14)</f>
        <v>264473.22436208592</v>
      </c>
      <c r="F25" s="42">
        <f>IF(A25="","",'CHART DATA'!C14)</f>
        <v>131435.0899943831</v>
      </c>
      <c r="G25" s="42">
        <f>IF(A25="","",INDEX('PERIODIC ENGINE'!$K$2:$K$102,MATCH(A25,'PERIODIC ENGINE'!$A$2:$A$102,0)))</f>
        <v>138000</v>
      </c>
      <c r="H25" s="42">
        <f>IF(A25="","",E25-INPUTS!$C$8-G25)</f>
        <v>126473.22436208592</v>
      </c>
      <c r="I25" s="42" cm="1">
        <f t="array" ref="I25">IF(A25="","",IFERROR(INDEX(TerminalValueByYear_Range,ROW()-ROW($I$13)+1),""))</f>
        <v>316706.65118028899</v>
      </c>
      <c r="J25" s="7"/>
      <c r="K25" s="7"/>
      <c r="L25" s="7"/>
      <c r="M25" s="7"/>
      <c r="N25" s="7"/>
      <c r="O25" s="7"/>
      <c r="P25" s="7"/>
      <c r="Q25" s="7"/>
      <c r="R25" s="7"/>
    </row>
    <row r="26" spans="1:18" ht="14.25" x14ac:dyDescent="0.25">
      <c r="A26" s="118">
        <f>IF(ENGINE!A15="","",ENGINE!A15)</f>
        <v>13</v>
      </c>
      <c r="B26" s="118">
        <f>IF(A26="","",ENGINE!B15)</f>
        <v>35</v>
      </c>
      <c r="C26" s="42">
        <f>IF(A26="","",ENGINE!D15)</f>
        <v>15500</v>
      </c>
      <c r="D26" s="42">
        <f>IF(A26="","",INDEX('PERIODIC ENGINE'!$I$2:$I$102,MATCH(A26,'PERIODIC ENGINE'!$A$2:$A$102,0)))</f>
        <v>27997.322436208604</v>
      </c>
      <c r="E26" s="42">
        <f>IF(A26="","",'CHART DATA'!B15)</f>
        <v>307970.54679829453</v>
      </c>
      <c r="F26" s="42">
        <f>IF(A26="","",'CHART DATA'!C15)</f>
        <v>144388.61004038609</v>
      </c>
      <c r="G26" s="42">
        <f>IF(A26="","",INDEX('PERIODIC ENGINE'!$K$2:$K$102,MATCH(A26,'PERIODIC ENGINE'!$A$2:$A$102,0)))</f>
        <v>153500</v>
      </c>
      <c r="H26" s="42">
        <f>IF(A26="","",E26-INPUTS!$C$8-G26)</f>
        <v>154470.54679829453</v>
      </c>
      <c r="I26" s="42" cm="1">
        <f t="array" ref="I26">IF(A26="","",IFERROR(INDEX(TerminalValueByYear_Range,ROW()-ROW($I$13)+1),""))</f>
        <v>297512.3086845139</v>
      </c>
      <c r="J26" s="7"/>
      <c r="K26" s="7"/>
      <c r="L26" s="7"/>
      <c r="M26" s="7"/>
      <c r="N26" s="7"/>
      <c r="O26" s="7"/>
      <c r="P26" s="7"/>
      <c r="Q26" s="7"/>
      <c r="R26" s="7"/>
    </row>
    <row r="27" spans="1:18" ht="14.25" x14ac:dyDescent="0.25">
      <c r="A27" s="118">
        <f>IF(ENGINE!A16="","",ENGINE!A16)</f>
        <v>14</v>
      </c>
      <c r="B27" s="118">
        <f>IF(A27="","",ENGINE!B16)</f>
        <v>36</v>
      </c>
      <c r="C27" s="42">
        <f>IF(A27="","",ENGINE!D16)</f>
        <v>16500</v>
      </c>
      <c r="D27" s="42">
        <f>IF(A27="","",INDEX('PERIODIC ENGINE'!$I$2:$I$102,MATCH(A27,'PERIODIC ENGINE'!$A$2:$A$102,0)))</f>
        <v>32447.054679829453</v>
      </c>
      <c r="E27" s="42">
        <f>IF(A27="","",'CHART DATA'!B16)</f>
        <v>356917.60147812398</v>
      </c>
      <c r="F27" s="42">
        <f>IF(A27="","",'CHART DATA'!C16)</f>
        <v>157864.99933785401</v>
      </c>
      <c r="G27" s="42">
        <f>IF(A27="","",INDEX('PERIODIC ENGINE'!$K$2:$K$102,MATCH(A27,'PERIODIC ENGINE'!$A$2:$A$102,0)))</f>
        <v>170000</v>
      </c>
      <c r="H27" s="42">
        <f>IF(A27="","",E27-INPUTS!$C$8-G27)</f>
        <v>186917.60147812398</v>
      </c>
      <c r="I27" s="42" cm="1">
        <f t="array" ref="I27">IF(A27="","",IFERROR(INDEX(TerminalValueByYear_Range,ROW()-ROW($I$13)+1),""))</f>
        <v>287915.1374366263</v>
      </c>
      <c r="J27" s="7"/>
      <c r="K27" s="7"/>
      <c r="L27" s="7"/>
      <c r="M27" s="7"/>
      <c r="N27" s="7"/>
      <c r="O27" s="7"/>
      <c r="P27" s="7"/>
      <c r="Q27" s="7"/>
      <c r="R27" s="7"/>
    </row>
    <row r="28" spans="1:18" ht="14.25" x14ac:dyDescent="0.25">
      <c r="A28" s="118">
        <f>IF(ENGINE!A17="","",ENGINE!A17)</f>
        <v>15</v>
      </c>
      <c r="B28" s="118">
        <f>IF(A28="","",ENGINE!B17)</f>
        <v>37</v>
      </c>
      <c r="C28" s="42">
        <f>IF(A28="","",ENGINE!D17)</f>
        <v>17500</v>
      </c>
      <c r="D28" s="42">
        <f>IF(A28="","",INDEX('PERIODIC ENGINE'!$I$2:$I$102,MATCH(A28,'PERIODIC ENGINE'!$A$2:$A$102,0)))</f>
        <v>37441.760147812427</v>
      </c>
      <c r="E28" s="42">
        <f>IF(A28="","",'CHART DATA'!B17)</f>
        <v>411859.36162593641</v>
      </c>
      <c r="F28" s="42">
        <f>IF(A28="","",'CHART DATA'!C17)</f>
        <v>171854.52154334722</v>
      </c>
      <c r="G28" s="42">
        <f>IF(A28="","",INDEX('PERIODIC ENGINE'!$K$2:$K$102,MATCH(A28,'PERIODIC ENGINE'!$A$2:$A$102,0)))</f>
        <v>187500</v>
      </c>
      <c r="H28" s="42">
        <f>IF(A28="","",E28-INPUTS!$C$8-G28)</f>
        <v>224359.36162593641</v>
      </c>
      <c r="I28" s="42" cm="1">
        <f t="array" ref="I28">IF(A28="","",IFERROR(INDEX(TerminalValueByYear_Range,ROW()-ROW($I$13)+1),""))</f>
        <v>277604.1270050116</v>
      </c>
      <c r="J28" s="7"/>
      <c r="K28" s="7"/>
      <c r="L28" s="7"/>
      <c r="M28" s="7"/>
      <c r="N28" s="7"/>
      <c r="O28" s="7"/>
      <c r="P28" s="7"/>
      <c r="Q28" s="7"/>
      <c r="R28" s="7"/>
    </row>
    <row r="29" spans="1:18" ht="14.25" x14ac:dyDescent="0.25">
      <c r="A29" s="118">
        <f>IF(ENGINE!A18="","",ENGINE!A18)</f>
        <v>16</v>
      </c>
      <c r="B29" s="118">
        <f>IF(A29="","",ENGINE!B18)</f>
        <v>38</v>
      </c>
      <c r="C29" s="42">
        <f>IF(A29="","",ENGINE!D18)</f>
        <v>19000</v>
      </c>
      <c r="D29" s="42">
        <f>IF(A29="","",INDEX('PERIODIC ENGINE'!$I$2:$I$102,MATCH(A29,'PERIODIC ENGINE'!$A$2:$A$102,0)))</f>
        <v>43085.936162593658</v>
      </c>
      <c r="E29" s="42">
        <f>IF(A29="","",'CHART DATA'!B18)</f>
        <v>473945.29778853006</v>
      </c>
      <c r="F29" s="42">
        <f>IF(A29="","",'CHART DATA'!C18)</f>
        <v>186566.80515759886</v>
      </c>
      <c r="G29" s="42">
        <f>IF(A29="","",INDEX('PERIODIC ENGINE'!$K$2:$K$102,MATCH(A29,'PERIODIC ENGINE'!$A$2:$A$102,0)))</f>
        <v>206500</v>
      </c>
      <c r="H29" s="42">
        <f>IF(A29="","",E29-INPUTS!$C$8-G29)</f>
        <v>267445.29778853006</v>
      </c>
      <c r="I29" s="42" cm="1">
        <f t="array" ref="I29">IF(A29="","",IFERROR(INDEX(TerminalValueByYear_Range,ROW()-ROW($I$13)+1),""))</f>
        <v>273998.87860234908</v>
      </c>
      <c r="J29" s="7"/>
      <c r="K29" s="7"/>
      <c r="L29" s="7"/>
      <c r="M29" s="7"/>
      <c r="N29" s="7"/>
      <c r="O29" s="7"/>
      <c r="P29" s="7"/>
      <c r="Q29" s="7"/>
      <c r="R29" s="7"/>
    </row>
    <row r="30" spans="1:18" ht="14.25" x14ac:dyDescent="0.25">
      <c r="A30" s="118">
        <f>IF(ENGINE!A19="","",ENGINE!A19)</f>
        <v>17</v>
      </c>
      <c r="B30" s="118">
        <f>IF(A30="","",ENGINE!B19)</f>
        <v>39</v>
      </c>
      <c r="C30" s="42">
        <f>IF(A30="","",ENGINE!D19)</f>
        <v>20000</v>
      </c>
      <c r="D30" s="42">
        <f>IF(A30="","",INDEX('PERIODIC ENGINE'!$I$2:$I$102,MATCH(A30,'PERIODIC ENGINE'!$A$2:$A$102,0)))</f>
        <v>49394.529778853117</v>
      </c>
      <c r="E30" s="42">
        <f>IF(A30="","",'CHART DATA'!B19)</f>
        <v>543339.82756738318</v>
      </c>
      <c r="F30" s="42">
        <f>IF(A30="","",'CHART DATA'!C19)</f>
        <v>201777.0791651319</v>
      </c>
      <c r="G30" s="42">
        <f>IF(A30="","",INDEX('PERIODIC ENGINE'!$K$2:$K$102,MATCH(A30,'PERIODIC ENGINE'!$A$2:$A$102,0)))</f>
        <v>226500</v>
      </c>
      <c r="H30" s="42">
        <f>IF(A30="","",E30-INPUTS!$C$8-G30)</f>
        <v>316839.82756738318</v>
      </c>
      <c r="I30" s="42" cm="1">
        <f t="array" ref="I30">IF(A30="","",IFERROR(INDEX(TerminalValueByYear_Range,ROW()-ROW($I$13)+1),""))</f>
        <v>262199.88382999907</v>
      </c>
      <c r="J30" s="7"/>
      <c r="K30" s="7"/>
      <c r="L30" s="7"/>
      <c r="M30" s="7"/>
      <c r="N30" s="7"/>
      <c r="O30" s="7"/>
      <c r="P30" s="7"/>
      <c r="Q30" s="7"/>
      <c r="R30" s="7"/>
    </row>
    <row r="31" spans="1:18" ht="14.25" x14ac:dyDescent="0.25">
      <c r="A31" s="118">
        <f>IF(ENGINE!A20="","",ENGINE!A20)</f>
        <v>18</v>
      </c>
      <c r="B31" s="118">
        <f>IF(A31="","",ENGINE!B20)</f>
        <v>40</v>
      </c>
      <c r="C31" s="42">
        <f>IF(A31="","",ENGINE!D20)</f>
        <v>21000</v>
      </c>
      <c r="D31" s="42">
        <f>IF(A31="","",INDEX('PERIODIC ENGINE'!$I$2:$I$102,MATCH(A31,'PERIODIC ENGINE'!$A$2:$A$102,0)))</f>
        <v>56433.982756738318</v>
      </c>
      <c r="E31" s="42">
        <f>IF(A31="","",'CHART DATA'!B20)</f>
        <v>620773.8103241215</v>
      </c>
      <c r="F31" s="42">
        <f>IF(A31="","",'CHART DATA'!C20)</f>
        <v>217484.25014267434</v>
      </c>
      <c r="G31" s="42">
        <f>IF(A31="","",INDEX('PERIODIC ENGINE'!$K$2:$K$102,MATCH(A31,'PERIODIC ENGINE'!$A$2:$A$102,0)))</f>
        <v>247500</v>
      </c>
      <c r="H31" s="42">
        <f>IF(A31="","",E31-INPUTS!$C$8-G31)</f>
        <v>373273.8103241215</v>
      </c>
      <c r="I31" s="42" cm="1">
        <f t="array" ref="I31">IF(A31="","",IFERROR(INDEX(TerminalValueByYear_Range,ROW()-ROW($I$13)+1),""))</f>
        <v>250281.70729227184</v>
      </c>
      <c r="J31" s="7"/>
      <c r="K31" s="7"/>
      <c r="L31" s="7"/>
      <c r="M31" s="7"/>
      <c r="N31" s="7"/>
      <c r="O31" s="7"/>
      <c r="P31" s="7"/>
      <c r="Q31" s="7"/>
      <c r="R31" s="7"/>
    </row>
    <row r="32" spans="1:18" ht="14.25" x14ac:dyDescent="0.25">
      <c r="A32" s="118">
        <f>IF(ENGINE!A21="","",ENGINE!A21)</f>
        <v>19</v>
      </c>
      <c r="B32" s="118">
        <f>IF(A32="","",ENGINE!B21)</f>
        <v>41</v>
      </c>
      <c r="C32" s="42">
        <f>IF(A32="","",ENGINE!D21)</f>
        <v>22500</v>
      </c>
      <c r="D32" s="42">
        <f>IF(A32="","",INDEX('PERIODIC ENGINE'!$I$2:$I$102,MATCH(A32,'PERIODIC ENGINE'!$A$2:$A$102,0)))</f>
        <v>64327.381032412173</v>
      </c>
      <c r="E32" s="42">
        <f>IF(A32="","",'CHART DATA'!B21)</f>
        <v>707601.19135653367</v>
      </c>
      <c r="F32" s="42">
        <f>IF(A32="","",'CHART DATA'!C21)</f>
        <v>233871.39998810334</v>
      </c>
      <c r="G32" s="42">
        <f>IF(A32="","",INDEX('PERIODIC ENGINE'!$K$2:$K$102,MATCH(A32,'PERIODIC ENGINE'!$A$2:$A$102,0)))</f>
        <v>270000</v>
      </c>
      <c r="H32" s="42">
        <f>IF(A32="","",E32-INPUTS!$C$8-G32)</f>
        <v>437601.19135653367</v>
      </c>
      <c r="I32" s="42" cm="1">
        <f t="array" ref="I32">IF(A32="","",IFERROR(INDEX(TerminalValueByYear_Range,ROW()-ROW($I$13)+1),""))</f>
        <v>243780.88372623877</v>
      </c>
      <c r="J32" s="7"/>
      <c r="K32" s="7"/>
      <c r="L32" s="7"/>
      <c r="M32" s="7"/>
      <c r="N32" s="7"/>
      <c r="O32" s="7"/>
      <c r="P32" s="7"/>
      <c r="Q32" s="7"/>
      <c r="R32" s="7"/>
    </row>
    <row r="33" spans="1:18" ht="14.25" x14ac:dyDescent="0.25">
      <c r="A33" s="118">
        <f>IF(ENGINE!A22="","",ENGINE!A22)</f>
        <v>20</v>
      </c>
      <c r="B33" s="118">
        <f>IF(A33="","",ENGINE!B22)</f>
        <v>42</v>
      </c>
      <c r="C33" s="42">
        <f>IF(A33="","",ENGINE!D22)</f>
        <v>24000</v>
      </c>
      <c r="D33" s="42">
        <f>IF(A33="","",INDEX('PERIODIC ENGINE'!$I$2:$I$102,MATCH(A33,'PERIODIC ENGINE'!$A$2:$A$102,0)))</f>
        <v>73160.119135653484</v>
      </c>
      <c r="E33" s="42">
        <f>IF(A33="","",'CHART DATA'!B22)</f>
        <v>804761.31049218716</v>
      </c>
      <c r="F33" s="42">
        <f>IF(A33="","",'CHART DATA'!C22)</f>
        <v>250928.3806265037</v>
      </c>
      <c r="G33" s="42">
        <f>IF(A33="","",INDEX('PERIODIC ENGINE'!$K$2:$K$102,MATCH(A33,'PERIODIC ENGINE'!$A$2:$A$102,0)))</f>
        <v>294000</v>
      </c>
      <c r="H33" s="42">
        <f>IF(A33="","",E33-INPUTS!$C$8-G33)</f>
        <v>510761.31049218716</v>
      </c>
      <c r="I33" s="42" cm="1">
        <f t="array" ref="I33">IF(A33="","",IFERROR(INDEX(TerminalValueByYear_Range,ROW()-ROW($I$13)+1),""))</f>
        <v>236393.58421938308</v>
      </c>
      <c r="J33" s="7"/>
      <c r="K33" s="7"/>
      <c r="L33" s="7"/>
      <c r="M33" s="7"/>
      <c r="N33" s="7"/>
      <c r="O33" s="7"/>
      <c r="P33" s="7"/>
      <c r="Q33" s="7"/>
      <c r="R33" s="7"/>
    </row>
    <row r="34" spans="1:18" ht="14.25" x14ac:dyDescent="0.25">
      <c r="A34" s="118">
        <f>IF(ENGINE!A23="","",ENGINE!A23)</f>
        <v>21</v>
      </c>
      <c r="B34" s="118">
        <f>IF(A34="","",ENGINE!B23)</f>
        <v>43</v>
      </c>
      <c r="C34" s="42">
        <f>IF(A34="","",ENGINE!D23)</f>
        <v>25000</v>
      </c>
      <c r="D34" s="42">
        <f>IF(A34="","",INDEX('PERIODIC ENGINE'!$I$2:$I$102,MATCH(A34,'PERIODIC ENGINE'!$A$2:$A$102,0)))</f>
        <v>82976.13104921882</v>
      </c>
      <c r="E34" s="42">
        <f>IF(A34="","",'CHART DATA'!B23)</f>
        <v>912737.44154140598</v>
      </c>
      <c r="F34" s="42">
        <f>IF(A34="","",'CHART DATA'!C23)</f>
        <v>268486.64969671826</v>
      </c>
      <c r="G34" s="42">
        <f>IF(A34="","",INDEX('PERIODIC ENGINE'!$K$2:$K$102,MATCH(A34,'PERIODIC ENGINE'!$A$2:$A$102,0)))</f>
        <v>319000</v>
      </c>
      <c r="H34" s="42">
        <f>IF(A34="","",E34-INPUTS!$C$8-G34)</f>
        <v>593737.44154140598</v>
      </c>
      <c r="I34" s="42" cm="1">
        <f t="array" ref="I34">IF(A34="","",IFERROR(INDEX(TerminalValueByYear_Range,ROW()-ROW($I$13)+1),""))</f>
        <v>223857.56081380972</v>
      </c>
      <c r="J34" s="7"/>
      <c r="K34" s="7"/>
      <c r="L34" s="7"/>
      <c r="M34" s="7"/>
      <c r="N34" s="7"/>
      <c r="O34" s="7"/>
      <c r="P34" s="7"/>
      <c r="Q34" s="7"/>
      <c r="R34" s="7"/>
    </row>
    <row r="35" spans="1:18" ht="14.25" x14ac:dyDescent="0.25">
      <c r="A35" s="118">
        <f>IF(ENGINE!A24="","",ENGINE!A24)</f>
        <v>22</v>
      </c>
      <c r="B35" s="118">
        <f>IF(A35="","",ENGINE!B24)</f>
        <v>44</v>
      </c>
      <c r="C35" s="42">
        <f>IF(A35="","",ENGINE!D24)</f>
        <v>27000</v>
      </c>
      <c r="D35" s="42">
        <f>IF(A35="","",INDEX('PERIODIC ENGINE'!$I$2:$I$102,MATCH(A35,'PERIODIC ENGINE'!$A$2:$A$102,0)))</f>
        <v>93973.744154140702</v>
      </c>
      <c r="E35" s="42">
        <f>IF(A35="","",'CHART DATA'!B24)</f>
        <v>1033711.1856955467</v>
      </c>
      <c r="F35" s="42">
        <f>IF(A35="","",'CHART DATA'!C24)</f>
        <v>286860.12276156124</v>
      </c>
      <c r="G35" s="42">
        <f>IF(A35="","",INDEX('PERIODIC ENGINE'!$K$2:$K$102,MATCH(A35,'PERIODIC ENGINE'!$A$2:$A$102,0)))</f>
        <v>346000</v>
      </c>
      <c r="H35" s="42">
        <f>IF(A35="","",E35-INPUTS!$C$8-G35)</f>
        <v>687711.18569554668</v>
      </c>
      <c r="I35" s="42" cm="1">
        <f t="array" ref="I35">IF(A35="","",IFERROR(INDEX(TerminalValueByYear_Range,ROW()-ROW($I$13)+1),""))</f>
        <v>219787.42334446771</v>
      </c>
      <c r="J35" s="7"/>
      <c r="K35" s="7"/>
      <c r="L35" s="7"/>
      <c r="M35" s="7"/>
      <c r="N35" s="7"/>
      <c r="O35" s="7"/>
      <c r="P35" s="7"/>
      <c r="Q35" s="7"/>
      <c r="R35" s="7"/>
    </row>
    <row r="36" spans="1:18" ht="14.25" x14ac:dyDescent="0.25">
      <c r="A36" s="118">
        <f>IF(ENGINE!A25="","",ENGINE!A25)</f>
        <v>23</v>
      </c>
      <c r="B36" s="118">
        <f>IF(A36="","",ENGINE!B25)</f>
        <v>45</v>
      </c>
      <c r="C36" s="42">
        <f>IF(A36="","",ENGINE!D25)</f>
        <v>28500</v>
      </c>
      <c r="D36" s="42">
        <f>IF(A36="","",INDEX('PERIODIC ENGINE'!$I$2:$I$102,MATCH(A36,'PERIODIC ENGINE'!$A$2:$A$102,0)))</f>
        <v>106221.11856955476</v>
      </c>
      <c r="E36" s="42">
        <f>IF(A36="","",'CHART DATA'!B25)</f>
        <v>1168432.3042651014</v>
      </c>
      <c r="F36" s="42">
        <f>IF(A36="","",'CHART DATA'!C25)</f>
        <v>305892.37719414174</v>
      </c>
      <c r="G36" s="42">
        <f>IF(A36="","",INDEX('PERIODIC ENGINE'!$K$2:$K$102,MATCH(A36,'PERIODIC ENGINE'!$A$2:$A$102,0)))</f>
        <v>374500</v>
      </c>
      <c r="H36" s="42">
        <f>IF(A36="","",E36-INPUTS!$C$8-G36)</f>
        <v>793932.30426510144</v>
      </c>
      <c r="I36" s="42" cm="1">
        <f t="array" ref="I36">IF(A36="","",IFERROR(INDEX(TerminalValueByYear_Range,ROW()-ROW($I$13)+1),""))</f>
        <v>210907.12341135787</v>
      </c>
      <c r="J36" s="7"/>
      <c r="K36" s="7"/>
      <c r="L36" s="7"/>
      <c r="M36" s="7"/>
      <c r="N36" s="7"/>
      <c r="O36" s="7"/>
      <c r="P36" s="7"/>
      <c r="Q36" s="7"/>
      <c r="R36" s="7"/>
    </row>
    <row r="37" spans="1:18" ht="14.25" x14ac:dyDescent="0.25">
      <c r="A37" s="118">
        <f>IF(ENGINE!A26="","",ENGINE!A26)</f>
        <v>24</v>
      </c>
      <c r="B37" s="118">
        <f>IF(A37="","",ENGINE!B26)</f>
        <v>46</v>
      </c>
      <c r="C37" s="42">
        <f>IF(A37="","",ENGINE!D26)</f>
        <v>30000</v>
      </c>
      <c r="D37" s="42">
        <f>IF(A37="","",INDEX('PERIODIC ENGINE'!$I$2:$I$102,MATCH(A37,'PERIODIC ENGINE'!$A$2:$A$102,0)))</f>
        <v>119843.23042651033</v>
      </c>
      <c r="E37" s="42">
        <f>IF(A37="","",'CHART DATA'!B26)</f>
        <v>1318275.5346916118</v>
      </c>
      <c r="F37" s="42">
        <f>IF(A37="","",'CHART DATA'!C26)</f>
        <v>325585.77786253195</v>
      </c>
      <c r="G37" s="42">
        <f>IF(A37="","",INDEX('PERIODIC ENGINE'!$K$2:$K$102,MATCH(A37,'PERIODIC ENGINE'!$A$2:$A$102,0)))</f>
        <v>404500</v>
      </c>
      <c r="H37" s="42">
        <f>IF(A37="","",E37-INPUTS!$C$8-G37)</f>
        <v>913775.53469161177</v>
      </c>
      <c r="I37" s="42" cm="1">
        <f t="array" ref="I37">IF(A37="","",IFERROR(INDEX(TerminalValueByYear_Range,ROW()-ROW($I$13)+1),""))</f>
        <v>201824.99847976831</v>
      </c>
      <c r="J37" s="7"/>
      <c r="K37" s="7"/>
      <c r="L37" s="7"/>
      <c r="M37" s="7"/>
      <c r="N37" s="7"/>
      <c r="O37" s="7"/>
      <c r="P37" s="7"/>
      <c r="Q37" s="7"/>
      <c r="R37" s="7"/>
    </row>
    <row r="38" spans="1:18" ht="14.25" x14ac:dyDescent="0.25">
      <c r="A38" s="118">
        <f>IF(ENGINE!A27="","",ENGINE!A27)</f>
        <v>25</v>
      </c>
      <c r="B38" s="118">
        <f>IF(A38="","",ENGINE!B27)</f>
        <v>47</v>
      </c>
      <c r="C38" s="42">
        <f>IF(A38="","",ENGINE!D27)</f>
        <v>32000</v>
      </c>
      <c r="D38" s="42">
        <f>IF(A38="","",INDEX('PERIODIC ENGINE'!$I$2:$I$102,MATCH(A38,'PERIODIC ENGINE'!$A$2:$A$102,0)))</f>
        <v>135027.55346916127</v>
      </c>
      <c r="E38" s="42">
        <f>IF(A38="","",'CHART DATA'!B27)</f>
        <v>1485303.088160773</v>
      </c>
      <c r="F38" s="42">
        <f>IF(A38="","",'CHART DATA'!C27)</f>
        <v>346073.58542466653</v>
      </c>
      <c r="G38" s="42">
        <f>IF(A38="","",INDEX('PERIODIC ENGINE'!$K$2:$K$102,MATCH(A38,'PERIODIC ENGINE'!$A$2:$A$102,0)))</f>
        <v>436500</v>
      </c>
      <c r="H38" s="42">
        <f>IF(A38="","",E38-INPUTS!$C$8-G38)</f>
        <v>1048803.088160773</v>
      </c>
      <c r="I38" s="42" cm="1">
        <f t="array" ref="I38">IF(A38="","",IFERROR(INDEX(TerminalValueByYear_Range,ROW()-ROW($I$13)+1),""))</f>
        <v>195709.08943492681</v>
      </c>
      <c r="J38" s="7"/>
      <c r="K38" s="7"/>
      <c r="L38" s="7"/>
      <c r="M38" s="7"/>
      <c r="N38" s="7"/>
      <c r="O38" s="7"/>
      <c r="P38" s="7"/>
      <c r="Q38" s="7"/>
      <c r="R38" s="7"/>
    </row>
    <row r="39" spans="1:18" ht="14.25" x14ac:dyDescent="0.25">
      <c r="A39" s="118">
        <f>IF(ENGINE!A28="","",ENGINE!A28)</f>
        <v>26</v>
      </c>
      <c r="B39" s="118">
        <f>IF(A39="","",ENGINE!B28)</f>
        <v>48</v>
      </c>
      <c r="C39" s="42">
        <f>IF(A39="","",ENGINE!D28)</f>
        <v>34000</v>
      </c>
      <c r="D39" s="42">
        <f>IF(A39="","",INDEX('PERIODIC ENGINE'!$I$2:$I$102,MATCH(A39,'PERIODIC ENGINE'!$A$2:$A$102,0)))</f>
        <v>151930.30881607742</v>
      </c>
      <c r="E39" s="42">
        <f>IF(A39="","",'CHART DATA'!B28)</f>
        <v>1671233.3969768505</v>
      </c>
      <c r="F39" s="42">
        <f>IF(A39="","",'CHART DATA'!C28)</f>
        <v>367353.86108299892</v>
      </c>
      <c r="G39" s="42">
        <f>IF(A39="","",INDEX('PERIODIC ENGINE'!$K$2:$K$102,MATCH(A39,'PERIODIC ENGINE'!$A$2:$A$102,0)))</f>
        <v>470500</v>
      </c>
      <c r="H39" s="42">
        <f>IF(A39="","",E39-INPUTS!$C$8-G39)</f>
        <v>1200733.3969768505</v>
      </c>
      <c r="I39" s="42" cm="1">
        <f t="array" ref="I39">IF(A39="","",IFERROR(INDEX(TerminalValueByYear_Range,ROW()-ROW($I$13)+1),""))</f>
        <v>189037.18865873609</v>
      </c>
      <c r="J39" s="7"/>
      <c r="K39" s="7"/>
      <c r="L39" s="7"/>
      <c r="M39" s="7"/>
      <c r="N39" s="7"/>
      <c r="O39" s="7"/>
      <c r="P39" s="7"/>
      <c r="Q39" s="7"/>
      <c r="R39" s="7"/>
    </row>
    <row r="40" spans="1:18" ht="14.25" x14ac:dyDescent="0.25">
      <c r="A40" s="118">
        <f>IF(ENGINE!A29="","",ENGINE!A29)</f>
        <v>27</v>
      </c>
      <c r="B40" s="118">
        <f>IF(A40="","",ENGINE!B29)</f>
        <v>49</v>
      </c>
      <c r="C40" s="42">
        <f>IF(A40="","",ENGINE!D29)</f>
        <v>36000</v>
      </c>
      <c r="D40" s="42">
        <f>IF(A40="","",INDEX('PERIODIC ENGINE'!$I$2:$I$102,MATCH(A40,'PERIODIC ENGINE'!$A$2:$A$102,0)))</f>
        <v>170723.33969768509</v>
      </c>
      <c r="E40" s="42">
        <f>IF(A40="","",'CHART DATA'!B29)</f>
        <v>1877956.7366745356</v>
      </c>
      <c r="F40" s="42">
        <f>IF(A40="","",'CHART DATA'!C29)</f>
        <v>389428.04182158323</v>
      </c>
      <c r="G40" s="42">
        <f>IF(A40="","",INDEX('PERIODIC ENGINE'!$K$2:$K$102,MATCH(A40,'PERIODIC ENGINE'!$A$2:$A$102,0)))</f>
        <v>506500</v>
      </c>
      <c r="H40" s="42">
        <f>IF(A40="","",E40-INPUTS!$C$8-G40)</f>
        <v>1371456.7366745356</v>
      </c>
      <c r="I40" s="42" cm="1">
        <f t="array" ref="I40">IF(A40="","",IFERROR(INDEX(TerminalValueByYear_Range,ROW()-ROW($I$13)+1),""))</f>
        <v>181960.93025974595</v>
      </c>
      <c r="J40" s="7"/>
      <c r="K40" s="7"/>
      <c r="L40" s="7"/>
      <c r="M40" s="7"/>
      <c r="N40" s="7"/>
      <c r="O40" s="7"/>
      <c r="P40" s="7"/>
      <c r="Q40" s="7"/>
      <c r="R40" s="7"/>
    </row>
    <row r="41" spans="1:18" ht="14.25" x14ac:dyDescent="0.25">
      <c r="A41" s="118">
        <f>IF(ENGINE!A30="","",ENGINE!A30)</f>
        <v>28</v>
      </c>
      <c r="B41" s="118">
        <f>IF(A41="","",ENGINE!B30)</f>
        <v>50</v>
      </c>
      <c r="C41" s="42">
        <f>IF(A41="","",ENGINE!D30)</f>
        <v>43600</v>
      </c>
      <c r="D41" s="42">
        <f>IF(A41="","",INDEX('PERIODIC ENGINE'!$I$2:$I$102,MATCH(A41,'PERIODIC ENGINE'!$A$2:$A$102,0)))</f>
        <v>192155.6736674537</v>
      </c>
      <c r="E41" s="42">
        <f>IF(A41="","",'CHART DATA'!B30)</f>
        <v>2113712.4103419892</v>
      </c>
      <c r="F41" s="42">
        <f>IF(A41="","",'CHART DATA'!C30)</f>
        <v>413505.8612888247</v>
      </c>
      <c r="G41" s="42">
        <f>IF(A41="","",INDEX('PERIODIC ENGINE'!$K$2:$K$102,MATCH(A41,'PERIODIC ENGINE'!$A$2:$A$102,0)))</f>
        <v>550100</v>
      </c>
      <c r="H41" s="42">
        <f>IF(A41="","",E41-INPUTS!$C$8-G41)</f>
        <v>1563612.4103419892</v>
      </c>
      <c r="I41" s="42" cm="1">
        <f t="array" ref="I41">IF(A41="","",IFERROR(INDEX(TerminalValueByYear_Range,ROW()-ROW($I$13)+1),""))</f>
        <v>200340.82220517483</v>
      </c>
      <c r="J41" s="7"/>
      <c r="K41" s="7"/>
      <c r="L41" s="7"/>
      <c r="M41" s="7"/>
      <c r="N41" s="7"/>
      <c r="O41" s="7"/>
      <c r="P41" s="7"/>
      <c r="Q41" s="7"/>
      <c r="R41" s="7"/>
    </row>
    <row r="42" spans="1:18" ht="14.25" x14ac:dyDescent="0.25">
      <c r="A42" s="118">
        <f>IF(ENGINE!A31="","",ENGINE!A31)</f>
        <v>29</v>
      </c>
      <c r="B42" s="118">
        <f>IF(A42="","",ENGINE!B31)</f>
        <v>51</v>
      </c>
      <c r="C42" s="42">
        <f>IF(A42="","",ENGINE!D31)</f>
        <v>46400</v>
      </c>
      <c r="D42" s="42">
        <f>IF(A42="","",INDEX('PERIODIC ENGINE'!$I$2:$I$102,MATCH(A42,'PERIODIC ENGINE'!$A$2:$A$102,0)))</f>
        <v>216011.24103419902</v>
      </c>
      <c r="E42" s="42">
        <f>IF(A42="","",'CHART DATA'!B31)</f>
        <v>2376123.6513761883</v>
      </c>
      <c r="F42" s="42">
        <f>IF(A42="","",'CHART DATA'!C31)</f>
        <v>438529.63200102019</v>
      </c>
      <c r="G42" s="42">
        <f>IF(A42="","",INDEX('PERIODIC ENGINE'!$K$2:$K$102,MATCH(A42,'PERIODIC ENGINE'!$A$2:$A$102,0)))</f>
        <v>596500</v>
      </c>
      <c r="H42" s="42">
        <f>IF(A42="","",E42-INPUTS!$C$8-G42)</f>
        <v>1779623.6513761883</v>
      </c>
      <c r="I42" s="42" cm="1">
        <f t="array" ref="I42">IF(A42="","",IFERROR(INDEX(TerminalValueByYear_Range,ROW()-ROW($I$13)+1),""))</f>
        <v>193824.31506088641</v>
      </c>
      <c r="J42" s="7"/>
      <c r="K42" s="7"/>
      <c r="L42" s="7"/>
      <c r="M42" s="7"/>
      <c r="N42" s="7"/>
      <c r="O42" s="7"/>
      <c r="P42" s="7"/>
      <c r="Q42" s="7"/>
      <c r="R42" s="7"/>
    </row>
    <row r="43" spans="1:18" ht="14.25" x14ac:dyDescent="0.25">
      <c r="A43" s="118">
        <f>IF(ENGINE!A32="","",ENGINE!A32)</f>
        <v>30</v>
      </c>
      <c r="B43" s="118">
        <f>IF(A43="","",ENGINE!B32)</f>
        <v>52</v>
      </c>
      <c r="C43" s="42">
        <f>IF(A43="","",ENGINE!D32)</f>
        <v>49300</v>
      </c>
      <c r="D43" s="42">
        <f>IF(A43="","",INDEX('PERIODIC ENGINE'!$I$2:$I$102,MATCH(A43,'PERIODIC ENGINE'!$A$2:$A$102,0)))</f>
        <v>242542.36513761897</v>
      </c>
      <c r="E43" s="42">
        <f>IF(A43="","",'CHART DATA'!B32)</f>
        <v>2667966.0165138072</v>
      </c>
      <c r="F43" s="42">
        <f>IF(A43="","",'CHART DATA'!C32)</f>
        <v>464519.91240034241</v>
      </c>
      <c r="G43" s="42">
        <f>IF(A43="","",INDEX('PERIODIC ENGINE'!$K$2:$K$102,MATCH(A43,'PERIODIC ENGINE'!$A$2:$A$102,0)))</f>
        <v>645800</v>
      </c>
      <c r="H43" s="42">
        <f>IF(A43="","",E43-INPUTS!$C$8-G43)</f>
        <v>2022166.0165138072</v>
      </c>
      <c r="I43" s="42" cm="1">
        <f t="array" ref="I43">IF(A43="","",IFERROR(INDEX(TerminalValueByYear_Range,ROW()-ROW($I$13)+1),""))</f>
        <v>187216.66795653797</v>
      </c>
      <c r="J43" s="7"/>
      <c r="K43" s="7"/>
      <c r="L43" s="7"/>
      <c r="M43" s="7"/>
      <c r="N43" s="7"/>
      <c r="O43" s="7"/>
      <c r="P43" s="7"/>
      <c r="Q43" s="7"/>
      <c r="R43" s="7"/>
    </row>
    <row r="44" spans="1:18" ht="14.25" x14ac:dyDescent="0.25">
      <c r="A44" s="118">
        <f>IF(ENGINE!A33="","",ENGINE!A33)</f>
        <v>31</v>
      </c>
      <c r="B44" s="118">
        <f>IF(A44="","",ENGINE!B33)</f>
        <v>53</v>
      </c>
      <c r="C44" s="42">
        <f>IF(A44="","",ENGINE!D33)</f>
        <v>52100</v>
      </c>
      <c r="D44" s="42">
        <f>IF(A44="","",INDEX('PERIODIC ENGINE'!$I$2:$I$102,MATCH(A44,'PERIODIC ENGINE'!$A$2:$A$102,0)))</f>
        <v>272006.60165138077</v>
      </c>
      <c r="E44" s="42">
        <f>IF(A44="","",'CHART DATA'!B33)</f>
        <v>2992072.618165188</v>
      </c>
      <c r="F44" s="42">
        <f>IF(A44="","",'CHART DATA'!C33)</f>
        <v>491462.41060647642</v>
      </c>
      <c r="G44" s="42">
        <f>IF(A44="","",INDEX('PERIODIC ENGINE'!$K$2:$K$102,MATCH(A44,'PERIODIC ENGINE'!$A$2:$A$102,0)))</f>
        <v>697900</v>
      </c>
      <c r="H44" s="42">
        <f>IF(A44="","",E44-INPUTS!$C$8-G44)</f>
        <v>2294172.618165188</v>
      </c>
      <c r="I44" s="42" cm="1">
        <f t="array" ref="I44">IF(A44="","",IFERROR(INDEX(TerminalValueByYear_Range,ROW()-ROW($I$13)+1),""))</f>
        <v>179863.33026988068</v>
      </c>
      <c r="J44" s="7"/>
      <c r="K44" s="7"/>
      <c r="L44" s="7"/>
      <c r="M44" s="7"/>
      <c r="N44" s="7"/>
      <c r="O44" s="7"/>
      <c r="P44" s="7"/>
      <c r="Q44" s="7"/>
      <c r="R44" s="7"/>
    </row>
    <row r="45" spans="1:18" ht="14.25" x14ac:dyDescent="0.25">
      <c r="A45" s="118">
        <f>IF(ENGINE!A34="","",ENGINE!A34)</f>
        <v>32</v>
      </c>
      <c r="B45" s="118">
        <f>IF(A45="","",ENGINE!B34)</f>
        <v>54</v>
      </c>
      <c r="C45" s="42">
        <f>IF(A45="","",ENGINE!D34)</f>
        <v>55000</v>
      </c>
      <c r="D45" s="42">
        <f>IF(A45="","",INDEX('PERIODIC ENGINE'!$I$2:$I$102,MATCH(A45,'PERIODIC ENGINE'!$A$2:$A$102,0)))</f>
        <v>304707.26181651885</v>
      </c>
      <c r="E45" s="42">
        <f>IF(A45="","",'CHART DATA'!B34)</f>
        <v>3351779.8799817069</v>
      </c>
      <c r="F45" s="42">
        <f>IF(A45="","",'CHART DATA'!C34)</f>
        <v>519383.08444931026</v>
      </c>
      <c r="G45" s="42">
        <f>IF(A45="","",INDEX('PERIODIC ENGINE'!$K$2:$K$102,MATCH(A45,'PERIODIC ENGINE'!$A$2:$A$102,0)))</f>
        <v>752900</v>
      </c>
      <c r="H45" s="42">
        <f>IF(A45="","",E45-INPUTS!$C$8-G45)</f>
        <v>2598879.8799817069</v>
      </c>
      <c r="I45" s="42" cm="1">
        <f t="array" ref="I45">IF(A45="","",IFERROR(INDEX(TerminalValueByYear_Range,ROW()-ROW($I$13)+1),""))</f>
        <v>172613.56071965516</v>
      </c>
      <c r="J45" s="7"/>
      <c r="K45" s="7"/>
      <c r="L45" s="7"/>
      <c r="M45" s="7"/>
      <c r="N45" s="7"/>
      <c r="O45" s="7"/>
      <c r="P45" s="7"/>
      <c r="Q45" s="7"/>
      <c r="R45" s="7"/>
    </row>
    <row r="46" spans="1:18" ht="14.25" x14ac:dyDescent="0.25">
      <c r="A46" s="118">
        <f>IF(ENGINE!A35="","",ENGINE!A35)</f>
        <v>33</v>
      </c>
      <c r="B46" s="118">
        <f>IF(A46="","",ENGINE!B35)</f>
        <v>55</v>
      </c>
      <c r="C46" s="42">
        <f>IF(A46="","",ENGINE!D35)</f>
        <v>58500</v>
      </c>
      <c r="D46" s="42">
        <f>IF(A46="","",INDEX('PERIODIC ENGINE'!$I$2:$I$102,MATCH(A46,'PERIODIC ENGINE'!$A$2:$A$102,0)))</f>
        <v>341027.98799817078</v>
      </c>
      <c r="E46" s="42">
        <f>IF(A46="","",'CHART DATA'!B35)</f>
        <v>3751307.8679798776</v>
      </c>
      <c r="F46" s="42">
        <f>IF(A46="","",'CHART DATA'!C35)</f>
        <v>548389.52959495829</v>
      </c>
      <c r="G46" s="42">
        <f>IF(A46="","",INDEX('PERIODIC ENGINE'!$K$2:$K$102,MATCH(A46,'PERIODIC ENGINE'!$A$2:$A$102,0)))</f>
        <v>811400</v>
      </c>
      <c r="H46" s="42">
        <f>IF(A46="","",E46-INPUTS!$C$8-G46)</f>
        <v>2939907.8679798776</v>
      </c>
      <c r="I46" s="42" cm="1">
        <f t="array" ref="I46">IF(A46="","",IFERROR(INDEX(TerminalValueByYear_Range,ROW()-ROW($I$13)+1),""))</f>
        <v>166907.32730743513</v>
      </c>
      <c r="J46" s="7"/>
      <c r="K46" s="7"/>
      <c r="L46" s="7"/>
      <c r="M46" s="7"/>
      <c r="N46" s="7"/>
      <c r="O46" s="7"/>
      <c r="P46" s="7"/>
      <c r="Q46" s="7"/>
      <c r="R46" s="7"/>
    </row>
    <row r="47" spans="1:18" ht="14.25" x14ac:dyDescent="0.25">
      <c r="A47" s="118">
        <f>IF(ENGINE!A36="","",ENGINE!A36)</f>
        <v>34</v>
      </c>
      <c r="B47" s="118">
        <f>IF(A47="","",ENGINE!B36)</f>
        <v>56</v>
      </c>
      <c r="C47" s="42">
        <f>IF(A47="","",ENGINE!D36)</f>
        <v>61900</v>
      </c>
      <c r="D47" s="42">
        <f>IF(A47="","",INDEX('PERIODIC ENGINE'!$I$2:$I$102,MATCH(A47,'PERIODIC ENGINE'!$A$2:$A$102,0)))</f>
        <v>381320.78679798823</v>
      </c>
      <c r="E47" s="42">
        <f>IF(A47="","",'CHART DATA'!B36)</f>
        <v>4194528.6547778659</v>
      </c>
      <c r="F47" s="42">
        <f>IF(A47="","",'CHART DATA'!C36)</f>
        <v>578473.87028099177</v>
      </c>
      <c r="G47" s="42">
        <f>IF(A47="","",INDEX('PERIODIC ENGINE'!$K$2:$K$102,MATCH(A47,'PERIODIC ENGINE'!$A$2:$A$102,0)))</f>
        <v>873300</v>
      </c>
      <c r="H47" s="42">
        <f>IF(A47="","",E47-INPUTS!$C$8-G47)</f>
        <v>3321228.6547778659</v>
      </c>
      <c r="I47" s="42" cm="1">
        <f t="array" ref="I47">IF(A47="","",IFERROR(INDEX(TerminalValueByYear_Range,ROW()-ROW($I$13)+1),""))</f>
        <v>160552.65828019011</v>
      </c>
      <c r="J47" s="7"/>
      <c r="K47" s="7"/>
      <c r="L47" s="7"/>
      <c r="M47" s="7"/>
      <c r="N47" s="7"/>
      <c r="O47" s="7"/>
      <c r="P47" s="7"/>
      <c r="Q47" s="7"/>
      <c r="R47" s="7"/>
    </row>
    <row r="48" spans="1:18" ht="14.25" x14ac:dyDescent="0.25">
      <c r="A48" s="118">
        <f>IF(ENGINE!A37="","",ENGINE!A37)</f>
        <v>35</v>
      </c>
      <c r="B48" s="118">
        <f>IF(A48="","",ENGINE!B37)</f>
        <v>57</v>
      </c>
      <c r="C48" s="42">
        <f>IF(A48="","",ENGINE!D37)</f>
        <v>65900</v>
      </c>
      <c r="D48" s="42">
        <f>IF(A48="","",INDEX('PERIODIC ENGINE'!$I$2:$I$102,MATCH(A48,'PERIODIC ENGINE'!$A$2:$A$102,0)))</f>
        <v>426042.86547778733</v>
      </c>
      <c r="E48" s="42">
        <f>IF(A48="","",'CHART DATA'!B37)</f>
        <v>4686471.5202556532</v>
      </c>
      <c r="F48" s="42">
        <f>IF(A48="","",'CHART DATA'!C37)</f>
        <v>609734.40020779858</v>
      </c>
      <c r="G48" s="42">
        <f>IF(A48="","",INDEX('PERIODIC ENGINE'!$K$2:$K$102,MATCH(A48,'PERIODIC ENGINE'!$A$2:$A$102,0)))</f>
        <v>939200</v>
      </c>
      <c r="H48" s="42">
        <f>IF(A48="","",E48-INPUTS!$C$8-G48)</f>
        <v>3747271.5202556532</v>
      </c>
      <c r="I48" s="42" cm="1">
        <f t="array" ref="I48">IF(A48="","",IFERROR(INDEX(TerminalValueByYear_Range,ROW()-ROW($I$13)+1),""))</f>
        <v>155388.75283690009</v>
      </c>
      <c r="J48" s="7"/>
      <c r="K48" s="7"/>
      <c r="L48" s="7"/>
      <c r="M48" s="7"/>
      <c r="N48" s="7"/>
      <c r="O48" s="7"/>
      <c r="P48" s="7"/>
      <c r="Q48" s="7"/>
      <c r="R48" s="7"/>
    </row>
    <row r="49" spans="1:18" ht="14.25" x14ac:dyDescent="0.25">
      <c r="A49" s="118">
        <f>IF(ENGINE!A38="","",ENGINE!A38)</f>
        <v>36</v>
      </c>
      <c r="B49" s="118">
        <f>IF(A49="","",ENGINE!B38)</f>
        <v>58</v>
      </c>
      <c r="C49" s="42">
        <f>IF(A49="","",ENGINE!D38)</f>
        <v>69900</v>
      </c>
      <c r="D49" s="42">
        <f>IF(A49="","",INDEX('PERIODIC ENGINE'!$I$2:$I$102,MATCH(A49,'PERIODIC ENGINE'!$A$2:$A$102,0)))</f>
        <v>475637.15202556551</v>
      </c>
      <c r="E49" s="42">
        <f>IF(A49="","",'CHART DATA'!B38)</f>
        <v>5232008.6722812187</v>
      </c>
      <c r="F49" s="42">
        <f>IF(A49="","",'CHART DATA'!C38)</f>
        <v>642180.78345641505</v>
      </c>
      <c r="G49" s="42">
        <f>IF(A49="","",INDEX('PERIODIC ENGINE'!$K$2:$K$102,MATCH(A49,'PERIODIC ENGINE'!$A$2:$A$102,0)))</f>
        <v>1009100</v>
      </c>
      <c r="H49" s="42">
        <f>IF(A49="","",E49-INPUTS!$C$8-G49)</f>
        <v>4222908.6722812187</v>
      </c>
      <c r="I49" s="42" cm="1">
        <f t="array" ref="I49">IF(A49="","",IFERROR(INDEX(TerminalValueByYear_Range,ROW()-ROW($I$13)+1),""))</f>
        <v>149836.85781900011</v>
      </c>
      <c r="J49" s="7"/>
      <c r="K49" s="7"/>
      <c r="L49" s="7"/>
      <c r="M49" s="7"/>
      <c r="N49" s="7"/>
      <c r="O49" s="7"/>
      <c r="P49" s="7"/>
      <c r="Q49" s="7"/>
      <c r="R49" s="7"/>
    </row>
    <row r="50" spans="1:18" ht="14.25" x14ac:dyDescent="0.25">
      <c r="A50" s="118">
        <f>IF(ENGINE!A39="","",ENGINE!A39)</f>
        <v>37</v>
      </c>
      <c r="B50" s="118">
        <f>IF(A50="","",ENGINE!B39)</f>
        <v>59</v>
      </c>
      <c r="C50" s="42">
        <f>IF(A50="","",ENGINE!D39)</f>
        <v>73900</v>
      </c>
      <c r="D50" s="42">
        <f>IF(A50="","",INDEX('PERIODIC ENGINE'!$I$2:$I$102,MATCH(A50,'PERIODIC ENGINE'!$A$2:$A$102,0)))</f>
        <v>530590.86722812243</v>
      </c>
      <c r="E50" s="42">
        <f>IF(A50="","",'CHART DATA'!B39)</f>
        <v>5836499.5395093411</v>
      </c>
      <c r="F50" s="42">
        <f>IF(A50="","",'CHART DATA'!C39)</f>
        <v>675826.84826088406</v>
      </c>
      <c r="G50" s="42">
        <f>IF(A50="","",INDEX('PERIODIC ENGINE'!$K$2:$K$102,MATCH(A50,'PERIODIC ENGINE'!$A$2:$A$102,0)))</f>
        <v>1083000</v>
      </c>
      <c r="H50" s="42">
        <f>IF(A50="","",E50-INPUTS!$C$8-G50)</f>
        <v>4753499.5395093411</v>
      </c>
      <c r="I50" s="42" cm="1">
        <f t="array" ref="I50">IF(A50="","",IFERROR(INDEX(TerminalValueByYear_Range,ROW()-ROW($I$13)+1),""))</f>
        <v>144010.19369000007</v>
      </c>
      <c r="J50" s="7"/>
      <c r="K50" s="7"/>
      <c r="L50" s="7"/>
      <c r="M50" s="7"/>
      <c r="N50" s="7"/>
      <c r="O50" s="7"/>
      <c r="P50" s="7"/>
      <c r="Q50" s="7"/>
      <c r="R50" s="7"/>
    </row>
    <row r="51" spans="1:18" ht="14.25" x14ac:dyDescent="0.25">
      <c r="A51" s="118">
        <f>IF(ENGINE!A40="","",ENGINE!A40)</f>
        <v>38</v>
      </c>
      <c r="B51" s="118">
        <f>IF(A51="","",ENGINE!B40)</f>
        <v>60</v>
      </c>
      <c r="C51" s="42">
        <f>IF(A51="","",ENGINE!D40)</f>
        <v>78500</v>
      </c>
      <c r="D51" s="42">
        <f>IF(A51="","",INDEX('PERIODIC ENGINE'!$I$2:$I$102,MATCH(A51,'PERIODIC ENGINE'!$A$2:$A$102,0)))</f>
        <v>591499.95395093504</v>
      </c>
      <c r="E51" s="42">
        <f>IF(A51="","",'CHART DATA'!B40)</f>
        <v>6506499.4934602762</v>
      </c>
      <c r="F51" s="42">
        <f>IF(A51="","",'CHART DATA'!C40)</f>
        <v>710762.52290219313</v>
      </c>
      <c r="G51" s="42">
        <f>IF(A51="","",INDEX('PERIODIC ENGINE'!$K$2:$K$102,MATCH(A51,'PERIODIC ENGINE'!$A$2:$A$102,0)))</f>
        <v>1161500</v>
      </c>
      <c r="H51" s="42">
        <f>IF(A51="","",E51-INPUTS!$C$8-G51)</f>
        <v>5344999.4934602762</v>
      </c>
      <c r="I51" s="42" cm="1">
        <f t="array" ref="I51">IF(A51="","",IFERROR(INDEX(TerminalValueByYear_Range,ROW()-ROW($I$13)+1),""))</f>
        <v>139067.53850000005</v>
      </c>
      <c r="J51" s="7"/>
      <c r="K51" s="7"/>
      <c r="L51" s="7"/>
      <c r="M51" s="7"/>
      <c r="N51" s="7"/>
      <c r="O51" s="7"/>
      <c r="P51" s="7"/>
      <c r="Q51" s="7"/>
      <c r="R51" s="7"/>
    </row>
    <row r="52" spans="1:18" ht="14.25" x14ac:dyDescent="0.25">
      <c r="A52" s="118">
        <f>IF(ENGINE!A41="","",ENGINE!A41)</f>
        <v>39</v>
      </c>
      <c r="B52" s="118">
        <f>IF(A52="","",ENGINE!B41)</f>
        <v>61</v>
      </c>
      <c r="C52" s="42">
        <f>IF(A52="","",ENGINE!D41)</f>
        <v>83100</v>
      </c>
      <c r="D52" s="42">
        <f>IF(A52="","",INDEX('PERIODIC ENGINE'!$I$2:$I$102,MATCH(A52,'PERIODIC ENGINE'!$A$2:$A$102,0)))</f>
        <v>658959.94934602827</v>
      </c>
      <c r="E52" s="42">
        <f>IF(A52="","",'CHART DATA'!B41)</f>
        <v>7248559.4428063044</v>
      </c>
      <c r="F52" s="42">
        <f>IF(A52="","",'CHART DATA'!C41)</f>
        <v>747004.05517066165</v>
      </c>
      <c r="G52" s="42">
        <f>IF(A52="","",INDEX('PERIODIC ENGINE'!$K$2:$K$102,MATCH(A52,'PERIODIC ENGINE'!$A$2:$A$102,0)))</f>
        <v>1244600</v>
      </c>
      <c r="H52" s="42">
        <f>IF(A52="","",E52-INPUTS!$C$8-G52)</f>
        <v>6003959.4428063044</v>
      </c>
      <c r="I52" s="42" cm="1">
        <f t="array" ref="I52">IF(A52="","",IFERROR(INDEX(TerminalValueByYear_Range,ROW()-ROW($I$13)+1),""))</f>
        <v>133833.38100000005</v>
      </c>
      <c r="J52" s="7"/>
      <c r="K52" s="7"/>
      <c r="L52" s="7"/>
      <c r="M52" s="7"/>
      <c r="N52" s="7"/>
      <c r="O52" s="7"/>
      <c r="P52" s="7"/>
      <c r="Q52" s="7"/>
      <c r="R52" s="7"/>
    </row>
    <row r="53" spans="1:18" ht="14.25" x14ac:dyDescent="0.25">
      <c r="A53" s="118">
        <f>IF(ENGINE!A42="","",ENGINE!A42)</f>
        <v>40</v>
      </c>
      <c r="B53" s="118">
        <f>IF(A53="","",ENGINE!B42)</f>
        <v>62</v>
      </c>
      <c r="C53" s="42">
        <f>IF(A53="","",ENGINE!D42)</f>
        <v>88300</v>
      </c>
      <c r="D53" s="42">
        <f>IF(A53="","",INDEX('PERIODIC ENGINE'!$I$2:$I$102,MATCH(A53,'PERIODIC ENGINE'!$A$2:$A$102,0)))</f>
        <v>733685.94428063091</v>
      </c>
      <c r="E53" s="42">
        <f>IF(A53="","",'CHART DATA'!B42)</f>
        <v>8070545.3870869353</v>
      </c>
      <c r="F53" s="42">
        <f>IF(A53="","",'CHART DATA'!C42)</f>
        <v>784636.07853337994</v>
      </c>
      <c r="G53" s="42">
        <f>IF(A53="","",INDEX('PERIODIC ENGINE'!$K$2:$K$102,MATCH(A53,'PERIODIC ENGINE'!$A$2:$A$102,0)))</f>
        <v>1332900</v>
      </c>
      <c r="H53" s="42">
        <f>IF(A53="","",E53-INPUTS!$C$8-G53)</f>
        <v>6737645.3870869353</v>
      </c>
      <c r="I53" s="42" cm="1">
        <f t="array" ref="I53">IF(A53="","",IFERROR(INDEX(TerminalValueByYear_Range,ROW()-ROW($I$13)+1),""))</f>
        <v>129280.03000000006</v>
      </c>
      <c r="J53" s="7"/>
      <c r="K53" s="7"/>
      <c r="L53" s="7"/>
      <c r="M53" s="7"/>
      <c r="N53" s="7"/>
      <c r="O53" s="7"/>
      <c r="P53" s="7"/>
      <c r="Q53" s="7"/>
      <c r="R53" s="7"/>
    </row>
    <row r="54" spans="1:18" ht="14.25" x14ac:dyDescent="0.25">
      <c r="A54" s="118">
        <f>IF(ENGINE!A43="","",ENGINE!A43)</f>
        <v>41</v>
      </c>
      <c r="B54" s="118">
        <f>IF(A54="","",ENGINE!B43)</f>
        <v>63</v>
      </c>
      <c r="C54" s="42">
        <f>IF(A54="","",ENGINE!D43)</f>
        <v>93400</v>
      </c>
      <c r="D54" s="42">
        <f>IF(A54="","",INDEX('PERIODIC ENGINE'!$I$2:$I$102,MATCH(A54,'PERIODIC ENGINE'!$A$2:$A$102,0)))</f>
        <v>816394.53870869428</v>
      </c>
      <c r="E54" s="42">
        <f>IF(A54="","",'CHART DATA'!B43)</f>
        <v>8980339.9257956296</v>
      </c>
      <c r="F54" s="42">
        <f>IF(A54="","",'CHART DATA'!C43)</f>
        <v>823668.20184140571</v>
      </c>
      <c r="G54" s="42">
        <f>IF(A54="","",INDEX('PERIODIC ENGINE'!$K$2:$K$102,MATCH(A54,'PERIODIC ENGINE'!$A$2:$A$102,0)))</f>
        <v>1426300</v>
      </c>
      <c r="H54" s="42">
        <f>IF(A54="","",E54-INPUTS!$C$8-G54)</f>
        <v>7554039.9257956296</v>
      </c>
      <c r="I54" s="42" cm="1">
        <f t="array" ref="I54">IF(A54="","",IFERROR(INDEX(TerminalValueByYear_Range,ROW()-ROW($I$13)+1),""))</f>
        <v>124315.40000000004</v>
      </c>
      <c r="J54" s="7"/>
      <c r="K54" s="7"/>
      <c r="L54" s="7"/>
      <c r="M54" s="7"/>
      <c r="N54" s="7"/>
      <c r="O54" s="7"/>
      <c r="P54" s="7"/>
      <c r="Q54" s="7"/>
      <c r="R54" s="7"/>
    </row>
    <row r="55" spans="1:18" ht="14.25" x14ac:dyDescent="0.25">
      <c r="A55" s="118">
        <f>IF(ENGINE!A44="","",ENGINE!A44)</f>
        <v>42</v>
      </c>
      <c r="B55" s="118">
        <f>IF(A55="","",ENGINE!B44)</f>
        <v>64</v>
      </c>
      <c r="C55" s="42">
        <f>IF(A55="","",ENGINE!D44)</f>
        <v>99200</v>
      </c>
      <c r="D55" s="42">
        <f>IF(A55="","",INDEX('PERIODIC ENGINE'!$I$2:$I$102,MATCH(A55,'PERIODIC ENGINE'!$A$2:$A$102,0)))</f>
        <v>907953.99257956445</v>
      </c>
      <c r="E55" s="42">
        <f>IF(A55="","",'CHART DATA'!B44)</f>
        <v>9987493.9183751941</v>
      </c>
      <c r="F55" s="42">
        <f>IF(A55="","",'CHART DATA'!C44)</f>
        <v>864191.89077058656</v>
      </c>
      <c r="G55" s="42">
        <f>IF(A55="","",INDEX('PERIODIC ENGINE'!$K$2:$K$102,MATCH(A55,'PERIODIC ENGINE'!$A$2:$A$102,0)))</f>
        <v>1525500</v>
      </c>
      <c r="H55" s="42">
        <f>IF(A55="","",E55-INPUTS!$C$8-G55)</f>
        <v>8461993.9183751941</v>
      </c>
      <c r="I55" s="42" cm="1">
        <f t="array" ref="I55">IF(A55="","",IFERROR(INDEX(TerminalValueByYear_Range,ROW()-ROW($I$13)+1),""))</f>
        <v>120032.00000000001</v>
      </c>
      <c r="J55" s="7"/>
      <c r="K55" s="7"/>
      <c r="L55" s="7"/>
      <c r="M55" s="7"/>
      <c r="N55" s="7"/>
      <c r="O55" s="7"/>
      <c r="P55" s="7"/>
      <c r="Q55" s="7"/>
      <c r="R55" s="7"/>
    </row>
    <row r="56" spans="1:18" ht="14.25" x14ac:dyDescent="0.25">
      <c r="A56" s="118">
        <f>IF(ENGINE!A45="","",ENGINE!A45)</f>
        <v>43</v>
      </c>
      <c r="B56" s="118">
        <f>IF(A56="","",ENGINE!B45)</f>
        <v>65</v>
      </c>
      <c r="C56" s="42">
        <f>IF(A56="","",ENGINE!D45)</f>
        <v>104900</v>
      </c>
      <c r="D56" s="42">
        <f>IF(A56="","",INDEX('PERIODIC ENGINE'!$I$2:$I$102,MATCH(A56,'PERIODIC ENGINE'!$A$2:$A$102,0)))</f>
        <v>1009239.3918375205</v>
      </c>
      <c r="E56" s="42">
        <f>IF(A56="","",'CHART DATA'!B45)</f>
        <v>11101633.310212715</v>
      </c>
      <c r="F56" s="42">
        <f>IF(A56="","",'CHART DATA'!C45)</f>
        <v>906222.14777677099</v>
      </c>
      <c r="G56" s="42">
        <f>IF(A56="","",INDEX('PERIODIC ENGINE'!$K$2:$K$102,MATCH(A56,'PERIODIC ENGINE'!$A$2:$A$102,0)))</f>
        <v>1630400</v>
      </c>
      <c r="H56" s="42">
        <f>IF(A56="","",E56-INPUTS!$C$8-G56)</f>
        <v>9471233.3102127146</v>
      </c>
      <c r="I56" s="42" cm="1">
        <f t="array" ref="I56">IF(A56="","",IFERROR(INDEX(TerminalValueByYear_Range,ROW()-ROW($I$13)+1),""))</f>
        <v>115390.00000000001</v>
      </c>
      <c r="J56" s="7"/>
      <c r="K56" s="7"/>
      <c r="L56" s="7"/>
      <c r="M56" s="7"/>
      <c r="N56" s="7"/>
      <c r="O56" s="7"/>
      <c r="P56" s="7"/>
      <c r="Q56" s="7"/>
      <c r="R56" s="7"/>
    </row>
    <row r="57" spans="1:18" ht="14.25" x14ac:dyDescent="0.25">
      <c r="A57" s="118" t="str">
        <f>IF(ENGINE!A46="","",ENGINE!A46)</f>
        <v/>
      </c>
      <c r="B57" s="118" t="str">
        <f>IF(A57="","",ENGINE!B46)</f>
        <v/>
      </c>
      <c r="C57" s="42" t="str">
        <f>IF(A57="","",ENGINE!D46)</f>
        <v/>
      </c>
      <c r="D57" s="42" t="str">
        <f>IF(A57="","",INDEX('PERIODIC ENGINE'!$I$2:$I$102,MATCH(A57,'PERIODIC ENGINE'!$A$2:$A$102,0)))</f>
        <v/>
      </c>
      <c r="E57" s="42" t="str">
        <f>IF(A57="","",'CHART DATA'!B46)</f>
        <v/>
      </c>
      <c r="F57" s="42" t="str">
        <f>IF(A57="","",'CHART DATA'!C46)</f>
        <v/>
      </c>
      <c r="G57" s="42" t="str">
        <f>IF(A57="","",INDEX('PERIODIC ENGINE'!$K$2:$K$102,MATCH(A57,'PERIODIC ENGINE'!$A$2:$A$102,0)))</f>
        <v/>
      </c>
      <c r="H57" s="42" t="str">
        <f>IF(A57="","",E57-INPUTS!$C$8-G57)</f>
        <v/>
      </c>
      <c r="I57" s="42" t="str" cm="1">
        <f t="array" ref="I57">IF(A57="","",IFERROR(INDEX(TerminalValueByYear_Range,ROW()-ROW($I$13)+1),""))</f>
        <v/>
      </c>
      <c r="J57" s="7"/>
      <c r="K57" s="7"/>
      <c r="L57" s="7"/>
      <c r="M57" s="7"/>
      <c r="N57" s="7"/>
      <c r="O57" s="7"/>
      <c r="P57" s="7"/>
      <c r="Q57" s="7"/>
      <c r="R57" s="7"/>
    </row>
    <row r="58" spans="1:18" ht="14.25" x14ac:dyDescent="0.25">
      <c r="A58" s="118" t="str">
        <f>IF(ENGINE!A47="","",ENGINE!A47)</f>
        <v/>
      </c>
      <c r="B58" s="118" t="str">
        <f>IF(A58="","",ENGINE!B47)</f>
        <v/>
      </c>
      <c r="C58" s="42" t="str">
        <f>IF(A58="","",ENGINE!D47)</f>
        <v/>
      </c>
      <c r="D58" s="42" t="str">
        <f>IF(A58="","",INDEX('PERIODIC ENGINE'!$I$2:$I$102,MATCH(A58,'PERIODIC ENGINE'!$A$2:$A$102,0)))</f>
        <v/>
      </c>
      <c r="E58" s="42" t="str">
        <f>IF(A58="","",'CHART DATA'!B47)</f>
        <v/>
      </c>
      <c r="F58" s="42" t="str">
        <f>IF(A58="","",'CHART DATA'!C47)</f>
        <v/>
      </c>
      <c r="G58" s="42" t="str">
        <f>IF(A58="","",INDEX('PERIODIC ENGINE'!$K$2:$K$102,MATCH(A58,'PERIODIC ENGINE'!$A$2:$A$102,0)))</f>
        <v/>
      </c>
      <c r="H58" s="42" t="str">
        <f>IF(A58="","",E58-INPUTS!$C$8-G58)</f>
        <v/>
      </c>
      <c r="I58" s="42" t="str" cm="1">
        <f t="array" ref="I58">IF(A58="","",IFERROR(INDEX(TerminalValueByYear_Range,ROW()-ROW($I$13)+1),""))</f>
        <v/>
      </c>
      <c r="J58" s="7"/>
      <c r="K58" s="7"/>
      <c r="L58" s="7"/>
      <c r="M58" s="7"/>
      <c r="N58" s="7"/>
      <c r="O58" s="7"/>
      <c r="P58" s="7"/>
      <c r="Q58" s="7"/>
      <c r="R58" s="7"/>
    </row>
    <row r="59" spans="1:18" ht="14.25" x14ac:dyDescent="0.25">
      <c r="A59" s="118" t="str">
        <f>IF(ENGINE!A48="","",ENGINE!A48)</f>
        <v/>
      </c>
      <c r="B59" s="118" t="str">
        <f>IF(A59="","",ENGINE!B48)</f>
        <v/>
      </c>
      <c r="C59" s="42" t="str">
        <f>IF(A59="","",ENGINE!D48)</f>
        <v/>
      </c>
      <c r="D59" s="42" t="str">
        <f>IF(A59="","",INDEX('PERIODIC ENGINE'!$I$2:$I$102,MATCH(A59,'PERIODIC ENGINE'!$A$2:$A$102,0)))</f>
        <v/>
      </c>
      <c r="E59" s="42" t="str">
        <f>IF(A59="","",'CHART DATA'!B48)</f>
        <v/>
      </c>
      <c r="F59" s="42" t="str">
        <f>IF(A59="","",'CHART DATA'!C48)</f>
        <v/>
      </c>
      <c r="G59" s="42" t="str">
        <f>IF(A59="","",INDEX('PERIODIC ENGINE'!$K$2:$K$102,MATCH(A59,'PERIODIC ENGINE'!$A$2:$A$102,0)))</f>
        <v/>
      </c>
      <c r="H59" s="42" t="str">
        <f>IF(A59="","",E59-INPUTS!$C$8-G59)</f>
        <v/>
      </c>
      <c r="I59" s="42" t="str" cm="1">
        <f t="array" ref="I59">IF(A59="","",IFERROR(INDEX(TerminalValueByYear_Range,ROW()-ROW($I$13)+1),""))</f>
        <v/>
      </c>
      <c r="J59" s="7"/>
      <c r="K59" s="7"/>
      <c r="L59" s="7"/>
      <c r="M59" s="7"/>
      <c r="N59" s="7"/>
      <c r="O59" s="7"/>
      <c r="P59" s="7"/>
      <c r="Q59" s="7"/>
      <c r="R59" s="7"/>
    </row>
    <row r="60" spans="1:18" ht="14.25" x14ac:dyDescent="0.25">
      <c r="A60" s="118" t="str">
        <f>IF(ENGINE!A49="","",ENGINE!A49)</f>
        <v/>
      </c>
      <c r="B60" s="118" t="str">
        <f>IF(A60="","",ENGINE!B49)</f>
        <v/>
      </c>
      <c r="C60" s="42" t="str">
        <f>IF(A60="","",ENGINE!D49)</f>
        <v/>
      </c>
      <c r="D60" s="42" t="str">
        <f>IF(A60="","",INDEX('PERIODIC ENGINE'!$I$2:$I$102,MATCH(A60,'PERIODIC ENGINE'!$A$2:$A$102,0)))</f>
        <v/>
      </c>
      <c r="E60" s="42" t="str">
        <f>IF(A60="","",'CHART DATA'!B49)</f>
        <v/>
      </c>
      <c r="F60" s="42" t="str">
        <f>IF(A60="","",'CHART DATA'!C49)</f>
        <v/>
      </c>
      <c r="G60" s="42" t="str">
        <f>IF(A60="","",INDEX('PERIODIC ENGINE'!$K$2:$K$102,MATCH(A60,'PERIODIC ENGINE'!$A$2:$A$102,0)))</f>
        <v/>
      </c>
      <c r="H60" s="42" t="str">
        <f>IF(A60="","",E60-INPUTS!$C$8-G60)</f>
        <v/>
      </c>
      <c r="I60" s="42" t="str" cm="1">
        <f t="array" ref="I60">IF(A60="","",IFERROR(INDEX(TerminalValueByYear_Range,ROW()-ROW($I$13)+1),""))</f>
        <v/>
      </c>
      <c r="J60" s="7"/>
      <c r="K60" s="7"/>
      <c r="L60" s="7"/>
      <c r="M60" s="7"/>
      <c r="N60" s="7"/>
      <c r="O60" s="7"/>
      <c r="P60" s="7"/>
      <c r="Q60" s="7"/>
      <c r="R60" s="7"/>
    </row>
    <row r="61" spans="1:18" ht="14.25" x14ac:dyDescent="0.25">
      <c r="A61" s="118" t="str">
        <f>IF(ENGINE!A50="","",ENGINE!A50)</f>
        <v/>
      </c>
      <c r="B61" s="118" t="str">
        <f>IF(A61="","",ENGINE!B50)</f>
        <v/>
      </c>
      <c r="C61" s="42" t="str">
        <f>IF(A61="","",ENGINE!D50)</f>
        <v/>
      </c>
      <c r="D61" s="42" t="str">
        <f>IF(A61="","",INDEX('PERIODIC ENGINE'!$I$2:$I$102,MATCH(A61,'PERIODIC ENGINE'!$A$2:$A$102,0)))</f>
        <v/>
      </c>
      <c r="E61" s="42" t="str">
        <f>IF(A61="","",'CHART DATA'!B50)</f>
        <v/>
      </c>
      <c r="F61" s="42" t="str">
        <f>IF(A61="","",'CHART DATA'!C50)</f>
        <v/>
      </c>
      <c r="G61" s="42" t="str">
        <f>IF(A61="","",INDEX('PERIODIC ENGINE'!$K$2:$K$102,MATCH(A61,'PERIODIC ENGINE'!$A$2:$A$102,0)))</f>
        <v/>
      </c>
      <c r="H61" s="42" t="str">
        <f>IF(A61="","",E61-INPUTS!$C$8-G61)</f>
        <v/>
      </c>
      <c r="I61" s="42" t="str" cm="1">
        <f t="array" ref="I61">IF(A61="","",IFERROR(INDEX(TerminalValueByYear_Range,ROW()-ROW($I$13)+1),""))</f>
        <v/>
      </c>
      <c r="J61" s="7"/>
      <c r="K61" s="7"/>
      <c r="L61" s="7"/>
      <c r="M61" s="7"/>
      <c r="N61" s="7"/>
      <c r="O61" s="7"/>
      <c r="P61" s="7"/>
      <c r="Q61" s="7"/>
      <c r="R61" s="7"/>
    </row>
    <row r="62" spans="1:18" ht="14.25" x14ac:dyDescent="0.25">
      <c r="A62" s="118" t="str">
        <f>IF(ENGINE!A51="","",ENGINE!A51)</f>
        <v/>
      </c>
      <c r="B62" s="118" t="str">
        <f>IF(A62="","",ENGINE!B51)</f>
        <v/>
      </c>
      <c r="C62" s="42" t="str">
        <f>IF(A62="","",ENGINE!D51)</f>
        <v/>
      </c>
      <c r="D62" s="42" t="str">
        <f>IF(A62="","",INDEX('PERIODIC ENGINE'!$I$2:$I$102,MATCH(A62,'PERIODIC ENGINE'!$A$2:$A$102,0)))</f>
        <v/>
      </c>
      <c r="E62" s="42" t="str">
        <f>IF(A62="","",'CHART DATA'!B51)</f>
        <v/>
      </c>
      <c r="F62" s="42" t="str">
        <f>IF(A62="","",'CHART DATA'!C51)</f>
        <v/>
      </c>
      <c r="G62" s="42" t="str">
        <f>IF(A62="","",INDEX('PERIODIC ENGINE'!$K$2:$K$102,MATCH(A62,'PERIODIC ENGINE'!$A$2:$A$102,0)))</f>
        <v/>
      </c>
      <c r="H62" s="42" t="str">
        <f>IF(A62="","",E62-INPUTS!$C$8-G62)</f>
        <v/>
      </c>
      <c r="I62" s="42" t="str" cm="1">
        <f t="array" ref="I62">IF(A62="","",IFERROR(INDEX(TerminalValueByYear_Range,ROW()-ROW($I$13)+1),""))</f>
        <v/>
      </c>
      <c r="J62" s="7"/>
      <c r="K62" s="7"/>
      <c r="L62" s="7"/>
      <c r="M62" s="7"/>
      <c r="N62" s="7"/>
      <c r="O62" s="7"/>
      <c r="P62" s="7"/>
      <c r="Q62" s="7"/>
      <c r="R62" s="7"/>
    </row>
    <row r="63" spans="1:18" ht="14.25" x14ac:dyDescent="0.25">
      <c r="A63" s="118" t="str">
        <f>IF(ENGINE!A52="","",ENGINE!A52)</f>
        <v/>
      </c>
      <c r="B63" s="118" t="str">
        <f>IF(A63="","",ENGINE!B52)</f>
        <v/>
      </c>
      <c r="C63" s="42" t="str">
        <f>IF(A63="","",ENGINE!D52)</f>
        <v/>
      </c>
      <c r="D63" s="42" t="str">
        <f>IF(A63="","",INDEX('PERIODIC ENGINE'!$I$2:$I$102,MATCH(A63,'PERIODIC ENGINE'!$A$2:$A$102,0)))</f>
        <v/>
      </c>
      <c r="E63" s="42" t="str">
        <f>IF(A63="","",'CHART DATA'!B52)</f>
        <v/>
      </c>
      <c r="F63" s="42" t="str">
        <f>IF(A63="","",'CHART DATA'!C52)</f>
        <v/>
      </c>
      <c r="G63" s="42" t="str">
        <f>IF(A63="","",INDEX('PERIODIC ENGINE'!$K$2:$K$102,MATCH(A63,'PERIODIC ENGINE'!$A$2:$A$102,0)))</f>
        <v/>
      </c>
      <c r="H63" s="42" t="str">
        <f>IF(A63="","",E63-INPUTS!$C$8-G63)</f>
        <v/>
      </c>
      <c r="I63" s="42" t="str" cm="1">
        <f t="array" ref="I63">IF(A63="","",IFERROR(INDEX(TerminalValueByYear_Range,ROW()-ROW($I$13)+1),""))</f>
        <v/>
      </c>
      <c r="J63" s="7"/>
      <c r="K63" s="7"/>
      <c r="L63" s="7"/>
      <c r="M63" s="7"/>
      <c r="N63" s="7"/>
      <c r="O63" s="7"/>
      <c r="P63" s="7"/>
      <c r="Q63" s="7"/>
      <c r="R63" s="7"/>
    </row>
    <row r="64" spans="1:18" ht="14.25" x14ac:dyDescent="0.25">
      <c r="A64" s="118" t="str">
        <f>IF(ENGINE!A53="","",ENGINE!A53)</f>
        <v/>
      </c>
      <c r="B64" s="118" t="str">
        <f>IF(A64="","",ENGINE!B53)</f>
        <v/>
      </c>
      <c r="C64" s="42" t="str">
        <f>IF(A64="","",ENGINE!D53)</f>
        <v/>
      </c>
      <c r="D64" s="42" t="str">
        <f>IF(A64="","",INDEX('PERIODIC ENGINE'!$I$2:$I$102,MATCH(A64,'PERIODIC ENGINE'!$A$2:$A$102,0)))</f>
        <v/>
      </c>
      <c r="E64" s="42" t="str">
        <f>IF(A64="","",'CHART DATA'!B53)</f>
        <v/>
      </c>
      <c r="F64" s="42" t="str">
        <f>IF(A64="","",'CHART DATA'!C53)</f>
        <v/>
      </c>
      <c r="G64" s="42" t="str">
        <f>IF(A64="","",INDEX('PERIODIC ENGINE'!$K$2:$K$102,MATCH(A64,'PERIODIC ENGINE'!$A$2:$A$102,0)))</f>
        <v/>
      </c>
      <c r="H64" s="42" t="str">
        <f>IF(A64="","",E64-INPUTS!$C$8-G64)</f>
        <v/>
      </c>
      <c r="I64" s="42" t="str" cm="1">
        <f t="array" ref="I64">IF(A64="","",IFERROR(INDEX(TerminalValueByYear_Range,ROW()-ROW($I$13)+1),""))</f>
        <v/>
      </c>
      <c r="J64" s="7"/>
      <c r="K64" s="7"/>
      <c r="L64" s="7"/>
      <c r="M64" s="7"/>
      <c r="N64" s="7"/>
      <c r="O64" s="7"/>
      <c r="P64" s="7"/>
      <c r="Q64" s="7"/>
      <c r="R64" s="7"/>
    </row>
    <row r="65" spans="1:18" ht="14.25" x14ac:dyDescent="0.25">
      <c r="A65" s="118" t="str">
        <f>IF(ENGINE!A54="","",ENGINE!A54)</f>
        <v/>
      </c>
      <c r="B65" s="118" t="str">
        <f>IF(A65="","",ENGINE!B54)</f>
        <v/>
      </c>
      <c r="C65" s="42" t="str">
        <f>IF(A65="","",ENGINE!D54)</f>
        <v/>
      </c>
      <c r="D65" s="42" t="str">
        <f>IF(A65="","",INDEX('PERIODIC ENGINE'!$I$2:$I$102,MATCH(A65,'PERIODIC ENGINE'!$A$2:$A$102,0)))</f>
        <v/>
      </c>
      <c r="E65" s="42" t="str">
        <f>IF(A65="","",'CHART DATA'!B54)</f>
        <v/>
      </c>
      <c r="F65" s="42" t="str">
        <f>IF(A65="","",'CHART DATA'!C54)</f>
        <v/>
      </c>
      <c r="G65" s="42" t="str">
        <f>IF(A65="","",INDEX('PERIODIC ENGINE'!$K$2:$K$102,MATCH(A65,'PERIODIC ENGINE'!$A$2:$A$102,0)))</f>
        <v/>
      </c>
      <c r="H65" s="42" t="str">
        <f>IF(A65="","",E65-INPUTS!$C$8-G65)</f>
        <v/>
      </c>
      <c r="I65" s="42" t="str" cm="1">
        <f t="array" ref="I65">IF(A65="","",IFERROR(INDEX(TerminalValueByYear_Range,ROW()-ROW($I$13)+1),""))</f>
        <v/>
      </c>
      <c r="J65" s="7"/>
      <c r="K65" s="7"/>
      <c r="L65" s="7"/>
      <c r="M65" s="7"/>
      <c r="N65" s="7"/>
      <c r="O65" s="7"/>
      <c r="P65" s="7"/>
      <c r="Q65" s="7"/>
      <c r="R65" s="7"/>
    </row>
    <row r="66" spans="1:18" ht="14.25" x14ac:dyDescent="0.25">
      <c r="A66" s="118" t="str">
        <f>IF(ENGINE!A55="","",ENGINE!A55)</f>
        <v/>
      </c>
      <c r="B66" s="118" t="str">
        <f>IF(A66="","",ENGINE!B55)</f>
        <v/>
      </c>
      <c r="C66" s="42" t="str">
        <f>IF(A66="","",ENGINE!D55)</f>
        <v/>
      </c>
      <c r="D66" s="42" t="str">
        <f>IF(A66="","",INDEX('PERIODIC ENGINE'!$I$2:$I$102,MATCH(A66,'PERIODIC ENGINE'!$A$2:$A$102,0)))</f>
        <v/>
      </c>
      <c r="E66" s="42" t="str">
        <f>IF(A66="","",'CHART DATA'!B55)</f>
        <v/>
      </c>
      <c r="F66" s="42" t="str">
        <f>IF(A66="","",'CHART DATA'!C55)</f>
        <v/>
      </c>
      <c r="G66" s="42" t="str">
        <f>IF(A66="","",INDEX('PERIODIC ENGINE'!$K$2:$K$102,MATCH(A66,'PERIODIC ENGINE'!$A$2:$A$102,0)))</f>
        <v/>
      </c>
      <c r="H66" s="42" t="str">
        <f>IF(A66="","",E66-INPUTS!$C$8-G66)</f>
        <v/>
      </c>
      <c r="I66" s="42" t="str" cm="1">
        <f t="array" ref="I66">IF(A66="","",IFERROR(INDEX(TerminalValueByYear_Range,ROW()-ROW($I$13)+1),""))</f>
        <v/>
      </c>
      <c r="J66" s="7"/>
      <c r="K66" s="7"/>
      <c r="L66" s="7"/>
      <c r="M66" s="7"/>
      <c r="N66" s="7"/>
      <c r="O66" s="7"/>
      <c r="P66" s="7"/>
      <c r="Q66" s="7"/>
      <c r="R66" s="7"/>
    </row>
    <row r="67" spans="1:18" ht="14.25" x14ac:dyDescent="0.25">
      <c r="A67" s="118" t="str">
        <f>IF(ENGINE!A56="","",ENGINE!A56)</f>
        <v/>
      </c>
      <c r="B67" s="118" t="str">
        <f>IF(A67="","",ENGINE!B56)</f>
        <v/>
      </c>
      <c r="C67" s="42" t="str">
        <f>IF(A67="","",ENGINE!D56)</f>
        <v/>
      </c>
      <c r="D67" s="42" t="str">
        <f>IF(A67="","",INDEX('PERIODIC ENGINE'!$I$2:$I$102,MATCH(A67,'PERIODIC ENGINE'!$A$2:$A$102,0)))</f>
        <v/>
      </c>
      <c r="E67" s="42" t="str">
        <f>IF(A67="","",'CHART DATA'!B56)</f>
        <v/>
      </c>
      <c r="F67" s="42" t="str">
        <f>IF(A67="","",'CHART DATA'!C56)</f>
        <v/>
      </c>
      <c r="G67" s="42" t="str">
        <f>IF(A67="","",INDEX('PERIODIC ENGINE'!$K$2:$K$102,MATCH(A67,'PERIODIC ENGINE'!$A$2:$A$102,0)))</f>
        <v/>
      </c>
      <c r="H67" s="42" t="str">
        <f>IF(A67="","",E67-INPUTS!$C$8-G67)</f>
        <v/>
      </c>
      <c r="I67" s="42" t="str" cm="1">
        <f t="array" ref="I67">IF(A67="","",IFERROR(INDEX(TerminalValueByYear_Range,ROW()-ROW($I$13)+1),""))</f>
        <v/>
      </c>
      <c r="J67" s="7"/>
      <c r="K67" s="7"/>
      <c r="L67" s="7"/>
      <c r="M67" s="7"/>
      <c r="N67" s="7"/>
      <c r="O67" s="7"/>
      <c r="P67" s="7"/>
      <c r="Q67" s="7"/>
      <c r="R67" s="7"/>
    </row>
    <row r="68" spans="1:18" ht="14.25" x14ac:dyDescent="0.25">
      <c r="A68" s="118" t="str">
        <f>IF(ENGINE!A57="","",ENGINE!A57)</f>
        <v/>
      </c>
      <c r="B68" s="118" t="str">
        <f>IF(A68="","",ENGINE!B57)</f>
        <v/>
      </c>
      <c r="C68" s="42" t="str">
        <f>IF(A68="","",ENGINE!D57)</f>
        <v/>
      </c>
      <c r="D68" s="42" t="str">
        <f>IF(A68="","",INDEX('PERIODIC ENGINE'!$I$2:$I$102,MATCH(A68,'PERIODIC ENGINE'!$A$2:$A$102,0)))</f>
        <v/>
      </c>
      <c r="E68" s="42" t="str">
        <f>IF(A68="","",'CHART DATA'!B57)</f>
        <v/>
      </c>
      <c r="F68" s="42" t="str">
        <f>IF(A68="","",'CHART DATA'!C57)</f>
        <v/>
      </c>
      <c r="G68" s="42" t="str">
        <f>IF(A68="","",INDEX('PERIODIC ENGINE'!$K$2:$K$102,MATCH(A68,'PERIODIC ENGINE'!$A$2:$A$102,0)))</f>
        <v/>
      </c>
      <c r="H68" s="42" t="str">
        <f>IF(A68="","",E68-INPUTS!$C$8-G68)</f>
        <v/>
      </c>
      <c r="I68" s="42" t="str" cm="1">
        <f t="array" ref="I68">IF(A68="","",IFERROR(INDEX(TerminalValueByYear_Range,ROW()-ROW($I$13)+1),""))</f>
        <v/>
      </c>
      <c r="J68" s="7"/>
      <c r="K68" s="7"/>
      <c r="L68" s="7"/>
      <c r="M68" s="7"/>
      <c r="N68" s="7"/>
      <c r="O68" s="7"/>
      <c r="P68" s="7"/>
      <c r="Q68" s="7"/>
      <c r="R68" s="7"/>
    </row>
    <row r="69" spans="1:18" ht="14.25" x14ac:dyDescent="0.25">
      <c r="A69" s="118" t="str">
        <f>IF(ENGINE!A58="","",ENGINE!A58)</f>
        <v/>
      </c>
      <c r="B69" s="118" t="str">
        <f>IF(A69="","",ENGINE!B58)</f>
        <v/>
      </c>
      <c r="C69" s="42" t="str">
        <f>IF(A69="","",ENGINE!D58)</f>
        <v/>
      </c>
      <c r="D69" s="42" t="str">
        <f>IF(A69="","",INDEX('PERIODIC ENGINE'!$I$2:$I$102,MATCH(A69,'PERIODIC ENGINE'!$A$2:$A$102,0)))</f>
        <v/>
      </c>
      <c r="E69" s="42" t="str">
        <f>IF(A69="","",'CHART DATA'!B58)</f>
        <v/>
      </c>
      <c r="F69" s="42" t="str">
        <f>IF(A69="","",'CHART DATA'!C58)</f>
        <v/>
      </c>
      <c r="G69" s="42" t="str">
        <f>IF(A69="","",INDEX('PERIODIC ENGINE'!$K$2:$K$102,MATCH(A69,'PERIODIC ENGINE'!$A$2:$A$102,0)))</f>
        <v/>
      </c>
      <c r="H69" s="42" t="str">
        <f>IF(A69="","",E69-INPUTS!$C$8-G69)</f>
        <v/>
      </c>
      <c r="I69" s="42" t="str" cm="1">
        <f t="array" ref="I69">IF(A69="","",IFERROR(INDEX(TerminalValueByYear_Range,ROW()-ROW($I$13)+1),""))</f>
        <v/>
      </c>
      <c r="J69" s="7"/>
      <c r="K69" s="7"/>
      <c r="L69" s="7"/>
      <c r="M69" s="7"/>
      <c r="N69" s="7"/>
      <c r="O69" s="7"/>
      <c r="P69" s="7"/>
      <c r="Q69" s="7"/>
      <c r="R69" s="7"/>
    </row>
    <row r="70" spans="1:18" ht="14.25" x14ac:dyDescent="0.25">
      <c r="A70" s="118" t="str">
        <f>IF(ENGINE!A59="","",ENGINE!A59)</f>
        <v/>
      </c>
      <c r="B70" s="118" t="str">
        <f>IF(A70="","",ENGINE!B59)</f>
        <v/>
      </c>
      <c r="C70" s="42" t="str">
        <f>IF(A70="","",ENGINE!D59)</f>
        <v/>
      </c>
      <c r="D70" s="42" t="str">
        <f>IF(A70="","",INDEX('PERIODIC ENGINE'!$I$2:$I$102,MATCH(A70,'PERIODIC ENGINE'!$A$2:$A$102,0)))</f>
        <v/>
      </c>
      <c r="E70" s="42" t="str">
        <f>IF(A70="","",'CHART DATA'!B59)</f>
        <v/>
      </c>
      <c r="F70" s="42" t="str">
        <f>IF(A70="","",'CHART DATA'!C59)</f>
        <v/>
      </c>
      <c r="G70" s="42" t="str">
        <f>IF(A70="","",INDEX('PERIODIC ENGINE'!$K$2:$K$102,MATCH(A70,'PERIODIC ENGINE'!$A$2:$A$102,0)))</f>
        <v/>
      </c>
      <c r="H70" s="42" t="str">
        <f>IF(A70="","",E70-INPUTS!$C$8-G70)</f>
        <v/>
      </c>
      <c r="I70" s="42" t="str" cm="1">
        <f t="array" ref="I70">IF(A70="","",IFERROR(INDEX(TerminalValueByYear_Range,ROW()-ROW($I$13)+1),""))</f>
        <v/>
      </c>
      <c r="J70" s="7"/>
      <c r="K70" s="7"/>
      <c r="L70" s="7"/>
      <c r="M70" s="7"/>
      <c r="N70" s="7"/>
      <c r="O70" s="7"/>
      <c r="P70" s="7"/>
      <c r="Q70" s="7"/>
      <c r="R70" s="7"/>
    </row>
    <row r="71" spans="1:18" ht="14.25" x14ac:dyDescent="0.25">
      <c r="A71" s="118" t="str">
        <f>IF(ENGINE!A60="","",ENGINE!A60)</f>
        <v/>
      </c>
      <c r="B71" s="118" t="str">
        <f>IF(A71="","",ENGINE!B60)</f>
        <v/>
      </c>
      <c r="C71" s="42" t="str">
        <f>IF(A71="","",ENGINE!D60)</f>
        <v/>
      </c>
      <c r="D71" s="42" t="str">
        <f>IF(A71="","",INDEX('PERIODIC ENGINE'!$I$2:$I$102,MATCH(A71,'PERIODIC ENGINE'!$A$2:$A$102,0)))</f>
        <v/>
      </c>
      <c r="E71" s="42" t="str">
        <f>IF(A71="","",'CHART DATA'!B60)</f>
        <v/>
      </c>
      <c r="F71" s="42" t="str">
        <f>IF(A71="","",'CHART DATA'!C60)</f>
        <v/>
      </c>
      <c r="G71" s="42" t="str">
        <f>IF(A71="","",INDEX('PERIODIC ENGINE'!$K$2:$K$102,MATCH(A71,'PERIODIC ENGINE'!$A$2:$A$102,0)))</f>
        <v/>
      </c>
      <c r="H71" s="42" t="str">
        <f>IF(A71="","",E71-INPUTS!$C$8-G71)</f>
        <v/>
      </c>
      <c r="I71" s="42" t="str" cm="1">
        <f t="array" ref="I71">IF(A71="","",IFERROR(INDEX(TerminalValueByYear_Range,ROW()-ROW($I$13)+1),""))</f>
        <v/>
      </c>
      <c r="J71" s="7"/>
      <c r="K71" s="7"/>
      <c r="L71" s="7"/>
      <c r="M71" s="7"/>
      <c r="N71" s="7"/>
      <c r="O71" s="7"/>
      <c r="P71" s="7"/>
      <c r="Q71" s="7"/>
      <c r="R71" s="7"/>
    </row>
    <row r="72" spans="1:18" ht="14.25" x14ac:dyDescent="0.25">
      <c r="A72" s="118" t="str">
        <f>IF(ENGINE!A61="","",ENGINE!A61)</f>
        <v/>
      </c>
      <c r="B72" s="118" t="str">
        <f>IF(A72="","",ENGINE!B61)</f>
        <v/>
      </c>
      <c r="C72" s="42" t="str">
        <f>IF(A72="","",ENGINE!D61)</f>
        <v/>
      </c>
      <c r="D72" s="42" t="str">
        <f>IF(A72="","",INDEX('PERIODIC ENGINE'!$I$2:$I$102,MATCH(A72,'PERIODIC ENGINE'!$A$2:$A$102,0)))</f>
        <v/>
      </c>
      <c r="E72" s="42" t="str">
        <f>IF(A72="","",'CHART DATA'!B61)</f>
        <v/>
      </c>
      <c r="F72" s="42" t="str">
        <f>IF(A72="","",'CHART DATA'!C61)</f>
        <v/>
      </c>
      <c r="G72" s="42" t="str">
        <f>IF(A72="","",INDEX('PERIODIC ENGINE'!$K$2:$K$102,MATCH(A72,'PERIODIC ENGINE'!$A$2:$A$102,0)))</f>
        <v/>
      </c>
      <c r="H72" s="42" t="str">
        <f>IF(A72="","",E72-INPUTS!$C$8-G72)</f>
        <v/>
      </c>
      <c r="I72" s="42" t="str" cm="1">
        <f t="array" ref="I72">IF(A72="","",IFERROR(INDEX(TerminalValueByYear_Range,ROW()-ROW($I$13)+1),""))</f>
        <v/>
      </c>
      <c r="J72" s="7"/>
      <c r="K72" s="7"/>
      <c r="L72" s="7"/>
      <c r="M72" s="7"/>
      <c r="N72" s="7"/>
      <c r="O72" s="7"/>
      <c r="P72" s="7"/>
      <c r="Q72" s="7"/>
      <c r="R72" s="7"/>
    </row>
    <row r="73" spans="1:18" ht="14.25" x14ac:dyDescent="0.25">
      <c r="A73" s="118" t="str">
        <f>IF(ENGINE!A62="","",ENGINE!A62)</f>
        <v/>
      </c>
      <c r="B73" s="118" t="str">
        <f>IF(A73="","",ENGINE!B62)</f>
        <v/>
      </c>
      <c r="C73" s="42" t="str">
        <f>IF(A73="","",ENGINE!D62)</f>
        <v/>
      </c>
      <c r="D73" s="42" t="str">
        <f>IF(A73="","",INDEX('PERIODIC ENGINE'!$I$2:$I$102,MATCH(A73,'PERIODIC ENGINE'!$A$2:$A$102,0)))</f>
        <v/>
      </c>
      <c r="E73" s="42" t="str">
        <f>IF(A73="","",'CHART DATA'!B62)</f>
        <v/>
      </c>
      <c r="F73" s="42" t="str">
        <f>IF(A73="","",'CHART DATA'!C62)</f>
        <v/>
      </c>
      <c r="G73" s="42" t="str">
        <f>IF(A73="","",INDEX('PERIODIC ENGINE'!$K$2:$K$102,MATCH(A73,'PERIODIC ENGINE'!$A$2:$A$102,0)))</f>
        <v/>
      </c>
      <c r="H73" s="42" t="str">
        <f>IF(A73="","",E73-INPUTS!$C$8-G73)</f>
        <v/>
      </c>
      <c r="I73" s="42" t="str" cm="1">
        <f t="array" ref="I73">IF(A73="","",IFERROR(INDEX(TerminalValueByYear_Range,ROW()-ROW($I$13)+1),""))</f>
        <v/>
      </c>
      <c r="J73" s="7"/>
      <c r="K73" s="7"/>
      <c r="L73" s="7"/>
      <c r="M73" s="7"/>
      <c r="N73" s="7"/>
      <c r="O73" s="7"/>
      <c r="P73" s="7"/>
      <c r="Q73" s="7"/>
      <c r="R73" s="7"/>
    </row>
    <row r="74" spans="1:18" ht="14.25" x14ac:dyDescent="0.25">
      <c r="A74" s="118" t="str">
        <f>IF(ENGINE!A63="","",ENGINE!A63)</f>
        <v/>
      </c>
      <c r="B74" s="118" t="str">
        <f>IF(A74="","",ENGINE!B63)</f>
        <v/>
      </c>
      <c r="C74" s="42" t="str">
        <f>IF(A74="","",ENGINE!D63)</f>
        <v/>
      </c>
      <c r="D74" s="42" t="str">
        <f>IF(A74="","",INDEX('PERIODIC ENGINE'!$I$2:$I$102,MATCH(A74,'PERIODIC ENGINE'!$A$2:$A$102,0)))</f>
        <v/>
      </c>
      <c r="E74" s="42" t="str">
        <f>IF(A74="","",'CHART DATA'!B63)</f>
        <v/>
      </c>
      <c r="F74" s="42" t="str">
        <f>IF(A74="","",'CHART DATA'!C63)</f>
        <v/>
      </c>
      <c r="G74" s="42" t="str">
        <f>IF(A74="","",INDEX('PERIODIC ENGINE'!$K$2:$K$102,MATCH(A74,'PERIODIC ENGINE'!$A$2:$A$102,0)))</f>
        <v/>
      </c>
      <c r="H74" s="42" t="str">
        <f>IF(A74="","",E74-INPUTS!$C$8-G74)</f>
        <v/>
      </c>
      <c r="I74" s="42" t="str" cm="1">
        <f t="array" ref="I74">IF(A74="","",IFERROR(INDEX(TerminalValueByYear_Range,ROW()-ROW($I$13)+1),""))</f>
        <v/>
      </c>
      <c r="J74" s="7"/>
      <c r="K74" s="7"/>
      <c r="L74" s="7"/>
      <c r="M74" s="7"/>
      <c r="N74" s="7"/>
      <c r="O74" s="7"/>
      <c r="P74" s="7"/>
      <c r="Q74" s="7"/>
      <c r="R74" s="7"/>
    </row>
    <row r="75" spans="1:18" ht="14.25" x14ac:dyDescent="0.25">
      <c r="A75" s="118" t="str">
        <f>IF(ENGINE!A64="","",ENGINE!A64)</f>
        <v/>
      </c>
      <c r="B75" s="118" t="str">
        <f>IF(A75="","",ENGINE!B64)</f>
        <v/>
      </c>
      <c r="C75" s="42" t="str">
        <f>IF(A75="","",ENGINE!D64)</f>
        <v/>
      </c>
      <c r="D75" s="42" t="str">
        <f>IF(A75="","",INDEX('PERIODIC ENGINE'!$I$2:$I$102,MATCH(A75,'PERIODIC ENGINE'!$A$2:$A$102,0)))</f>
        <v/>
      </c>
      <c r="E75" s="42" t="str">
        <f>IF(A75="","",'CHART DATA'!B64)</f>
        <v/>
      </c>
      <c r="F75" s="42" t="str">
        <f>IF(A75="","",'CHART DATA'!C64)</f>
        <v/>
      </c>
      <c r="G75" s="42" t="str">
        <f>IF(A75="","",INDEX('PERIODIC ENGINE'!$K$2:$K$102,MATCH(A75,'PERIODIC ENGINE'!$A$2:$A$102,0)))</f>
        <v/>
      </c>
      <c r="H75" s="42" t="str">
        <f>IF(A75="","",E75-INPUTS!$C$8-G75)</f>
        <v/>
      </c>
      <c r="I75" s="42" t="str" cm="1">
        <f t="array" ref="I75">IF(A75="","",IFERROR(INDEX(TerminalValueByYear_Range,ROW()-ROW($I$13)+1),""))</f>
        <v/>
      </c>
      <c r="J75" s="7"/>
      <c r="K75" s="7"/>
      <c r="L75" s="7"/>
      <c r="M75" s="7"/>
      <c r="N75" s="7"/>
      <c r="O75" s="7"/>
      <c r="P75" s="7"/>
      <c r="Q75" s="7"/>
      <c r="R75" s="7"/>
    </row>
    <row r="76" spans="1:18" ht="14.25" x14ac:dyDescent="0.25">
      <c r="A76" s="118" t="str">
        <f>IF(ENGINE!A65="","",ENGINE!A65)</f>
        <v/>
      </c>
      <c r="B76" s="118" t="str">
        <f>IF(A76="","",ENGINE!B65)</f>
        <v/>
      </c>
      <c r="C76" s="42" t="str">
        <f>IF(A76="","",ENGINE!D65)</f>
        <v/>
      </c>
      <c r="D76" s="42" t="str">
        <f>IF(A76="","",INDEX('PERIODIC ENGINE'!$I$2:$I$102,MATCH(A76,'PERIODIC ENGINE'!$A$2:$A$102,0)))</f>
        <v/>
      </c>
      <c r="E76" s="42" t="str">
        <f>IF(A76="","",'CHART DATA'!B65)</f>
        <v/>
      </c>
      <c r="F76" s="42" t="str">
        <f>IF(A76="","",'CHART DATA'!C65)</f>
        <v/>
      </c>
      <c r="G76" s="42" t="str">
        <f>IF(A76="","",INDEX('PERIODIC ENGINE'!$K$2:$K$102,MATCH(A76,'PERIODIC ENGINE'!$A$2:$A$102,0)))</f>
        <v/>
      </c>
      <c r="H76" s="42" t="str">
        <f>IF(A76="","",E76-INPUTS!$C$8-G76)</f>
        <v/>
      </c>
      <c r="I76" s="42" t="str" cm="1">
        <f t="array" ref="I76">IF(A76="","",IFERROR(INDEX(TerminalValueByYear_Range,ROW()-ROW($I$13)+1),""))</f>
        <v/>
      </c>
      <c r="J76" s="7"/>
      <c r="K76" s="7"/>
      <c r="L76" s="7"/>
      <c r="M76" s="7"/>
      <c r="N76" s="7"/>
      <c r="O76" s="7"/>
      <c r="P76" s="7"/>
      <c r="Q76" s="7"/>
      <c r="R76" s="7"/>
    </row>
    <row r="77" spans="1:18" ht="14.25" x14ac:dyDescent="0.25">
      <c r="A77" s="118" t="str">
        <f>IF(ENGINE!A66="","",ENGINE!A66)</f>
        <v/>
      </c>
      <c r="B77" s="118" t="str">
        <f>IF(A77="","",ENGINE!B66)</f>
        <v/>
      </c>
      <c r="C77" s="42" t="str">
        <f>IF(A77="","",ENGINE!D66)</f>
        <v/>
      </c>
      <c r="D77" s="42" t="str">
        <f>IF(A77="","",INDEX('PERIODIC ENGINE'!$I$2:$I$102,MATCH(A77,'PERIODIC ENGINE'!$A$2:$A$102,0)))</f>
        <v/>
      </c>
      <c r="E77" s="42" t="str">
        <f>IF(A77="","",'CHART DATA'!B66)</f>
        <v/>
      </c>
      <c r="F77" s="42" t="str">
        <f>IF(A77="","",'CHART DATA'!C66)</f>
        <v/>
      </c>
      <c r="G77" s="42" t="str">
        <f>IF(A77="","",INDEX('PERIODIC ENGINE'!$K$2:$K$102,MATCH(A77,'PERIODIC ENGINE'!$A$2:$A$102,0)))</f>
        <v/>
      </c>
      <c r="H77" s="42" t="str">
        <f>IF(A77="","",E77-INPUTS!$C$8-G77)</f>
        <v/>
      </c>
      <c r="I77" s="42" t="str" cm="1">
        <f t="array" ref="I77">IF(A77="","",IFERROR(INDEX(TerminalValueByYear_Range,ROW()-ROW($I$13)+1),""))</f>
        <v/>
      </c>
      <c r="J77" s="7"/>
      <c r="K77" s="7"/>
      <c r="L77" s="7"/>
      <c r="M77" s="7"/>
      <c r="N77" s="7"/>
      <c r="O77" s="7"/>
      <c r="P77" s="7"/>
      <c r="Q77" s="7"/>
      <c r="R77" s="7"/>
    </row>
    <row r="78" spans="1:18" ht="14.25" x14ac:dyDescent="0.25">
      <c r="A78" s="118" t="str">
        <f>IF(ENGINE!A67="","",ENGINE!A67)</f>
        <v/>
      </c>
      <c r="B78" s="118" t="str">
        <f>IF(A78="","",ENGINE!B67)</f>
        <v/>
      </c>
      <c r="C78" s="42" t="str">
        <f>IF(A78="","",ENGINE!D67)</f>
        <v/>
      </c>
      <c r="D78" s="42" t="str">
        <f>IF(A78="","",INDEX('PERIODIC ENGINE'!$I$2:$I$102,MATCH(A78,'PERIODIC ENGINE'!$A$2:$A$102,0)))</f>
        <v/>
      </c>
      <c r="E78" s="42" t="str">
        <f>IF(A78="","",'CHART DATA'!B67)</f>
        <v/>
      </c>
      <c r="F78" s="42" t="str">
        <f>IF(A78="","",'CHART DATA'!C67)</f>
        <v/>
      </c>
      <c r="G78" s="42" t="str">
        <f>IF(A78="","",INDEX('PERIODIC ENGINE'!$K$2:$K$102,MATCH(A78,'PERIODIC ENGINE'!$A$2:$A$102,0)))</f>
        <v/>
      </c>
      <c r="H78" s="42" t="str">
        <f>IF(A78="","",E78-INPUTS!$C$8-G78)</f>
        <v/>
      </c>
      <c r="I78" s="42" t="str" cm="1">
        <f t="array" ref="I78">IF(A78="","",IFERROR(INDEX(TerminalValueByYear_Range,ROW()-ROW($I$13)+1),""))</f>
        <v/>
      </c>
      <c r="J78" s="7"/>
      <c r="K78" s="7"/>
      <c r="L78" s="7"/>
      <c r="M78" s="7"/>
      <c r="N78" s="7"/>
      <c r="O78" s="7"/>
      <c r="P78" s="7"/>
      <c r="Q78" s="7"/>
      <c r="R78" s="7"/>
    </row>
    <row r="79" spans="1:18" ht="14.25" x14ac:dyDescent="0.25">
      <c r="A79" s="118" t="str">
        <f>IF(ENGINE!A68="","",ENGINE!A68)</f>
        <v/>
      </c>
      <c r="B79" s="118" t="str">
        <f>IF(A79="","",ENGINE!B68)</f>
        <v/>
      </c>
      <c r="C79" s="42" t="str">
        <f>IF(A79="","",ENGINE!D68)</f>
        <v/>
      </c>
      <c r="D79" s="42" t="str">
        <f>IF(A79="","",INDEX('PERIODIC ENGINE'!$I$2:$I$102,MATCH(A79,'PERIODIC ENGINE'!$A$2:$A$102,0)))</f>
        <v/>
      </c>
      <c r="E79" s="42" t="str">
        <f>IF(A79="","",'CHART DATA'!B68)</f>
        <v/>
      </c>
      <c r="F79" s="42" t="str">
        <f>IF(A79="","",'CHART DATA'!C68)</f>
        <v/>
      </c>
      <c r="G79" s="42" t="str">
        <f>IF(A79="","",INDEX('PERIODIC ENGINE'!$K$2:$K$102,MATCH(A79,'PERIODIC ENGINE'!$A$2:$A$102,0)))</f>
        <v/>
      </c>
      <c r="H79" s="42" t="str">
        <f>IF(A79="","",E79-INPUTS!$C$8-G79)</f>
        <v/>
      </c>
      <c r="I79" s="42" t="str" cm="1">
        <f t="array" ref="I79">IF(A79="","",IFERROR(INDEX(TerminalValueByYear_Range,ROW()-ROW($I$13)+1),""))</f>
        <v/>
      </c>
      <c r="J79" s="7"/>
      <c r="K79" s="7"/>
      <c r="L79" s="7"/>
      <c r="M79" s="7"/>
      <c r="N79" s="7"/>
      <c r="O79" s="7"/>
      <c r="P79" s="7"/>
      <c r="Q79" s="7"/>
      <c r="R79" s="7"/>
    </row>
    <row r="80" spans="1:18" ht="14.25" x14ac:dyDescent="0.25">
      <c r="A80" s="118" t="str">
        <f>IF(ENGINE!A69="","",ENGINE!A69)</f>
        <v/>
      </c>
      <c r="B80" s="118" t="str">
        <f>IF(A80="","",ENGINE!B69)</f>
        <v/>
      </c>
      <c r="C80" s="42" t="str">
        <f>IF(A80="","",ENGINE!D69)</f>
        <v/>
      </c>
      <c r="D80" s="42" t="str">
        <f>IF(A80="","",INDEX('PERIODIC ENGINE'!$I$2:$I$102,MATCH(A80,'PERIODIC ENGINE'!$A$2:$A$102,0)))</f>
        <v/>
      </c>
      <c r="E80" s="42" t="str">
        <f>IF(A80="","",'CHART DATA'!B69)</f>
        <v/>
      </c>
      <c r="F80" s="42" t="str">
        <f>IF(A80="","",'CHART DATA'!C69)</f>
        <v/>
      </c>
      <c r="G80" s="42" t="str">
        <f>IF(A80="","",INDEX('PERIODIC ENGINE'!$K$2:$K$102,MATCH(A80,'PERIODIC ENGINE'!$A$2:$A$102,0)))</f>
        <v/>
      </c>
      <c r="H80" s="42" t="str">
        <f>IF(A80="","",E80-INPUTS!$C$8-G80)</f>
        <v/>
      </c>
      <c r="I80" s="42" t="str" cm="1">
        <f t="array" ref="I80">IF(A80="","",IFERROR(INDEX(TerminalValueByYear_Range,ROW()-ROW($I$13)+1),""))</f>
        <v/>
      </c>
      <c r="J80" s="7"/>
      <c r="K80" s="7"/>
      <c r="L80" s="7"/>
      <c r="M80" s="7"/>
      <c r="N80" s="7"/>
      <c r="O80" s="7"/>
      <c r="P80" s="7"/>
      <c r="Q80" s="7"/>
      <c r="R80" s="7"/>
    </row>
    <row r="81" spans="1:18" ht="14.25" x14ac:dyDescent="0.25">
      <c r="A81" s="118" t="str">
        <f>IF(ENGINE!A70="","",ENGINE!A70)</f>
        <v/>
      </c>
      <c r="B81" s="118" t="str">
        <f>IF(A81="","",ENGINE!B70)</f>
        <v/>
      </c>
      <c r="C81" s="42" t="str">
        <f>IF(A81="","",ENGINE!D70)</f>
        <v/>
      </c>
      <c r="D81" s="42" t="str">
        <f>IF(A81="","",INDEX('PERIODIC ENGINE'!$I$2:$I$102,MATCH(A81,'PERIODIC ENGINE'!$A$2:$A$102,0)))</f>
        <v/>
      </c>
      <c r="E81" s="42" t="str">
        <f>IF(A81="","",'CHART DATA'!B70)</f>
        <v/>
      </c>
      <c r="F81" s="42" t="str">
        <f>IF(A81="","",'CHART DATA'!C70)</f>
        <v/>
      </c>
      <c r="G81" s="42" t="str">
        <f>IF(A81="","",INDEX('PERIODIC ENGINE'!$K$2:$K$102,MATCH(A81,'PERIODIC ENGINE'!$A$2:$A$102,0)))</f>
        <v/>
      </c>
      <c r="H81" s="42" t="str">
        <f>IF(A81="","",E81-INPUTS!$C$8-G81)</f>
        <v/>
      </c>
      <c r="I81" s="42" t="str" cm="1">
        <f t="array" ref="I81">IF(A81="","",IFERROR(INDEX(TerminalValueByYear_Range,ROW()-ROW($I$13)+1),""))</f>
        <v/>
      </c>
      <c r="J81" s="7"/>
      <c r="K81" s="7"/>
      <c r="L81" s="7"/>
      <c r="M81" s="7"/>
      <c r="N81" s="7"/>
      <c r="O81" s="7"/>
      <c r="P81" s="7"/>
      <c r="Q81" s="7"/>
      <c r="R81" s="7"/>
    </row>
    <row r="82" spans="1:18" ht="14.25" x14ac:dyDescent="0.25">
      <c r="A82" s="118" t="str">
        <f>IF(ENGINE!A71="","",ENGINE!A71)</f>
        <v/>
      </c>
      <c r="B82" s="118" t="str">
        <f>IF(A82="","",ENGINE!B71)</f>
        <v/>
      </c>
      <c r="C82" s="42" t="str">
        <f>IF(A82="","",ENGINE!D71)</f>
        <v/>
      </c>
      <c r="D82" s="42" t="str">
        <f>IF(A82="","",INDEX('PERIODIC ENGINE'!$I$2:$I$102,MATCH(A82,'PERIODIC ENGINE'!$A$2:$A$102,0)))</f>
        <v/>
      </c>
      <c r="E82" s="42" t="str">
        <f>IF(A82="","",'CHART DATA'!B71)</f>
        <v/>
      </c>
      <c r="F82" s="42" t="str">
        <f>IF(A82="","",'CHART DATA'!C71)</f>
        <v/>
      </c>
      <c r="G82" s="42" t="str">
        <f>IF(A82="","",INDEX('PERIODIC ENGINE'!$K$2:$K$102,MATCH(A82,'PERIODIC ENGINE'!$A$2:$A$102,0)))</f>
        <v/>
      </c>
      <c r="H82" s="42" t="str">
        <f>IF(A82="","",E82-INPUTS!$C$8-G82)</f>
        <v/>
      </c>
      <c r="I82" s="42" t="str" cm="1">
        <f t="array" ref="I82">IF(A82="","",IFERROR(INDEX(TerminalValueByYear_Range,ROW()-ROW($I$13)+1),""))</f>
        <v/>
      </c>
      <c r="J82" s="7"/>
      <c r="K82" s="7"/>
      <c r="L82" s="7"/>
      <c r="M82" s="7"/>
      <c r="N82" s="7"/>
      <c r="O82" s="7"/>
      <c r="P82" s="7"/>
      <c r="Q82" s="7"/>
      <c r="R82" s="7"/>
    </row>
    <row r="83" spans="1:18" ht="14.25" x14ac:dyDescent="0.25">
      <c r="A83" s="118" t="str">
        <f>IF(ENGINE!A72="","",ENGINE!A72)</f>
        <v/>
      </c>
      <c r="B83" s="118" t="str">
        <f>IF(A83="","",ENGINE!B72)</f>
        <v/>
      </c>
      <c r="C83" s="42" t="str">
        <f>IF(A83="","",ENGINE!D72)</f>
        <v/>
      </c>
      <c r="D83" s="42" t="str">
        <f>IF(A83="","",INDEX('PERIODIC ENGINE'!$I$2:$I$102,MATCH(A83,'PERIODIC ENGINE'!$A$2:$A$102,0)))</f>
        <v/>
      </c>
      <c r="E83" s="42" t="str">
        <f>IF(A83="","",'CHART DATA'!B72)</f>
        <v/>
      </c>
      <c r="F83" s="42" t="str">
        <f>IF(A83="","",'CHART DATA'!C72)</f>
        <v/>
      </c>
      <c r="G83" s="42" t="str">
        <f>IF(A83="","",INDEX('PERIODIC ENGINE'!$K$2:$K$102,MATCH(A83,'PERIODIC ENGINE'!$A$2:$A$102,0)))</f>
        <v/>
      </c>
      <c r="H83" s="42" t="str">
        <f>IF(A83="","",E83-INPUTS!$C$8-G83)</f>
        <v/>
      </c>
      <c r="I83" s="42" t="str" cm="1">
        <f t="array" ref="I83">IF(A83="","",IFERROR(INDEX(TerminalValueByYear_Range,ROW()-ROW($I$13)+1),""))</f>
        <v/>
      </c>
      <c r="J83" s="7"/>
      <c r="K83" s="7"/>
      <c r="L83" s="7"/>
      <c r="M83" s="7"/>
      <c r="N83" s="7"/>
      <c r="O83" s="7"/>
      <c r="P83" s="7"/>
      <c r="Q83" s="7"/>
      <c r="R83" s="7"/>
    </row>
    <row r="84" spans="1:18" ht="14.25" x14ac:dyDescent="0.25">
      <c r="A84" s="118" t="str">
        <f>IF(ENGINE!A73="","",ENGINE!A73)</f>
        <v/>
      </c>
      <c r="B84" s="118" t="str">
        <f>IF(A84="","",ENGINE!B73)</f>
        <v/>
      </c>
      <c r="C84" s="42" t="str">
        <f>IF(A84="","",ENGINE!D73)</f>
        <v/>
      </c>
      <c r="D84" s="42" t="str">
        <f>IF(A84="","",INDEX('PERIODIC ENGINE'!$I$2:$I$102,MATCH(A84,'PERIODIC ENGINE'!$A$2:$A$102,0)))</f>
        <v/>
      </c>
      <c r="E84" s="42" t="str">
        <f>IF(A84="","",'CHART DATA'!B73)</f>
        <v/>
      </c>
      <c r="F84" s="42" t="str">
        <f>IF(A84="","",'CHART DATA'!C73)</f>
        <v/>
      </c>
      <c r="G84" s="42" t="str">
        <f>IF(A84="","",INDEX('PERIODIC ENGINE'!$K$2:$K$102,MATCH(A84,'PERIODIC ENGINE'!$A$2:$A$102,0)))</f>
        <v/>
      </c>
      <c r="H84" s="42" t="str">
        <f>IF(A84="","",E84-INPUTS!$C$8-G84)</f>
        <v/>
      </c>
      <c r="I84" s="42" t="str" cm="1">
        <f t="array" ref="I84">IF(A84="","",IFERROR(INDEX(TerminalValueByYear_Range,ROW()-ROW($I$13)+1),""))</f>
        <v/>
      </c>
      <c r="J84" s="7"/>
      <c r="K84" s="7"/>
      <c r="L84" s="7"/>
      <c r="M84" s="7"/>
      <c r="N84" s="7"/>
      <c r="O84" s="7"/>
      <c r="P84" s="7"/>
      <c r="Q84" s="7"/>
      <c r="R84" s="7"/>
    </row>
    <row r="85" spans="1:18" ht="14.25" x14ac:dyDescent="0.25">
      <c r="A85" s="118" t="str">
        <f>IF(ENGINE!A74="","",ENGINE!A74)</f>
        <v/>
      </c>
      <c r="B85" s="118" t="str">
        <f>IF(A85="","",ENGINE!B74)</f>
        <v/>
      </c>
      <c r="C85" s="42" t="str">
        <f>IF(A85="","",ENGINE!D74)</f>
        <v/>
      </c>
      <c r="D85" s="42" t="str">
        <f>IF(A85="","",INDEX('PERIODIC ENGINE'!$I$2:$I$102,MATCH(A85,'PERIODIC ENGINE'!$A$2:$A$102,0)))</f>
        <v/>
      </c>
      <c r="E85" s="42" t="str">
        <f>IF(A85="","",'CHART DATA'!B74)</f>
        <v/>
      </c>
      <c r="F85" s="42" t="str">
        <f>IF(A85="","",'CHART DATA'!C74)</f>
        <v/>
      </c>
      <c r="G85" s="42" t="str">
        <f>IF(A85="","",INDEX('PERIODIC ENGINE'!$K$2:$K$102,MATCH(A85,'PERIODIC ENGINE'!$A$2:$A$102,0)))</f>
        <v/>
      </c>
      <c r="H85" s="42" t="str">
        <f>IF(A85="","",E85-INPUTS!$C$8-G85)</f>
        <v/>
      </c>
      <c r="I85" s="42" t="str" cm="1">
        <f t="array" ref="I85">IF(A85="","",IFERROR(INDEX(TerminalValueByYear_Range,ROW()-ROW($I$13)+1),""))</f>
        <v/>
      </c>
      <c r="J85" s="7"/>
      <c r="K85" s="7"/>
      <c r="L85" s="7"/>
      <c r="M85" s="7"/>
      <c r="N85" s="7"/>
      <c r="O85" s="7"/>
      <c r="P85" s="7"/>
      <c r="Q85" s="7"/>
      <c r="R85" s="7"/>
    </row>
    <row r="86" spans="1:18" ht="14.25" x14ac:dyDescent="0.25">
      <c r="A86" s="118" t="str">
        <f>IF(ENGINE!A75="","",ENGINE!A75)</f>
        <v/>
      </c>
      <c r="B86" s="118" t="str">
        <f>IF(A86="","",ENGINE!B75)</f>
        <v/>
      </c>
      <c r="C86" s="42" t="str">
        <f>IF(A86="","",ENGINE!D75)</f>
        <v/>
      </c>
      <c r="D86" s="42" t="str">
        <f>IF(A86="","",INDEX('PERIODIC ENGINE'!$I$2:$I$102,MATCH(A86,'PERIODIC ENGINE'!$A$2:$A$102,0)))</f>
        <v/>
      </c>
      <c r="E86" s="42" t="str">
        <f>IF(A86="","",'CHART DATA'!B75)</f>
        <v/>
      </c>
      <c r="F86" s="42" t="str">
        <f>IF(A86="","",'CHART DATA'!C75)</f>
        <v/>
      </c>
      <c r="G86" s="42" t="str">
        <f>IF(A86="","",INDEX('PERIODIC ENGINE'!$K$2:$K$102,MATCH(A86,'PERIODIC ENGINE'!$A$2:$A$102,0)))</f>
        <v/>
      </c>
      <c r="H86" s="42" t="str">
        <f>IF(A86="","",E86-INPUTS!$C$8-G86)</f>
        <v/>
      </c>
      <c r="I86" s="42" t="str" cm="1">
        <f t="array" ref="I86">IF(A86="","",IFERROR(INDEX(TerminalValueByYear_Range,ROW()-ROW($I$13)+1),""))</f>
        <v/>
      </c>
      <c r="J86" s="7"/>
      <c r="K86" s="7"/>
      <c r="L86" s="7"/>
      <c r="M86" s="7"/>
      <c r="N86" s="7"/>
      <c r="O86" s="7"/>
      <c r="P86" s="7"/>
      <c r="Q86" s="7"/>
      <c r="R86" s="7"/>
    </row>
    <row r="87" spans="1:18" ht="14.25" x14ac:dyDescent="0.25">
      <c r="A87" s="118" t="str">
        <f>IF(ENGINE!A76="","",ENGINE!A76)</f>
        <v/>
      </c>
      <c r="B87" s="118" t="str">
        <f>IF(A87="","",ENGINE!B76)</f>
        <v/>
      </c>
      <c r="C87" s="42" t="str">
        <f>IF(A87="","",ENGINE!D76)</f>
        <v/>
      </c>
      <c r="D87" s="42" t="str">
        <f>IF(A87="","",INDEX('PERIODIC ENGINE'!$I$2:$I$102,MATCH(A87,'PERIODIC ENGINE'!$A$2:$A$102,0)))</f>
        <v/>
      </c>
      <c r="E87" s="42" t="str">
        <f>IF(A87="","",'CHART DATA'!B76)</f>
        <v/>
      </c>
      <c r="F87" s="42" t="str">
        <f>IF(A87="","",'CHART DATA'!C76)</f>
        <v/>
      </c>
      <c r="G87" s="42" t="str">
        <f>IF(A87="","",INDEX('PERIODIC ENGINE'!$K$2:$K$102,MATCH(A87,'PERIODIC ENGINE'!$A$2:$A$102,0)))</f>
        <v/>
      </c>
      <c r="H87" s="42" t="str">
        <f>IF(A87="","",E87-INPUTS!$C$8-G87)</f>
        <v/>
      </c>
      <c r="I87" s="42" t="str" cm="1">
        <f t="array" ref="I87">IF(A87="","",IFERROR(INDEX(TerminalValueByYear_Range,ROW()-ROW($I$13)+1),""))</f>
        <v/>
      </c>
      <c r="J87" s="7"/>
      <c r="K87" s="7"/>
      <c r="L87" s="7"/>
      <c r="M87" s="7"/>
      <c r="N87" s="7"/>
      <c r="O87" s="7"/>
      <c r="P87" s="7"/>
      <c r="Q87" s="7"/>
      <c r="R87" s="7"/>
    </row>
    <row r="88" spans="1:18" ht="14.25" x14ac:dyDescent="0.25">
      <c r="A88" s="118" t="str">
        <f>IF(ENGINE!A77="","",ENGINE!A77)</f>
        <v/>
      </c>
      <c r="B88" s="118" t="str">
        <f>IF(A88="","",ENGINE!B77)</f>
        <v/>
      </c>
      <c r="C88" s="42" t="str">
        <f>IF(A88="","",ENGINE!D77)</f>
        <v/>
      </c>
      <c r="D88" s="42" t="str">
        <f>IF(A88="","",INDEX('PERIODIC ENGINE'!$I$2:$I$102,MATCH(A88,'PERIODIC ENGINE'!$A$2:$A$102,0)))</f>
        <v/>
      </c>
      <c r="E88" s="42" t="str">
        <f>IF(A88="","",'CHART DATA'!B77)</f>
        <v/>
      </c>
      <c r="F88" s="42" t="str">
        <f>IF(A88="","",'CHART DATA'!C77)</f>
        <v/>
      </c>
      <c r="G88" s="42" t="str">
        <f>IF(A88="","",INDEX('PERIODIC ENGINE'!$K$2:$K$102,MATCH(A88,'PERIODIC ENGINE'!$A$2:$A$102,0)))</f>
        <v/>
      </c>
      <c r="H88" s="42" t="str">
        <f>IF(A88="","",E88-INPUTS!$C$8-G88)</f>
        <v/>
      </c>
      <c r="I88" s="42" t="str" cm="1">
        <f t="array" ref="I88">IF(A88="","",IFERROR(INDEX(TerminalValueByYear_Range,ROW()-ROW($I$13)+1),""))</f>
        <v/>
      </c>
      <c r="J88" s="7"/>
      <c r="K88" s="7"/>
      <c r="L88" s="7"/>
      <c r="M88" s="7"/>
      <c r="N88" s="7"/>
      <c r="O88" s="7"/>
      <c r="P88" s="7"/>
      <c r="Q88" s="7"/>
      <c r="R88" s="7"/>
    </row>
    <row r="89" spans="1:18" ht="14.25" x14ac:dyDescent="0.25">
      <c r="A89" s="118" t="str">
        <f>IF(ENGINE!A78="","",ENGINE!A78)</f>
        <v/>
      </c>
      <c r="B89" s="118" t="str">
        <f>IF(A89="","",ENGINE!B78)</f>
        <v/>
      </c>
      <c r="C89" s="42" t="str">
        <f>IF(A89="","",ENGINE!D78)</f>
        <v/>
      </c>
      <c r="D89" s="42" t="str">
        <f>IF(A89="","",INDEX('PERIODIC ENGINE'!$I$2:$I$102,MATCH(A89,'PERIODIC ENGINE'!$A$2:$A$102,0)))</f>
        <v/>
      </c>
      <c r="E89" s="42" t="str">
        <f>IF(A89="","",'CHART DATA'!B78)</f>
        <v/>
      </c>
      <c r="F89" s="42" t="str">
        <f>IF(A89="","",'CHART DATA'!C78)</f>
        <v/>
      </c>
      <c r="G89" s="42" t="str">
        <f>IF(A89="","",INDEX('PERIODIC ENGINE'!$K$2:$K$102,MATCH(A89,'PERIODIC ENGINE'!$A$2:$A$102,0)))</f>
        <v/>
      </c>
      <c r="H89" s="42" t="str">
        <f>IF(A89="","",E89-INPUTS!$C$8-G89)</f>
        <v/>
      </c>
      <c r="I89" s="42" t="str" cm="1">
        <f t="array" ref="I89">IF(A89="","",IFERROR(INDEX(TerminalValueByYear_Range,ROW()-ROW($I$13)+1),""))</f>
        <v/>
      </c>
      <c r="J89" s="7"/>
      <c r="K89" s="7"/>
      <c r="L89" s="7"/>
      <c r="M89" s="7"/>
      <c r="N89" s="7"/>
      <c r="O89" s="7"/>
      <c r="P89" s="7"/>
      <c r="Q89" s="7"/>
      <c r="R89" s="7"/>
    </row>
    <row r="90" spans="1:18" ht="14.25" x14ac:dyDescent="0.25">
      <c r="A90" s="118" t="str">
        <f>IF(ENGINE!A79="","",ENGINE!A79)</f>
        <v/>
      </c>
      <c r="B90" s="118" t="str">
        <f>IF(A90="","",ENGINE!B79)</f>
        <v/>
      </c>
      <c r="C90" s="42" t="str">
        <f>IF(A90="","",ENGINE!D79)</f>
        <v/>
      </c>
      <c r="D90" s="42" t="str">
        <f>IF(A90="","",INDEX('PERIODIC ENGINE'!$I$2:$I$102,MATCH(A90,'PERIODIC ENGINE'!$A$2:$A$102,0)))</f>
        <v/>
      </c>
      <c r="E90" s="42" t="str">
        <f>IF(A90="","",'CHART DATA'!B79)</f>
        <v/>
      </c>
      <c r="F90" s="42" t="str">
        <f>IF(A90="","",'CHART DATA'!C79)</f>
        <v/>
      </c>
      <c r="G90" s="42" t="str">
        <f>IF(A90="","",INDEX('PERIODIC ENGINE'!$K$2:$K$102,MATCH(A90,'PERIODIC ENGINE'!$A$2:$A$102,0)))</f>
        <v/>
      </c>
      <c r="H90" s="42" t="str">
        <f>IF(A90="","",E90-INPUTS!$C$8-G90)</f>
        <v/>
      </c>
      <c r="I90" s="42" t="str" cm="1">
        <f t="array" ref="I90">IF(A90="","",IFERROR(INDEX(TerminalValueByYear_Range,ROW()-ROW($I$13)+1),""))</f>
        <v/>
      </c>
      <c r="J90" s="7"/>
      <c r="K90" s="7"/>
      <c r="L90" s="7"/>
      <c r="M90" s="7"/>
      <c r="N90" s="7"/>
      <c r="O90" s="7"/>
      <c r="P90" s="7"/>
      <c r="Q90" s="7"/>
      <c r="R90" s="7"/>
    </row>
    <row r="91" spans="1:18" ht="14.25" x14ac:dyDescent="0.25">
      <c r="A91" s="118" t="str">
        <f>IF(ENGINE!A80="","",ENGINE!A80)</f>
        <v/>
      </c>
      <c r="B91" s="118" t="str">
        <f>IF(A91="","",ENGINE!B80)</f>
        <v/>
      </c>
      <c r="C91" s="42" t="str">
        <f>IF(A91="","",ENGINE!D80)</f>
        <v/>
      </c>
      <c r="D91" s="42" t="str">
        <f>IF(A91="","",INDEX('PERIODIC ENGINE'!$I$2:$I$102,MATCH(A91,'PERIODIC ENGINE'!$A$2:$A$102,0)))</f>
        <v/>
      </c>
      <c r="E91" s="42" t="str">
        <f>IF(A91="","",'CHART DATA'!B80)</f>
        <v/>
      </c>
      <c r="F91" s="42" t="str">
        <f>IF(A91="","",'CHART DATA'!C80)</f>
        <v/>
      </c>
      <c r="G91" s="42" t="str">
        <f>IF(A91="","",INDEX('PERIODIC ENGINE'!$K$2:$K$102,MATCH(A91,'PERIODIC ENGINE'!$A$2:$A$102,0)))</f>
        <v/>
      </c>
      <c r="H91" s="42" t="str">
        <f>IF(A91="","",E91-INPUTS!$C$8-G91)</f>
        <v/>
      </c>
      <c r="I91" s="42" t="str" cm="1">
        <f t="array" ref="I91">IF(A91="","",IFERROR(INDEX(TerminalValueByYear_Range,ROW()-ROW($I$13)+1),""))</f>
        <v/>
      </c>
      <c r="J91" s="7"/>
      <c r="K91" s="7"/>
      <c r="L91" s="7"/>
      <c r="M91" s="7"/>
      <c r="N91" s="7"/>
      <c r="O91" s="7"/>
      <c r="P91" s="7"/>
      <c r="Q91" s="7"/>
      <c r="R91" s="7"/>
    </row>
    <row r="92" spans="1:18" ht="14.25" x14ac:dyDescent="0.25">
      <c r="A92" s="118" t="str">
        <f>IF(ENGINE!A81="","",ENGINE!A81)</f>
        <v/>
      </c>
      <c r="B92" s="118" t="str">
        <f>IF(A92="","",ENGINE!B81)</f>
        <v/>
      </c>
      <c r="C92" s="42" t="str">
        <f>IF(A92="","",ENGINE!D81)</f>
        <v/>
      </c>
      <c r="D92" s="42" t="str">
        <f>IF(A92="","",INDEX('PERIODIC ENGINE'!$I$2:$I$102,MATCH(A92,'PERIODIC ENGINE'!$A$2:$A$102,0)))</f>
        <v/>
      </c>
      <c r="E92" s="42" t="str">
        <f>IF(A92="","",'CHART DATA'!B81)</f>
        <v/>
      </c>
      <c r="F92" s="42" t="str">
        <f>IF(A92="","",'CHART DATA'!C81)</f>
        <v/>
      </c>
      <c r="G92" s="42" t="str">
        <f>IF(A92="","",INDEX('PERIODIC ENGINE'!$K$2:$K$102,MATCH(A92,'PERIODIC ENGINE'!$A$2:$A$102,0)))</f>
        <v/>
      </c>
      <c r="H92" s="42" t="str">
        <f>IF(A92="","",E92-INPUTS!$C$8-G92)</f>
        <v/>
      </c>
      <c r="I92" s="42" t="str" cm="1">
        <f t="array" ref="I92">IF(A92="","",IFERROR(INDEX(TerminalValueByYear_Range,ROW()-ROW($I$13)+1),""))</f>
        <v/>
      </c>
      <c r="J92" s="7"/>
      <c r="K92" s="7"/>
      <c r="L92" s="7"/>
      <c r="M92" s="7"/>
      <c r="N92" s="7"/>
      <c r="O92" s="7"/>
      <c r="P92" s="7"/>
      <c r="Q92" s="7"/>
      <c r="R92" s="7"/>
    </row>
    <row r="93" spans="1:18" ht="14.25" x14ac:dyDescent="0.25">
      <c r="A93" s="118" t="str">
        <f>IF(ENGINE!A82="","",ENGINE!A82)</f>
        <v/>
      </c>
      <c r="B93" s="118" t="str">
        <f>IF(A93="","",ENGINE!B82)</f>
        <v/>
      </c>
      <c r="C93" s="42" t="str">
        <f>IF(A93="","",ENGINE!D82)</f>
        <v/>
      </c>
      <c r="D93" s="42" t="str">
        <f>IF(A93="","",INDEX('PERIODIC ENGINE'!$I$2:$I$102,MATCH(A93,'PERIODIC ENGINE'!$A$2:$A$102,0)))</f>
        <v/>
      </c>
      <c r="E93" s="42" t="str">
        <f>IF(A93="","",'CHART DATA'!B82)</f>
        <v/>
      </c>
      <c r="F93" s="42" t="str">
        <f>IF(A93="","",'CHART DATA'!C82)</f>
        <v/>
      </c>
      <c r="G93" s="42" t="str">
        <f>IF(A93="","",INDEX('PERIODIC ENGINE'!$K$2:$K$102,MATCH(A93,'PERIODIC ENGINE'!$A$2:$A$102,0)))</f>
        <v/>
      </c>
      <c r="H93" s="42" t="str">
        <f>IF(A93="","",E93-INPUTS!$C$8-G93)</f>
        <v/>
      </c>
      <c r="I93" s="42" t="str" cm="1">
        <f t="array" ref="I93">IF(A93="","",IFERROR(INDEX(TerminalValueByYear_Range,ROW()-ROW($I$13)+1),""))</f>
        <v/>
      </c>
      <c r="J93" s="7"/>
      <c r="K93" s="7"/>
      <c r="L93" s="7"/>
      <c r="M93" s="7"/>
      <c r="N93" s="7"/>
      <c r="O93" s="7"/>
      <c r="P93" s="7"/>
      <c r="Q93" s="7"/>
      <c r="R93" s="7"/>
    </row>
    <row r="94" spans="1:18" ht="14.25" x14ac:dyDescent="0.25">
      <c r="A94" s="118" t="str">
        <f>IF(ENGINE!A83="","",ENGINE!A83)</f>
        <v/>
      </c>
      <c r="B94" s="118" t="str">
        <f>IF(A94="","",ENGINE!B83)</f>
        <v/>
      </c>
      <c r="C94" s="42" t="str">
        <f>IF(A94="","",ENGINE!D83)</f>
        <v/>
      </c>
      <c r="D94" s="42" t="str">
        <f>IF(A94="","",INDEX('PERIODIC ENGINE'!$I$2:$I$102,MATCH(A94,'PERIODIC ENGINE'!$A$2:$A$102,0)))</f>
        <v/>
      </c>
      <c r="E94" s="42" t="str">
        <f>IF(A94="","",'CHART DATA'!B83)</f>
        <v/>
      </c>
      <c r="F94" s="42" t="str">
        <f>IF(A94="","",'CHART DATA'!C83)</f>
        <v/>
      </c>
      <c r="G94" s="42" t="str">
        <f>IF(A94="","",INDEX('PERIODIC ENGINE'!$K$2:$K$102,MATCH(A94,'PERIODIC ENGINE'!$A$2:$A$102,0)))</f>
        <v/>
      </c>
      <c r="H94" s="42" t="str">
        <f>IF(A94="","",E94-INPUTS!$C$8-G94)</f>
        <v/>
      </c>
      <c r="I94" s="42" t="str" cm="1">
        <f t="array" ref="I94">IF(A94="","",IFERROR(INDEX(TerminalValueByYear_Range,ROW()-ROW($I$13)+1),""))</f>
        <v/>
      </c>
      <c r="J94" s="7"/>
      <c r="K94" s="7"/>
      <c r="L94" s="7"/>
      <c r="M94" s="7"/>
      <c r="N94" s="7"/>
      <c r="O94" s="7"/>
      <c r="P94" s="7"/>
      <c r="Q94" s="7"/>
      <c r="R94" s="7"/>
    </row>
    <row r="95" spans="1:18" ht="14.25" x14ac:dyDescent="0.25">
      <c r="A95" s="118" t="str">
        <f>IF(ENGINE!A84="","",ENGINE!A84)</f>
        <v/>
      </c>
      <c r="B95" s="118" t="str">
        <f>IF(A95="","",ENGINE!B84)</f>
        <v/>
      </c>
      <c r="C95" s="42" t="str">
        <f>IF(A95="","",ENGINE!D84)</f>
        <v/>
      </c>
      <c r="D95" s="42" t="str">
        <f>IF(A95="","",INDEX('PERIODIC ENGINE'!$I$2:$I$102,MATCH(A95,'PERIODIC ENGINE'!$A$2:$A$102,0)))</f>
        <v/>
      </c>
      <c r="E95" s="42" t="str">
        <f>IF(A95="","",'CHART DATA'!B84)</f>
        <v/>
      </c>
      <c r="F95" s="42" t="str">
        <f>IF(A95="","",'CHART DATA'!C84)</f>
        <v/>
      </c>
      <c r="G95" s="42" t="str">
        <f>IF(A95="","",INDEX('PERIODIC ENGINE'!$K$2:$K$102,MATCH(A95,'PERIODIC ENGINE'!$A$2:$A$102,0)))</f>
        <v/>
      </c>
      <c r="H95" s="42" t="str">
        <f>IF(A95="","",E95-INPUTS!$C$8-G95)</f>
        <v/>
      </c>
      <c r="I95" s="42" t="str" cm="1">
        <f t="array" ref="I95">IF(A95="","",IFERROR(INDEX(TerminalValueByYear_Range,ROW()-ROW($I$13)+1),""))</f>
        <v/>
      </c>
      <c r="J95" s="7"/>
      <c r="K95" s="7"/>
      <c r="L95" s="7"/>
      <c r="M95" s="7"/>
      <c r="N95" s="7"/>
      <c r="O95" s="7"/>
      <c r="P95" s="7"/>
      <c r="Q95" s="7"/>
      <c r="R95" s="7"/>
    </row>
    <row r="96" spans="1:18" ht="14.25" x14ac:dyDescent="0.25">
      <c r="A96" s="118" t="str">
        <f>IF(ENGINE!A85="","",ENGINE!A85)</f>
        <v/>
      </c>
      <c r="B96" s="118" t="str">
        <f>IF(A96="","",ENGINE!B85)</f>
        <v/>
      </c>
      <c r="C96" s="42" t="str">
        <f>IF(A96="","",ENGINE!D85)</f>
        <v/>
      </c>
      <c r="D96" s="42" t="str">
        <f>IF(A96="","",INDEX('PERIODIC ENGINE'!$I$2:$I$102,MATCH(A96,'PERIODIC ENGINE'!$A$2:$A$102,0)))</f>
        <v/>
      </c>
      <c r="E96" s="42" t="str">
        <f>IF(A96="","",'CHART DATA'!B85)</f>
        <v/>
      </c>
      <c r="F96" s="42" t="str">
        <f>IF(A96="","",'CHART DATA'!C85)</f>
        <v/>
      </c>
      <c r="G96" s="42" t="str">
        <f>IF(A96="","",INDEX('PERIODIC ENGINE'!$K$2:$K$102,MATCH(A96,'PERIODIC ENGINE'!$A$2:$A$102,0)))</f>
        <v/>
      </c>
      <c r="H96" s="42" t="str">
        <f>IF(A96="","",E96-INPUTS!$C$8-G96)</f>
        <v/>
      </c>
      <c r="I96" s="42" t="str" cm="1">
        <f t="array" ref="I96">IF(A96="","",IFERROR(INDEX(TerminalValueByYear_Range,ROW()-ROW($I$13)+1),""))</f>
        <v/>
      </c>
      <c r="J96" s="7"/>
      <c r="K96" s="7"/>
      <c r="L96" s="7"/>
      <c r="M96" s="7"/>
      <c r="N96" s="7"/>
      <c r="O96" s="7"/>
      <c r="P96" s="7"/>
      <c r="Q96" s="7"/>
      <c r="R96" s="7"/>
    </row>
    <row r="97" spans="1:18" ht="14.25" x14ac:dyDescent="0.25">
      <c r="A97" s="118" t="str">
        <f>IF(ENGINE!A86="","",ENGINE!A86)</f>
        <v/>
      </c>
      <c r="B97" s="118" t="str">
        <f>IF(A97="","",ENGINE!B86)</f>
        <v/>
      </c>
      <c r="C97" s="42" t="str">
        <f>IF(A97="","",ENGINE!D86)</f>
        <v/>
      </c>
      <c r="D97" s="42" t="str">
        <f>IF(A97="","",INDEX('PERIODIC ENGINE'!$I$2:$I$102,MATCH(A97,'PERIODIC ENGINE'!$A$2:$A$102,0)))</f>
        <v/>
      </c>
      <c r="E97" s="42" t="str">
        <f>IF(A97="","",'CHART DATA'!B86)</f>
        <v/>
      </c>
      <c r="F97" s="42" t="str">
        <f>IF(A97="","",'CHART DATA'!C86)</f>
        <v/>
      </c>
      <c r="G97" s="42" t="str">
        <f>IF(A97="","",INDEX('PERIODIC ENGINE'!$K$2:$K$102,MATCH(A97,'PERIODIC ENGINE'!$A$2:$A$102,0)))</f>
        <v/>
      </c>
      <c r="H97" s="42" t="str">
        <f>IF(A97="","",E97-INPUTS!$C$8-G97)</f>
        <v/>
      </c>
      <c r="I97" s="42" t="str" cm="1">
        <f t="array" ref="I97">IF(A97="","",IFERROR(INDEX(TerminalValueByYear_Range,ROW()-ROW($I$13)+1),""))</f>
        <v/>
      </c>
      <c r="J97" s="7"/>
      <c r="K97" s="7"/>
      <c r="L97" s="7"/>
      <c r="M97" s="7"/>
      <c r="N97" s="7"/>
      <c r="O97" s="7"/>
      <c r="P97" s="7"/>
      <c r="Q97" s="7"/>
      <c r="R97" s="7"/>
    </row>
    <row r="98" spans="1:18" ht="14.25" x14ac:dyDescent="0.25">
      <c r="A98" s="118" t="str">
        <f>IF(ENGINE!A87="","",ENGINE!A87)</f>
        <v/>
      </c>
      <c r="B98" s="118" t="str">
        <f>IF(A98="","",ENGINE!B87)</f>
        <v/>
      </c>
      <c r="C98" s="42" t="str">
        <f>IF(A98="","",ENGINE!D87)</f>
        <v/>
      </c>
      <c r="D98" s="42" t="str">
        <f>IF(A98="","",INDEX('PERIODIC ENGINE'!$I$2:$I$102,MATCH(A98,'PERIODIC ENGINE'!$A$2:$A$102,0)))</f>
        <v/>
      </c>
      <c r="E98" s="42" t="str">
        <f>IF(A98="","",'CHART DATA'!B87)</f>
        <v/>
      </c>
      <c r="F98" s="42" t="str">
        <f>IF(A98="","",'CHART DATA'!C87)</f>
        <v/>
      </c>
      <c r="G98" s="42" t="str">
        <f>IF(A98="","",INDEX('PERIODIC ENGINE'!$K$2:$K$102,MATCH(A98,'PERIODIC ENGINE'!$A$2:$A$102,0)))</f>
        <v/>
      </c>
      <c r="H98" s="42" t="str">
        <f>IF(A98="","",E98-INPUTS!$C$8-G98)</f>
        <v/>
      </c>
      <c r="I98" s="42" t="str" cm="1">
        <f t="array" ref="I98">IF(A98="","",IFERROR(INDEX(TerminalValueByYear_Range,ROW()-ROW($I$13)+1),""))</f>
        <v/>
      </c>
      <c r="J98" s="7"/>
      <c r="K98" s="7"/>
      <c r="L98" s="7"/>
      <c r="M98" s="7"/>
      <c r="N98" s="7"/>
      <c r="O98" s="7"/>
      <c r="P98" s="7"/>
      <c r="Q98" s="7"/>
      <c r="R98" s="7"/>
    </row>
    <row r="99" spans="1:18" ht="14.25" x14ac:dyDescent="0.25">
      <c r="A99" s="118" t="str">
        <f>IF(ENGINE!A88="","",ENGINE!A88)</f>
        <v/>
      </c>
      <c r="B99" s="118" t="str">
        <f>IF(A99="","",ENGINE!B88)</f>
        <v/>
      </c>
      <c r="C99" s="42" t="str">
        <f>IF(A99="","",ENGINE!D88)</f>
        <v/>
      </c>
      <c r="D99" s="42" t="str">
        <f>IF(A99="","",INDEX('PERIODIC ENGINE'!$I$2:$I$102,MATCH(A99,'PERIODIC ENGINE'!$A$2:$A$102,0)))</f>
        <v/>
      </c>
      <c r="E99" s="42" t="str">
        <f>IF(A99="","",'CHART DATA'!B88)</f>
        <v/>
      </c>
      <c r="F99" s="42" t="str">
        <f>IF(A99="","",'CHART DATA'!C88)</f>
        <v/>
      </c>
      <c r="G99" s="42" t="str">
        <f>IF(A99="","",INDEX('PERIODIC ENGINE'!$K$2:$K$102,MATCH(A99,'PERIODIC ENGINE'!$A$2:$A$102,0)))</f>
        <v/>
      </c>
      <c r="H99" s="42" t="str">
        <f>IF(A99="","",E99-INPUTS!$C$8-G99)</f>
        <v/>
      </c>
      <c r="I99" s="42" t="str" cm="1">
        <f t="array" ref="I99">IF(A99="","",IFERROR(INDEX(TerminalValueByYear_Range,ROW()-ROW($I$13)+1),""))</f>
        <v/>
      </c>
      <c r="J99" s="7"/>
      <c r="K99" s="7"/>
      <c r="L99" s="7"/>
      <c r="M99" s="7"/>
      <c r="N99" s="7"/>
      <c r="O99" s="7"/>
      <c r="P99" s="7"/>
      <c r="Q99" s="7"/>
      <c r="R99" s="7"/>
    </row>
    <row r="100" spans="1:18" ht="14.25" x14ac:dyDescent="0.25">
      <c r="A100" s="118" t="str">
        <f>IF(ENGINE!A89="","",ENGINE!A89)</f>
        <v/>
      </c>
      <c r="B100" s="118" t="str">
        <f>IF(A100="","",ENGINE!B89)</f>
        <v/>
      </c>
      <c r="C100" s="42" t="str">
        <f>IF(A100="","",ENGINE!D89)</f>
        <v/>
      </c>
      <c r="D100" s="42" t="str">
        <f>IF(A100="","",INDEX('PERIODIC ENGINE'!$I$2:$I$102,MATCH(A100,'PERIODIC ENGINE'!$A$2:$A$102,0)))</f>
        <v/>
      </c>
      <c r="E100" s="42" t="str">
        <f>IF(A100="","",'CHART DATA'!B89)</f>
        <v/>
      </c>
      <c r="F100" s="42" t="str">
        <f>IF(A100="","",'CHART DATA'!C89)</f>
        <v/>
      </c>
      <c r="G100" s="42" t="str">
        <f>IF(A100="","",INDEX('PERIODIC ENGINE'!$K$2:$K$102,MATCH(A100,'PERIODIC ENGINE'!$A$2:$A$102,0)))</f>
        <v/>
      </c>
      <c r="H100" s="42" t="str">
        <f>IF(A100="","",E100-INPUTS!$C$8-G100)</f>
        <v/>
      </c>
      <c r="I100" s="42" t="str" cm="1">
        <f t="array" ref="I100">IF(A100="","",IFERROR(INDEX(TerminalValueByYear_Range,ROW()-ROW($I$13)+1),""))</f>
        <v/>
      </c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4.25" x14ac:dyDescent="0.25">
      <c r="A101" s="118" t="str">
        <f>IF(ENGINE!A90="","",ENGINE!A90)</f>
        <v/>
      </c>
      <c r="B101" s="118" t="str">
        <f>IF(A101="","",ENGINE!B90)</f>
        <v/>
      </c>
      <c r="C101" s="42" t="str">
        <f>IF(A101="","",ENGINE!D90)</f>
        <v/>
      </c>
      <c r="D101" s="42" t="str">
        <f>IF(A101="","",INDEX('PERIODIC ENGINE'!$I$2:$I$102,MATCH(A101,'PERIODIC ENGINE'!$A$2:$A$102,0)))</f>
        <v/>
      </c>
      <c r="E101" s="42" t="str">
        <f>IF(A101="","",'CHART DATA'!B90)</f>
        <v/>
      </c>
      <c r="F101" s="42" t="str">
        <f>IF(A101="","",'CHART DATA'!C90)</f>
        <v/>
      </c>
      <c r="G101" s="42" t="str">
        <f>IF(A101="","",INDEX('PERIODIC ENGINE'!$K$2:$K$102,MATCH(A101,'PERIODIC ENGINE'!$A$2:$A$102,0)))</f>
        <v/>
      </c>
      <c r="H101" s="42" t="str">
        <f>IF(A101="","",E101-INPUTS!$C$8-G101)</f>
        <v/>
      </c>
      <c r="I101" s="42" t="str" cm="1">
        <f t="array" ref="I101">IF(A101="","",IFERROR(INDEX(TerminalValueByYear_Range,ROW()-ROW($I$13)+1),""))</f>
        <v/>
      </c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4.25" x14ac:dyDescent="0.25">
      <c r="A102" s="118" t="str">
        <f>IF(ENGINE!A91="","",ENGINE!A91)</f>
        <v/>
      </c>
      <c r="B102" s="118" t="str">
        <f>IF(A102="","",ENGINE!B91)</f>
        <v/>
      </c>
      <c r="C102" s="42" t="str">
        <f>IF(A102="","",ENGINE!D91)</f>
        <v/>
      </c>
      <c r="D102" s="42" t="str">
        <f>IF(A102="","",INDEX('PERIODIC ENGINE'!$I$2:$I$102,MATCH(A102,'PERIODIC ENGINE'!$A$2:$A$102,0)))</f>
        <v/>
      </c>
      <c r="E102" s="42" t="str">
        <f>IF(A102="","",'CHART DATA'!B91)</f>
        <v/>
      </c>
      <c r="F102" s="42" t="str">
        <f>IF(A102="","",'CHART DATA'!C91)</f>
        <v/>
      </c>
      <c r="G102" s="42" t="str">
        <f>IF(A102="","",INDEX('PERIODIC ENGINE'!$K$2:$K$102,MATCH(A102,'PERIODIC ENGINE'!$A$2:$A$102,0)))</f>
        <v/>
      </c>
      <c r="H102" s="42" t="str">
        <f>IF(A102="","",E102-INPUTS!$C$8-G102)</f>
        <v/>
      </c>
      <c r="I102" s="42" t="str" cm="1">
        <f t="array" ref="I102">IF(A102="","",IFERROR(INDEX(TerminalValueByYear_Range,ROW()-ROW($I$13)+1),""))</f>
        <v/>
      </c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4.25" x14ac:dyDescent="0.25">
      <c r="A103" s="118" t="str">
        <f>IF(ENGINE!A92="","",ENGINE!A92)</f>
        <v/>
      </c>
      <c r="B103" s="118" t="str">
        <f>IF(A103="","",ENGINE!B92)</f>
        <v/>
      </c>
      <c r="C103" s="42" t="str">
        <f>IF(A103="","",ENGINE!D92)</f>
        <v/>
      </c>
      <c r="D103" s="42" t="str">
        <f>IF(A103="","",INDEX('PERIODIC ENGINE'!$I$2:$I$102,MATCH(A103,'PERIODIC ENGINE'!$A$2:$A$102,0)))</f>
        <v/>
      </c>
      <c r="E103" s="42" t="str">
        <f>IF(A103="","",'CHART DATA'!B92)</f>
        <v/>
      </c>
      <c r="F103" s="42" t="str">
        <f>IF(A103="","",'CHART DATA'!C92)</f>
        <v/>
      </c>
      <c r="G103" s="42" t="str">
        <f>IF(A103="","",INDEX('PERIODIC ENGINE'!$K$2:$K$102,MATCH(A103,'PERIODIC ENGINE'!$A$2:$A$102,0)))</f>
        <v/>
      </c>
      <c r="H103" s="42" t="str">
        <f>IF(A103="","",E103-INPUTS!$C$8-G103)</f>
        <v/>
      </c>
      <c r="I103" s="42" t="str" cm="1">
        <f t="array" ref="I103">IF(A103="","",IFERROR(INDEX(TerminalValueByYear_Range,ROW()-ROW($I$13)+1),""))</f>
        <v/>
      </c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4.25" x14ac:dyDescent="0.25">
      <c r="A104" s="118" t="str">
        <f>IF(ENGINE!A93="","",ENGINE!A93)</f>
        <v/>
      </c>
      <c r="B104" s="118" t="str">
        <f>IF(A104="","",ENGINE!B93)</f>
        <v/>
      </c>
      <c r="C104" s="42" t="str">
        <f>IF(A104="","",ENGINE!D93)</f>
        <v/>
      </c>
      <c r="D104" s="42" t="str">
        <f>IF(A104="","",INDEX('PERIODIC ENGINE'!$I$2:$I$102,MATCH(A104,'PERIODIC ENGINE'!$A$2:$A$102,0)))</f>
        <v/>
      </c>
      <c r="E104" s="42" t="str">
        <f>IF(A104="","",'CHART DATA'!B93)</f>
        <v/>
      </c>
      <c r="F104" s="42" t="str">
        <f>IF(A104="","",'CHART DATA'!C93)</f>
        <v/>
      </c>
      <c r="G104" s="42" t="str">
        <f>IF(A104="","",INDEX('PERIODIC ENGINE'!$K$2:$K$102,MATCH(A104,'PERIODIC ENGINE'!$A$2:$A$102,0)))</f>
        <v/>
      </c>
      <c r="H104" s="42" t="str">
        <f>IF(A104="","",E104-INPUTS!$C$8-G104)</f>
        <v/>
      </c>
      <c r="I104" s="42" t="str" cm="1">
        <f t="array" ref="I104">IF(A104="","",IFERROR(INDEX(TerminalValueByYear_Range,ROW()-ROW($I$13)+1),""))</f>
        <v/>
      </c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4.25" x14ac:dyDescent="0.25">
      <c r="A105" s="118" t="str">
        <f>IF(ENGINE!A94="","",ENGINE!A94)</f>
        <v/>
      </c>
      <c r="B105" s="118" t="str">
        <f>IF(A105="","",ENGINE!B94)</f>
        <v/>
      </c>
      <c r="C105" s="42" t="str">
        <f>IF(A105="","",ENGINE!D94)</f>
        <v/>
      </c>
      <c r="D105" s="42" t="str">
        <f>IF(A105="","",INDEX('PERIODIC ENGINE'!$I$2:$I$102,MATCH(A105,'PERIODIC ENGINE'!$A$2:$A$102,0)))</f>
        <v/>
      </c>
      <c r="E105" s="42" t="str">
        <f>IF(A105="","",'CHART DATA'!B94)</f>
        <v/>
      </c>
      <c r="F105" s="42" t="str">
        <f>IF(A105="","",'CHART DATA'!C94)</f>
        <v/>
      </c>
      <c r="G105" s="42" t="str">
        <f>IF(A105="","",INDEX('PERIODIC ENGINE'!$K$2:$K$102,MATCH(A105,'PERIODIC ENGINE'!$A$2:$A$102,0)))</f>
        <v/>
      </c>
      <c r="H105" s="42" t="str">
        <f>IF(A105="","",E105-INPUTS!$C$8-G105)</f>
        <v/>
      </c>
      <c r="I105" s="42" t="str" cm="1">
        <f t="array" ref="I105">IF(A105="","",IFERROR(INDEX(TerminalValueByYear_Range,ROW()-ROW($I$13)+1),""))</f>
        <v/>
      </c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4.25" x14ac:dyDescent="0.25">
      <c r="A106" s="118" t="str">
        <f>IF(ENGINE!A95="","",ENGINE!A95)</f>
        <v/>
      </c>
      <c r="B106" s="118" t="str">
        <f>IF(A106="","",ENGINE!B95)</f>
        <v/>
      </c>
      <c r="C106" s="42" t="str">
        <f>IF(A106="","",ENGINE!D95)</f>
        <v/>
      </c>
      <c r="D106" s="42" t="str">
        <f>IF(A106="","",INDEX('PERIODIC ENGINE'!$I$2:$I$102,MATCH(A106,'PERIODIC ENGINE'!$A$2:$A$102,0)))</f>
        <v/>
      </c>
      <c r="E106" s="42" t="str">
        <f>IF(A106="","",'CHART DATA'!B95)</f>
        <v/>
      </c>
      <c r="F106" s="42" t="str">
        <f>IF(A106="","",'CHART DATA'!C95)</f>
        <v/>
      </c>
      <c r="G106" s="42" t="str">
        <f>IF(A106="","",INDEX('PERIODIC ENGINE'!$K$2:$K$102,MATCH(A106,'PERIODIC ENGINE'!$A$2:$A$102,0)))</f>
        <v/>
      </c>
      <c r="H106" s="42" t="str">
        <f>IF(A106="","",E106-INPUTS!$C$8-G106)</f>
        <v/>
      </c>
      <c r="I106" s="42" t="str" cm="1">
        <f t="array" ref="I106">IF(A106="","",IFERROR(INDEX(TerminalValueByYear_Range,ROW()-ROW($I$13)+1),""))</f>
        <v/>
      </c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4.25" x14ac:dyDescent="0.25">
      <c r="A107" s="118" t="str">
        <f>IF(ENGINE!A96="","",ENGINE!A96)</f>
        <v/>
      </c>
      <c r="B107" s="118" t="str">
        <f>IF(A107="","",ENGINE!B96)</f>
        <v/>
      </c>
      <c r="C107" s="42" t="str">
        <f>IF(A107="","",ENGINE!D96)</f>
        <v/>
      </c>
      <c r="D107" s="42" t="str">
        <f>IF(A107="","",INDEX('PERIODIC ENGINE'!$I$2:$I$102,MATCH(A107,'PERIODIC ENGINE'!$A$2:$A$102,0)))</f>
        <v/>
      </c>
      <c r="E107" s="42" t="str">
        <f>IF(A107="","",'CHART DATA'!B96)</f>
        <v/>
      </c>
      <c r="F107" s="42" t="str">
        <f>IF(A107="","",'CHART DATA'!C96)</f>
        <v/>
      </c>
      <c r="G107" s="42" t="str">
        <f>IF(A107="","",INDEX('PERIODIC ENGINE'!$K$2:$K$102,MATCH(A107,'PERIODIC ENGINE'!$A$2:$A$102,0)))</f>
        <v/>
      </c>
      <c r="H107" s="42" t="str">
        <f>IF(A107="","",E107-INPUTS!$C$8-G107)</f>
        <v/>
      </c>
      <c r="I107" s="42" t="str" cm="1">
        <f t="array" ref="I107">IF(A107="","",IFERROR(INDEX(TerminalValueByYear_Range,ROW()-ROW($I$13)+1),""))</f>
        <v/>
      </c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4.25" x14ac:dyDescent="0.25">
      <c r="A108" s="118" t="str">
        <f>IF(ENGINE!A97="","",ENGINE!A97)</f>
        <v/>
      </c>
      <c r="B108" s="118" t="str">
        <f>IF(A108="","",ENGINE!B97)</f>
        <v/>
      </c>
      <c r="C108" s="42" t="str">
        <f>IF(A108="","",ENGINE!D97)</f>
        <v/>
      </c>
      <c r="D108" s="42" t="str">
        <f>IF(A108="","",INDEX('PERIODIC ENGINE'!$I$2:$I$102,MATCH(A108,'PERIODIC ENGINE'!$A$2:$A$102,0)))</f>
        <v/>
      </c>
      <c r="E108" s="42" t="str">
        <f>IF(A108="","",'CHART DATA'!B97)</f>
        <v/>
      </c>
      <c r="F108" s="42" t="str">
        <f>IF(A108="","",'CHART DATA'!C97)</f>
        <v/>
      </c>
      <c r="G108" s="42" t="str">
        <f>IF(A108="","",INDEX('PERIODIC ENGINE'!$K$2:$K$102,MATCH(A108,'PERIODIC ENGINE'!$A$2:$A$102,0)))</f>
        <v/>
      </c>
      <c r="H108" s="42" t="str">
        <f>IF(A108="","",E108-INPUTS!$C$8-G108)</f>
        <v/>
      </c>
      <c r="I108" s="42" t="str" cm="1">
        <f t="array" ref="I108">IF(A108="","",IFERROR(INDEX(TerminalValueByYear_Range,ROW()-ROW($I$13)+1),""))</f>
        <v/>
      </c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4.25" x14ac:dyDescent="0.25">
      <c r="A109" s="118" t="str">
        <f>IF(ENGINE!A98="","",ENGINE!A98)</f>
        <v/>
      </c>
      <c r="B109" s="118" t="str">
        <f>IF(A109="","",ENGINE!B98)</f>
        <v/>
      </c>
      <c r="C109" s="42" t="str">
        <f>IF(A109="","",ENGINE!D98)</f>
        <v/>
      </c>
      <c r="D109" s="42" t="str">
        <f>IF(A109="","",INDEX('PERIODIC ENGINE'!$I$2:$I$102,MATCH(A109,'PERIODIC ENGINE'!$A$2:$A$102,0)))</f>
        <v/>
      </c>
      <c r="E109" s="42" t="str">
        <f>IF(A109="","",'CHART DATA'!B98)</f>
        <v/>
      </c>
      <c r="F109" s="42" t="str">
        <f>IF(A109="","",'CHART DATA'!C98)</f>
        <v/>
      </c>
      <c r="G109" s="42" t="str">
        <f>IF(A109="","",INDEX('PERIODIC ENGINE'!$K$2:$K$102,MATCH(A109,'PERIODIC ENGINE'!$A$2:$A$102,0)))</f>
        <v/>
      </c>
      <c r="H109" s="42" t="str">
        <f>IF(A109="","",E109-INPUTS!$C$8-G109)</f>
        <v/>
      </c>
      <c r="I109" s="42" t="str" cm="1">
        <f t="array" ref="I109">IF(A109="","",IFERROR(INDEX(TerminalValueByYear_Range,ROW()-ROW($I$13)+1),""))</f>
        <v/>
      </c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4.25" x14ac:dyDescent="0.25">
      <c r="A110" s="118" t="str">
        <f>IF(ENGINE!A99="","",ENGINE!A99)</f>
        <v/>
      </c>
      <c r="B110" s="118" t="str">
        <f>IF(A110="","",ENGINE!B99)</f>
        <v/>
      </c>
      <c r="C110" s="42" t="str">
        <f>IF(A110="","",ENGINE!D99)</f>
        <v/>
      </c>
      <c r="D110" s="42" t="str">
        <f>IF(A110="","",INDEX('PERIODIC ENGINE'!$I$2:$I$102,MATCH(A110,'PERIODIC ENGINE'!$A$2:$A$102,0)))</f>
        <v/>
      </c>
      <c r="E110" s="42" t="str">
        <f>IF(A110="","",'CHART DATA'!B99)</f>
        <v/>
      </c>
      <c r="F110" s="42" t="str">
        <f>IF(A110="","",'CHART DATA'!C99)</f>
        <v/>
      </c>
      <c r="G110" s="42" t="str">
        <f>IF(A110="","",INDEX('PERIODIC ENGINE'!$K$2:$K$102,MATCH(A110,'PERIODIC ENGINE'!$A$2:$A$102,0)))</f>
        <v/>
      </c>
      <c r="H110" s="42" t="str">
        <f>IF(A110="","",E110-INPUTS!$C$8-G110)</f>
        <v/>
      </c>
      <c r="I110" s="42" t="str" cm="1">
        <f t="array" ref="I110">IF(A110="","",IFERROR(INDEX(TerminalValueByYear_Range,ROW()-ROW($I$13)+1),""))</f>
        <v/>
      </c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4.25" x14ac:dyDescent="0.25">
      <c r="A111" s="118" t="str">
        <f>IF(ENGINE!A100="","",ENGINE!A100)</f>
        <v/>
      </c>
      <c r="B111" s="118" t="str">
        <f>IF(A111="","",ENGINE!B100)</f>
        <v/>
      </c>
      <c r="C111" s="42" t="str">
        <f>IF(A111="","",ENGINE!D100)</f>
        <v/>
      </c>
      <c r="D111" s="42" t="str">
        <f>IF(A111="","",INDEX('PERIODIC ENGINE'!$I$2:$I$102,MATCH(A111,'PERIODIC ENGINE'!$A$2:$A$102,0)))</f>
        <v/>
      </c>
      <c r="E111" s="42" t="str">
        <f>IF(A111="","",'CHART DATA'!B100)</f>
        <v/>
      </c>
      <c r="F111" s="42" t="str">
        <f>IF(A111="","",'CHART DATA'!C100)</f>
        <v/>
      </c>
      <c r="G111" s="42" t="str">
        <f>IF(A111="","",INDEX('PERIODIC ENGINE'!$K$2:$K$102,MATCH(A111,'PERIODIC ENGINE'!$A$2:$A$102,0)))</f>
        <v/>
      </c>
      <c r="H111" s="42" t="str">
        <f>IF(A111="","",E111-INPUTS!$C$8-G111)</f>
        <v/>
      </c>
      <c r="I111" s="42" t="str" cm="1">
        <f t="array" ref="I111">IF(A111="","",IFERROR(INDEX(TerminalValueByYear_Range,ROW()-ROW($I$13)+1),""))</f>
        <v/>
      </c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4.25" x14ac:dyDescent="0.25">
      <c r="A112" s="118" t="str">
        <f>IF(ENGINE!A101="","",ENGINE!A101)</f>
        <v/>
      </c>
      <c r="B112" s="118" t="str">
        <f>IF(A112="","",ENGINE!B101)</f>
        <v/>
      </c>
      <c r="C112" s="42" t="str">
        <f>IF(A112="","",ENGINE!D101)</f>
        <v/>
      </c>
      <c r="D112" s="42" t="str">
        <f>IF(A112="","",INDEX('PERIODIC ENGINE'!$I$2:$I$102,MATCH(A112,'PERIODIC ENGINE'!$A$2:$A$102,0)))</f>
        <v/>
      </c>
      <c r="E112" s="42" t="str">
        <f>IF(A112="","",'CHART DATA'!B101)</f>
        <v/>
      </c>
      <c r="F112" s="42" t="str">
        <f>IF(A112="","",'CHART DATA'!C101)</f>
        <v/>
      </c>
      <c r="G112" s="42" t="str">
        <f>IF(A112="","",INDEX('PERIODIC ENGINE'!$K$2:$K$102,MATCH(A112,'PERIODIC ENGINE'!$A$2:$A$102,0)))</f>
        <v/>
      </c>
      <c r="H112" s="42" t="str">
        <f>IF(A112="","",E112-INPUTS!$C$8-G112)</f>
        <v/>
      </c>
      <c r="I112" s="42" t="str" cm="1">
        <f t="array" ref="I112">IF(A112="","",IFERROR(INDEX(TerminalValueByYear_Range,ROW()-ROW($I$13)+1),""))</f>
        <v/>
      </c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4.25" x14ac:dyDescent="0.25">
      <c r="A113" s="118" t="str">
        <f>IF(ENGINE!A102="","",ENGINE!A102)</f>
        <v/>
      </c>
      <c r="B113" s="118" t="str">
        <f>IF(A113="","",ENGINE!B102)</f>
        <v/>
      </c>
      <c r="C113" s="42" t="str">
        <f>IF(A113="","",ENGINE!D102)</f>
        <v/>
      </c>
      <c r="D113" s="42" t="str">
        <f>IF(A113="","",INDEX('PERIODIC ENGINE'!$I$2:$I$102,MATCH(A113,'PERIODIC ENGINE'!$A$2:$A$102,0)))</f>
        <v/>
      </c>
      <c r="E113" s="42" t="str">
        <f>IF(A113="","",'CHART DATA'!B102)</f>
        <v/>
      </c>
      <c r="F113" s="42" t="str">
        <f>IF(A113="","",'CHART DATA'!C102)</f>
        <v/>
      </c>
      <c r="G113" s="42" t="str">
        <f>IF(A113="","",INDEX('PERIODIC ENGINE'!$K$2:$K$102,MATCH(A113,'PERIODIC ENGINE'!$A$2:$A$102,0)))</f>
        <v/>
      </c>
      <c r="H113" s="42" t="str">
        <f>IF(A113="","",E113-INPUTS!$C$8-G113)</f>
        <v/>
      </c>
      <c r="I113" s="42" t="str" cm="1">
        <f t="array" ref="I113">IF(A113="","",IFERROR(INDEX(TerminalValueByYear_Range,ROW()-ROW($I$13)+1),""))</f>
        <v/>
      </c>
      <c r="J113" s="7"/>
      <c r="K113" s="7"/>
      <c r="L113" s="7"/>
      <c r="M113" s="7"/>
      <c r="N113" s="7"/>
      <c r="O113" s="7"/>
      <c r="P113" s="7"/>
      <c r="Q113" s="7"/>
      <c r="R113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EFD-5FA5-48D8-AE21-61C7C86FBBE0}">
  <sheetPr>
    <tabColor rgb="FF1B2A3B"/>
  </sheetPr>
  <dimension ref="A1:V107"/>
  <sheetViews>
    <sheetView showGridLines="0" topLeftCell="H1" zoomScaleNormal="100" workbookViewId="0">
      <pane ySplit="1" topLeftCell="A2" activePane="bottomLeft" state="frozen"/>
      <selection pane="bottomLeft" activeCell="N25" sqref="N25"/>
    </sheetView>
  </sheetViews>
  <sheetFormatPr defaultRowHeight="12.75" x14ac:dyDescent="0.2"/>
  <cols>
    <col min="1" max="1" width="15.7109375" customWidth="1"/>
    <col min="2" max="2" width="4.5703125" bestFit="1" customWidth="1"/>
    <col min="3" max="3" width="11.7109375" bestFit="1" customWidth="1"/>
    <col min="4" max="4" width="18.42578125" bestFit="1" customWidth="1"/>
    <col min="5" max="5" width="20.42578125" bestFit="1" customWidth="1"/>
    <col min="6" max="6" width="12.5703125" bestFit="1" customWidth="1"/>
    <col min="7" max="7" width="11" bestFit="1" customWidth="1"/>
    <col min="8" max="8" width="26.140625" bestFit="1" customWidth="1"/>
    <col min="9" max="9" width="16.28515625" bestFit="1" customWidth="1"/>
    <col min="10" max="10" width="25.7109375" bestFit="1" customWidth="1"/>
    <col min="11" max="11" width="3.28515625" customWidth="1"/>
    <col min="12" max="12" width="32.28515625" bestFit="1" customWidth="1"/>
    <col min="13" max="13" width="11" bestFit="1" customWidth="1"/>
    <col min="14" max="16" width="15.85546875" customWidth="1"/>
  </cols>
  <sheetData>
    <row r="1" spans="1:22" ht="29.25" x14ac:dyDescent="0.2">
      <c r="A1" s="136" t="s">
        <v>241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22" ht="14.25" x14ac:dyDescent="0.25">
      <c r="A2" s="94" t="s">
        <v>242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22" ht="14.2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22" ht="18" thickBot="1" x14ac:dyDescent="0.35">
      <c r="A4" s="138" t="s">
        <v>243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</row>
    <row r="5" spans="1:22" ht="14.2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2" ht="14.25" x14ac:dyDescent="0.25">
      <c r="A6" s="139" t="s">
        <v>218</v>
      </c>
      <c r="B6" s="139" t="s">
        <v>1</v>
      </c>
      <c r="C6" s="140" t="s">
        <v>180</v>
      </c>
      <c r="D6" s="140" t="s">
        <v>182</v>
      </c>
      <c r="E6" s="140" t="s">
        <v>244</v>
      </c>
      <c r="F6" s="140" t="s">
        <v>192</v>
      </c>
      <c r="G6" s="140" t="s">
        <v>187</v>
      </c>
      <c r="H6" s="140" t="s">
        <v>219</v>
      </c>
      <c r="I6" s="140" t="s">
        <v>446</v>
      </c>
      <c r="J6" s="140" t="s">
        <v>222</v>
      </c>
      <c r="K6" s="7"/>
      <c r="L6" s="7"/>
      <c r="M6" s="7"/>
      <c r="N6" s="7"/>
      <c r="O6" s="7"/>
      <c r="P6" s="7"/>
    </row>
    <row r="7" spans="1:22" ht="14.25" x14ac:dyDescent="0.25">
      <c r="A7" s="118">
        <f>IF(ENGINE!A2="","",ENGINE!A2)</f>
        <v>0</v>
      </c>
      <c r="B7" s="118">
        <f>IF(ENGINE!A2="","",ENGINE!B2)</f>
        <v>22</v>
      </c>
      <c r="C7" s="42">
        <f>IF(ENGINE!A2="","",ENGINE!Y2)</f>
        <v>70000</v>
      </c>
      <c r="D7" s="42">
        <f>IF(ENGINE!A2="","",ENGINE!AC2)</f>
        <v>6570</v>
      </c>
      <c r="E7" s="42">
        <f>IF(ENGINE!A2="","",ENGINE!AD2)</f>
        <v>0</v>
      </c>
      <c r="F7" s="42">
        <f>IF(ENGINE!A2="","",ENGINE!AG2)</f>
        <v>5355</v>
      </c>
      <c r="G7" s="42">
        <f>IF(ENGINE!A2="","",ENGINE!AH2)</f>
        <v>11925</v>
      </c>
      <c r="H7" s="42">
        <f>IF(ENGINE!A2="","",ENGINE!AI2)</f>
        <v>58075</v>
      </c>
      <c r="I7" s="42">
        <f>IF(ENGINE!A2="","",ENGINE!D2)</f>
        <v>7500</v>
      </c>
      <c r="J7" s="42">
        <f>IF(ENGINE!A2="","",ENGINE!AI2-ENGINE!D2)</f>
        <v>50575</v>
      </c>
      <c r="K7" s="7"/>
      <c r="L7" s="7"/>
      <c r="M7" s="7"/>
      <c r="N7" s="7"/>
      <c r="O7" s="7"/>
      <c r="P7" s="7"/>
    </row>
    <row r="8" spans="1:22" ht="14.25" x14ac:dyDescent="0.25">
      <c r="A8" s="118">
        <f>IF(ENGINE!A3="","",ENGINE!A3)</f>
        <v>1</v>
      </c>
      <c r="B8" s="118">
        <f>IF(ENGINE!A3="","",ENGINE!B3)</f>
        <v>23</v>
      </c>
      <c r="C8" s="43">
        <f>IF(ENGINE!A3="","",ENGINE!Y3)</f>
        <v>74350</v>
      </c>
      <c r="D8" s="43">
        <f>IF(ENGINE!A3="","",ENGINE!AC3)</f>
        <v>7057</v>
      </c>
      <c r="E8" s="43">
        <f>IF(ENGINE!A3="","",ENGINE!AD3)</f>
        <v>0</v>
      </c>
      <c r="F8" s="43">
        <f>IF(ENGINE!A3="","",ENGINE!AG3)</f>
        <v>5687.7749999999996</v>
      </c>
      <c r="G8" s="43">
        <f>IF(ENGINE!A3="","",ENGINE!AH3)</f>
        <v>12744.775</v>
      </c>
      <c r="H8" s="43">
        <f>IF(ENGINE!A3="","",ENGINE!AI3)</f>
        <v>61605.224999999999</v>
      </c>
      <c r="I8" s="43">
        <f>IF(ENGINE!A3="","",ENGINE!D3)</f>
        <v>7500</v>
      </c>
      <c r="J8" s="43">
        <f>IF(ENGINE!A3="","",ENGINE!AI3-ENGINE!D3)</f>
        <v>54105.224999999999</v>
      </c>
      <c r="K8" s="7"/>
      <c r="L8" s="7"/>
      <c r="M8" s="7"/>
      <c r="N8" s="7"/>
      <c r="O8" s="7"/>
      <c r="P8" s="7"/>
    </row>
    <row r="9" spans="1:22" ht="14.25" x14ac:dyDescent="0.25">
      <c r="A9" s="118">
        <f>IF(ENGINE!A4="","",ENGINE!A4)</f>
        <v>2</v>
      </c>
      <c r="B9" s="118">
        <f>IF(ENGINE!A4="","",ENGINE!B4)</f>
        <v>24</v>
      </c>
      <c r="C9" s="43">
        <f>IF(ENGINE!A4="","",ENGINE!Y4)</f>
        <v>78830.5</v>
      </c>
      <c r="D9" s="43">
        <f>IF(ENGINE!A4="","",ENGINE!AC4)</f>
        <v>7545.71</v>
      </c>
      <c r="E9" s="43">
        <f>IF(ENGINE!A4="","",ENGINE!AD4)</f>
        <v>0</v>
      </c>
      <c r="F9" s="43">
        <f>IF(ENGINE!A4="","",ENGINE!AG4)</f>
        <v>6030.5332500000004</v>
      </c>
      <c r="G9" s="43">
        <f>IF(ENGINE!A4="","",ENGINE!AH4)</f>
        <v>13576.24325</v>
      </c>
      <c r="H9" s="43">
        <f>IF(ENGINE!A4="","",ENGINE!AI4)</f>
        <v>65254.25675</v>
      </c>
      <c r="I9" s="43">
        <f>IF(ENGINE!A4="","",ENGINE!D4)</f>
        <v>8000</v>
      </c>
      <c r="J9" s="43">
        <f>IF(ENGINE!A4="","",ENGINE!AI4-ENGINE!D4)</f>
        <v>57254.25675</v>
      </c>
      <c r="K9" s="7"/>
      <c r="L9" s="7"/>
      <c r="M9" s="7"/>
      <c r="N9" s="7"/>
      <c r="O9" s="7"/>
      <c r="P9" s="7"/>
    </row>
    <row r="10" spans="1:22" ht="14.25" x14ac:dyDescent="0.25">
      <c r="A10" s="118">
        <f>IF(ENGINE!A5="","",ENGINE!A5)</f>
        <v>3</v>
      </c>
      <c r="B10" s="118">
        <f>IF(ENGINE!A5="","",ENGINE!B5)</f>
        <v>25</v>
      </c>
      <c r="C10" s="43">
        <f>IF(ENGINE!A5="","",ENGINE!Y5)</f>
        <v>83445.415000000008</v>
      </c>
      <c r="D10" s="43">
        <f>IF(ENGINE!A5="","",ENGINE!AC5)</f>
        <v>8020.9913000000015</v>
      </c>
      <c r="E10" s="43">
        <f>IF(ENGINE!A5="","",ENGINE!AD5)</f>
        <v>0</v>
      </c>
      <c r="F10" s="43">
        <f>IF(ENGINE!A5="","",ENGINE!AG5)</f>
        <v>6383.5742475000006</v>
      </c>
      <c r="G10" s="43">
        <f>IF(ENGINE!A5="","",ENGINE!AH5)</f>
        <v>14404.565547500002</v>
      </c>
      <c r="H10" s="43">
        <f>IF(ENGINE!A5="","",ENGINE!AI5)</f>
        <v>69040.849452499999</v>
      </c>
      <c r="I10" s="43">
        <f>IF(ENGINE!A5="","",ENGINE!D5)</f>
        <v>8500</v>
      </c>
      <c r="J10" s="43">
        <f>IF(ENGINE!A5="","",ENGINE!AI5-ENGINE!D5)</f>
        <v>60540.849452499999</v>
      </c>
      <c r="K10" s="7"/>
      <c r="L10" s="7"/>
      <c r="M10" s="7"/>
      <c r="N10" s="7"/>
      <c r="O10" s="7"/>
      <c r="P10" s="7"/>
    </row>
    <row r="11" spans="1:22" ht="14.25" x14ac:dyDescent="0.25">
      <c r="A11" s="118">
        <f>IF(ENGINE!A6="","",ENGINE!A6)</f>
        <v>4</v>
      </c>
      <c r="B11" s="118">
        <f>IF(ENGINE!A6="","",ENGINE!B6)</f>
        <v>26</v>
      </c>
      <c r="C11" s="43">
        <f>IF(ENGINE!A6="","",ENGINE!Y6)</f>
        <v>103198.77745000001</v>
      </c>
      <c r="D11" s="43">
        <f>IF(ENGINE!A6="","",ENGINE!AC6)</f>
        <v>11810.731039000002</v>
      </c>
      <c r="E11" s="43">
        <f>IF(ENGINE!A6="","",ENGINE!AD6)</f>
        <v>0</v>
      </c>
      <c r="F11" s="43">
        <f>IF(ENGINE!A6="","",ENGINE!AG6)</f>
        <v>7894.7064749250012</v>
      </c>
      <c r="G11" s="43">
        <f>IF(ENGINE!A6="","",ENGINE!AH6)</f>
        <v>19705.437513925004</v>
      </c>
      <c r="H11" s="43">
        <f>IF(ENGINE!A6="","",ENGINE!AI6)</f>
        <v>83493.339936075005</v>
      </c>
      <c r="I11" s="43">
        <f>IF(ENGINE!A6="","",ENGINE!D6)</f>
        <v>9000</v>
      </c>
      <c r="J11" s="43">
        <f>IF(ENGINE!A6="","",ENGINE!AI6-ENGINE!D6)</f>
        <v>74493.339936075005</v>
      </c>
      <c r="K11" s="7"/>
      <c r="L11" s="7"/>
      <c r="M11" s="7"/>
      <c r="N11" s="7"/>
      <c r="O11" s="7"/>
      <c r="P11" s="7"/>
    </row>
    <row r="12" spans="1:22" ht="14.25" x14ac:dyDescent="0.25">
      <c r="A12" s="118">
        <f>IF(ENGINE!A7="","",ENGINE!A7)</f>
        <v>5</v>
      </c>
      <c r="B12" s="118">
        <f>IF(ENGINE!A7="","",ENGINE!B7)</f>
        <v>27</v>
      </c>
      <c r="C12" s="43">
        <f>IF(ENGINE!A7="","",ENGINE!Y7)</f>
        <v>106294.74077350002</v>
      </c>
      <c r="D12" s="43">
        <f>IF(ENGINE!A7="","",ENGINE!AC7)</f>
        <v>7088.3688928200017</v>
      </c>
      <c r="E12" s="43">
        <f>IF(ENGINE!A7="","",ENGINE!AD7)</f>
        <v>0</v>
      </c>
      <c r="F12" s="43">
        <f>IF(ENGINE!A7="","",ENGINE!AG7)</f>
        <v>8131.5476691727508</v>
      </c>
      <c r="G12" s="43">
        <f>IF(ENGINE!A7="","",ENGINE!AH7)</f>
        <v>15219.916561992752</v>
      </c>
      <c r="H12" s="43">
        <f>IF(ENGINE!A7="","",ENGINE!AI7)</f>
        <v>91074.824211507264</v>
      </c>
      <c r="I12" s="43">
        <f>IF(ENGINE!A7="","",ENGINE!D7)</f>
        <v>10000</v>
      </c>
      <c r="J12" s="43">
        <f>IF(ENGINE!A7="","",ENGINE!AI7-ENGINE!D7)</f>
        <v>81074.824211507264</v>
      </c>
      <c r="K12" s="7"/>
      <c r="L12" s="7"/>
      <c r="M12" s="7"/>
      <c r="N12" s="7"/>
      <c r="O12" s="7"/>
      <c r="P12" s="7"/>
    </row>
    <row r="13" spans="1:22" ht="14.25" x14ac:dyDescent="0.25">
      <c r="A13" s="118">
        <f>IF(ENGINE!A8="","",ENGINE!A8)</f>
        <v>6</v>
      </c>
      <c r="B13" s="118">
        <f>IF(ENGINE!A8="","",ENGINE!B8)</f>
        <v>28</v>
      </c>
      <c r="C13" s="43">
        <f>IF(ENGINE!A8="","",ENGINE!Y8)</f>
        <v>109483.58299670502</v>
      </c>
      <c r="D13" s="43">
        <f>IF(ENGINE!A8="","",ENGINE!AC8)</f>
        <v>7160.0299596046025</v>
      </c>
      <c r="E13" s="43">
        <f>IF(ENGINE!A8="","",ENGINE!AD8)</f>
        <v>0</v>
      </c>
      <c r="F13" s="43">
        <f>IF(ENGINE!A8="","",ENGINE!AG8)</f>
        <v>8375.4940992479351</v>
      </c>
      <c r="G13" s="43">
        <f>IF(ENGINE!A8="","",ENGINE!AH8)</f>
        <v>15535.524058852538</v>
      </c>
      <c r="H13" s="43">
        <f>IF(ENGINE!A8="","",ENGINE!AI8)</f>
        <v>93948.058937852489</v>
      </c>
      <c r="I13" s="43">
        <f>IF(ENGINE!A8="","",ENGINE!D8)</f>
        <v>10500</v>
      </c>
      <c r="J13" s="43">
        <f>IF(ENGINE!A8="","",ENGINE!AI8-ENGINE!D8)</f>
        <v>83448.058937852489</v>
      </c>
      <c r="K13" s="7"/>
      <c r="L13" s="7"/>
      <c r="M13" s="7"/>
      <c r="N13" s="7"/>
      <c r="O13" s="7"/>
      <c r="P13" s="7"/>
    </row>
    <row r="14" spans="1:22" ht="14.25" x14ac:dyDescent="0.25">
      <c r="A14" s="118">
        <f>IF(ENGINE!A9="","",ENGINE!A9)</f>
        <v>7</v>
      </c>
      <c r="B14" s="118">
        <f>IF(ENGINE!A9="","",ENGINE!B9)</f>
        <v>29</v>
      </c>
      <c r="C14" s="43">
        <f>IF(ENGINE!A9="","",ENGINE!Y9)</f>
        <v>112768.09048660618</v>
      </c>
      <c r="D14" s="43">
        <f>IF(ENGINE!A9="","",ENGINE!AC9)</f>
        <v>7235.1708583927411</v>
      </c>
      <c r="E14" s="43">
        <f>IF(ENGINE!A9="","",ENGINE!AD9)</f>
        <v>0</v>
      </c>
      <c r="F14" s="43">
        <f>IF(ENGINE!A9="","",ENGINE!AG9)</f>
        <v>8626.7589222253719</v>
      </c>
      <c r="G14" s="43">
        <f>IF(ENGINE!A9="","",ENGINE!AH9)</f>
        <v>15861.929780618113</v>
      </c>
      <c r="H14" s="43">
        <f>IF(ENGINE!A9="","",ENGINE!AI9)</f>
        <v>96906.160705988063</v>
      </c>
      <c r="I14" s="43">
        <f>IF(ENGINE!A9="","",ENGINE!D9)</f>
        <v>11000</v>
      </c>
      <c r="J14" s="43">
        <f>IF(ENGINE!A9="","",ENGINE!AI9-ENGINE!D9)</f>
        <v>85906.160705988063</v>
      </c>
      <c r="K14" s="7"/>
      <c r="L14" s="7"/>
      <c r="M14" s="7"/>
      <c r="N14" s="7"/>
      <c r="O14" s="7"/>
      <c r="P14" s="7"/>
    </row>
    <row r="15" spans="1:22" ht="14.25" x14ac:dyDescent="0.25">
      <c r="A15" s="118">
        <f>IF(ENGINE!A10="","",ENGINE!A10)</f>
        <v>8</v>
      </c>
      <c r="B15" s="118">
        <f>IF(ENGINE!A10="","",ENGINE!B10)</f>
        <v>30</v>
      </c>
      <c r="C15" s="43">
        <f>IF(ENGINE!A10="","",ENGINE!Y10)</f>
        <v>116151.13320120436</v>
      </c>
      <c r="D15" s="43">
        <f>IF(ENGINE!A10="","",ENGINE!AC10)</f>
        <v>7297.1359841445228</v>
      </c>
      <c r="E15" s="43">
        <f>IF(ENGINE!A10="","",ENGINE!AD10)</f>
        <v>0</v>
      </c>
      <c r="F15" s="43">
        <f>IF(ENGINE!A10="","",ENGINE!AG10)</f>
        <v>8885.5616898921326</v>
      </c>
      <c r="G15" s="43">
        <f>IF(ENGINE!A10="","",ENGINE!AH10)</f>
        <v>16182.697674036655</v>
      </c>
      <c r="H15" s="43">
        <f>IF(ENGINE!A10="","",ENGINE!AI10)</f>
        <v>99968.435527167705</v>
      </c>
      <c r="I15" s="43">
        <f>IF(ENGINE!A10="","",ENGINE!D10)</f>
        <v>11500</v>
      </c>
      <c r="J15" s="43">
        <f>IF(ENGINE!A10="","",ENGINE!AI10-ENGINE!D10)</f>
        <v>88468.435527167705</v>
      </c>
      <c r="K15" s="7"/>
      <c r="L15" s="7"/>
      <c r="M15" s="7"/>
      <c r="N15" s="7"/>
      <c r="O15" s="7"/>
      <c r="P15" s="7"/>
    </row>
    <row r="16" spans="1:22" ht="14.25" x14ac:dyDescent="0.25">
      <c r="A16" s="118">
        <f>IF(ENGINE!A11="","",ENGINE!A11)</f>
        <v>9</v>
      </c>
      <c r="B16" s="118">
        <f>IF(ENGINE!A11="","",ENGINE!B11)</f>
        <v>31</v>
      </c>
      <c r="C16" s="43">
        <f>IF(ENGINE!A11="","",ENGINE!Y11)</f>
        <v>119635.66719724049</v>
      </c>
      <c r="D16" s="43">
        <f>IF(ENGINE!A11="","",ENGINE!AC11)</f>
        <v>7356.2800636688589</v>
      </c>
      <c r="E16" s="43">
        <f>IF(ENGINE!A11="","",ENGINE!AD11)</f>
        <v>0</v>
      </c>
      <c r="F16" s="43">
        <f>IF(ENGINE!A11="","",ENGINE!AG11)</f>
        <v>9152.1285405888975</v>
      </c>
      <c r="G16" s="43">
        <f>IF(ENGINE!A11="","",ENGINE!AH11)</f>
        <v>16508.408604257755</v>
      </c>
      <c r="H16" s="43">
        <f>IF(ENGINE!A11="","",ENGINE!AI11)</f>
        <v>103127.25859298273</v>
      </c>
      <c r="I16" s="43">
        <f>IF(ENGINE!A11="","",ENGINE!D11)</f>
        <v>12500</v>
      </c>
      <c r="J16" s="43">
        <f>IF(ENGINE!A11="","",ENGINE!AI11-ENGINE!D11)</f>
        <v>90627.258592982733</v>
      </c>
      <c r="K16" s="7"/>
      <c r="L16" s="7"/>
      <c r="M16" s="7"/>
      <c r="N16" s="7"/>
      <c r="O16" s="7"/>
      <c r="P16" s="7"/>
    </row>
    <row r="17" spans="1:16" ht="14.25" x14ac:dyDescent="0.25">
      <c r="A17" s="118">
        <f>IF(ENGINE!A12="","",ENGINE!A12)</f>
        <v>10</v>
      </c>
      <c r="B17" s="118">
        <f>IF(ENGINE!A12="","",ENGINE!B12)</f>
        <v>32</v>
      </c>
      <c r="C17" s="43">
        <f>IF(ENGINE!A12="","",ENGINE!Y12)</f>
        <v>123224.7372131577</v>
      </c>
      <c r="D17" s="43">
        <f>IF(ENGINE!A12="","",ENGINE!AC12)</f>
        <v>7407.9684655789242</v>
      </c>
      <c r="E17" s="43">
        <f>IF(ENGINE!A12="","",ENGINE!AD12)</f>
        <v>0</v>
      </c>
      <c r="F17" s="43">
        <f>IF(ENGINE!A12="","",ENGINE!AG12)</f>
        <v>9426.6923968065639</v>
      </c>
      <c r="G17" s="43">
        <f>IF(ENGINE!A12="","",ENGINE!AH12)</f>
        <v>16834.660862385488</v>
      </c>
      <c r="H17" s="43">
        <f>IF(ENGINE!A12="","",ENGINE!AI12)</f>
        <v>106390.07635077221</v>
      </c>
      <c r="I17" s="43">
        <f>IF(ENGINE!A12="","",ENGINE!D12)</f>
        <v>13000</v>
      </c>
      <c r="J17" s="43">
        <f>IF(ENGINE!A12="","",ENGINE!AI12-ENGINE!D12)</f>
        <v>93390.076350772215</v>
      </c>
      <c r="K17" s="7"/>
      <c r="L17" s="7"/>
      <c r="M17" s="7"/>
      <c r="N17" s="7"/>
      <c r="O17" s="7"/>
      <c r="P17" s="7"/>
    </row>
    <row r="18" spans="1:16" ht="14.25" x14ac:dyDescent="0.25">
      <c r="A18" s="118">
        <f>IF(ENGINE!A13="","",ENGINE!A13)</f>
        <v>11</v>
      </c>
      <c r="B18" s="118">
        <f>IF(ENGINE!A13="","",ENGINE!B13)</f>
        <v>33</v>
      </c>
      <c r="C18" s="43">
        <f>IF(ENGINE!A13="","",ENGINE!Y13)</f>
        <v>126921.47932955243</v>
      </c>
      <c r="D18" s="43">
        <f>IF(ENGINE!A13="","",ENGINE!AC13)</f>
        <v>7451.5775195462911</v>
      </c>
      <c r="E18" s="43">
        <f>IF(ENGINE!A13="","",ENGINE!AD13)</f>
        <v>0</v>
      </c>
      <c r="F18" s="43">
        <f>IF(ENGINE!A13="","",ENGINE!AG13)</f>
        <v>9709.4931687107601</v>
      </c>
      <c r="G18" s="43">
        <f>IF(ENGINE!A13="","",ENGINE!AH13)</f>
        <v>17161.070688257052</v>
      </c>
      <c r="H18" s="43">
        <f>IF(ENGINE!A13="","",ENGINE!AI13)</f>
        <v>109760.40864129538</v>
      </c>
      <c r="I18" s="43">
        <f>IF(ENGINE!A13="","",ENGINE!D13)</f>
        <v>14000</v>
      </c>
      <c r="J18" s="43">
        <f>IF(ENGINE!A13="","",ENGINE!AI13-ENGINE!D13)</f>
        <v>95760.408641295377</v>
      </c>
      <c r="K18" s="7"/>
      <c r="L18" s="7"/>
      <c r="M18" s="7"/>
      <c r="N18" s="7"/>
      <c r="O18" s="7"/>
      <c r="P18" s="7"/>
    </row>
    <row r="19" spans="1:16" ht="14.25" x14ac:dyDescent="0.25">
      <c r="A19" s="118">
        <f>IF(ENGINE!A14="","",ENGINE!A14)</f>
        <v>12</v>
      </c>
      <c r="B19" s="118">
        <f>IF(ENGINE!A14="","",ENGINE!B14)</f>
        <v>34</v>
      </c>
      <c r="C19" s="43">
        <f>IF(ENGINE!A14="","",ENGINE!Y14)</f>
        <v>130729.12370943901</v>
      </c>
      <c r="D19" s="43">
        <f>IF(ENGINE!A14="","",ENGINE!AC14)</f>
        <v>7489.4948451326809</v>
      </c>
      <c r="E19" s="43">
        <f>IF(ENGINE!A14="","",ENGINE!AD14)</f>
        <v>0</v>
      </c>
      <c r="F19" s="43">
        <f>IF(ENGINE!A14="","",ENGINE!AG14)</f>
        <v>10000.777963772083</v>
      </c>
      <c r="G19" s="43">
        <f>IF(ENGINE!A14="","",ENGINE!AH14)</f>
        <v>17490.272808904763</v>
      </c>
      <c r="H19" s="43">
        <f>IF(ENGINE!A14="","",ENGINE!AI14)</f>
        <v>113238.85090053425</v>
      </c>
      <c r="I19" s="43">
        <f>IF(ENGINE!A14="","",ENGINE!D14)</f>
        <v>15000</v>
      </c>
      <c r="J19" s="43">
        <f>IF(ENGINE!A14="","",ENGINE!AI14-ENGINE!D14)</f>
        <v>98238.850900534249</v>
      </c>
      <c r="K19" s="7"/>
      <c r="L19" s="7"/>
      <c r="M19" s="7"/>
      <c r="N19" s="7"/>
      <c r="O19" s="7"/>
      <c r="P19" s="7"/>
    </row>
    <row r="20" spans="1:16" ht="14.25" x14ac:dyDescent="0.25">
      <c r="A20" s="118">
        <f>IF(ENGINE!A15="","",ENGINE!A15)</f>
        <v>13</v>
      </c>
      <c r="B20" s="118">
        <f>IF(ENGINE!A15="","",ENGINE!B15)</f>
        <v>35</v>
      </c>
      <c r="C20" s="43">
        <f>IF(ENGINE!A15="","",ENGINE!Y15)</f>
        <v>134650.99742072218</v>
      </c>
      <c r="D20" s="43">
        <f>IF(ENGINE!A15="","",ENGINE!AC15)</f>
        <v>7519.119690486662</v>
      </c>
      <c r="E20" s="43">
        <f>IF(ENGINE!A15="","",ENGINE!AD15)</f>
        <v>0</v>
      </c>
      <c r="F20" s="43">
        <f>IF(ENGINE!A15="","",ENGINE!AG15)</f>
        <v>10300.801302685248</v>
      </c>
      <c r="G20" s="43">
        <f>IF(ENGINE!A15="","",ENGINE!AH15)</f>
        <v>17819.920993171909</v>
      </c>
      <c r="H20" s="43">
        <f>IF(ENGINE!A15="","",ENGINE!AI15)</f>
        <v>116831.07642755027</v>
      </c>
      <c r="I20" s="43">
        <f>IF(ENGINE!A15="","",ENGINE!D15)</f>
        <v>15500</v>
      </c>
      <c r="J20" s="43">
        <f>IF(ENGINE!A15="","",ENGINE!AI15-ENGINE!D15)</f>
        <v>101331.07642755027</v>
      </c>
      <c r="K20" s="7"/>
      <c r="L20" s="7"/>
      <c r="M20" s="7"/>
      <c r="N20" s="7"/>
      <c r="O20" s="7"/>
      <c r="P20" s="7"/>
    </row>
    <row r="21" spans="1:16" ht="14.25" x14ac:dyDescent="0.25">
      <c r="A21" s="118">
        <f>IF(ENGINE!A16="","",ENGINE!A16)</f>
        <v>14</v>
      </c>
      <c r="B21" s="118">
        <f>IF(ENGINE!A16="","",ENGINE!B16)</f>
        <v>36</v>
      </c>
      <c r="C21" s="43">
        <f>IF(ENGINE!A16="","",ENGINE!Y16)</f>
        <v>138690.52734334386</v>
      </c>
      <c r="D21" s="43">
        <f>IF(ENGINE!A16="","",ENGINE!AC16)</f>
        <v>7536.863281201262</v>
      </c>
      <c r="E21" s="43">
        <f>IF(ENGINE!A16="","",ENGINE!AD16)</f>
        <v>0</v>
      </c>
      <c r="F21" s="43">
        <f>IF(ENGINE!A16="","",ENGINE!AG16)</f>
        <v>10609.825341765805</v>
      </c>
      <c r="G21" s="43">
        <f>IF(ENGINE!A16="","",ENGINE!AH16)</f>
        <v>18146.688622967067</v>
      </c>
      <c r="H21" s="43">
        <f>IF(ENGINE!A16="","",ENGINE!AI16)</f>
        <v>120543.83872037679</v>
      </c>
      <c r="I21" s="43">
        <f>IF(ENGINE!A16="","",ENGINE!D16)</f>
        <v>16500</v>
      </c>
      <c r="J21" s="43">
        <f>IF(ENGINE!A16="","",ENGINE!AI16-ENGINE!D16)</f>
        <v>104043.83872037679</v>
      </c>
      <c r="K21" s="7"/>
      <c r="L21" s="7"/>
      <c r="M21" s="7"/>
      <c r="N21" s="7"/>
      <c r="O21" s="7"/>
      <c r="P21" s="7"/>
    </row>
    <row r="22" spans="1:16" ht="14.25" x14ac:dyDescent="0.25">
      <c r="A22" s="118">
        <f>IF(ENGINE!A17="","",ENGINE!A17)</f>
        <v>15</v>
      </c>
      <c r="B22" s="118">
        <f>IF(ENGINE!A17="","",ENGINE!B17)</f>
        <v>37</v>
      </c>
      <c r="C22" s="43">
        <f>IF(ENGINE!A17="","",ENGINE!Y17)</f>
        <v>142851.24316364416</v>
      </c>
      <c r="D22" s="43">
        <f>IF(ENGINE!A17="","",ENGINE!AC17)</f>
        <v>7542.1491796372993</v>
      </c>
      <c r="E22" s="43">
        <f>IF(ENGINE!A17="","",ENGINE!AD17)</f>
        <v>0</v>
      </c>
      <c r="F22" s="43">
        <f>IF(ENGINE!A17="","",ENGINE!AG17)</f>
        <v>10928.120102018778</v>
      </c>
      <c r="G22" s="43">
        <f>IF(ENGINE!A17="","",ENGINE!AH17)</f>
        <v>18470.269281656078</v>
      </c>
      <c r="H22" s="43">
        <f>IF(ENGINE!A17="","",ENGINE!AI17)</f>
        <v>124380.97388198809</v>
      </c>
      <c r="I22" s="43">
        <f>IF(ENGINE!A17="","",ENGINE!D17)</f>
        <v>17500</v>
      </c>
      <c r="J22" s="43">
        <f>IF(ENGINE!A17="","",ENGINE!AI17-ENGINE!D17)</f>
        <v>106880.97388198809</v>
      </c>
      <c r="K22" s="7"/>
      <c r="L22" s="7"/>
      <c r="M22" s="7"/>
      <c r="N22" s="7"/>
      <c r="O22" s="7"/>
      <c r="P22" s="7"/>
    </row>
    <row r="23" spans="1:16" ht="14.25" x14ac:dyDescent="0.25">
      <c r="A23" s="118">
        <f>IF(ENGINE!A18="","",ENGINE!A18)</f>
        <v>16</v>
      </c>
      <c r="B23" s="118">
        <f>IF(ENGINE!A18="","",ENGINE!B18)</f>
        <v>38</v>
      </c>
      <c r="C23" s="43">
        <f>IF(ENGINE!A18="","",ENGINE!Y18)</f>
        <v>147136.78045855349</v>
      </c>
      <c r="D23" s="43">
        <f>IF(ENGINE!A18="","",ENGINE!AC18)</f>
        <v>7535.4136550264193</v>
      </c>
      <c r="E23" s="43">
        <f>IF(ENGINE!A18="","",ENGINE!AD18)</f>
        <v>0</v>
      </c>
      <c r="F23" s="43">
        <f>IF(ENGINE!A18="","",ENGINE!AG18)</f>
        <v>11255.963705079343</v>
      </c>
      <c r="G23" s="43">
        <f>IF(ENGINE!A18="","",ENGINE!AH18)</f>
        <v>18791.377360105762</v>
      </c>
      <c r="H23" s="43">
        <f>IF(ENGINE!A18="","",ENGINE!AI18)</f>
        <v>128345.40309844773</v>
      </c>
      <c r="I23" s="43">
        <f>IF(ENGINE!A18="","",ENGINE!D18)</f>
        <v>19000</v>
      </c>
      <c r="J23" s="43">
        <f>IF(ENGINE!A18="","",ENGINE!AI18-ENGINE!D18)</f>
        <v>109345.40309844773</v>
      </c>
      <c r="K23" s="7"/>
      <c r="L23" s="7"/>
      <c r="M23" s="7"/>
      <c r="N23" s="7"/>
      <c r="O23" s="7"/>
      <c r="P23" s="7"/>
    </row>
    <row r="24" spans="1:16" ht="14.25" x14ac:dyDescent="0.25">
      <c r="A24" s="118">
        <f>IF(ENGINE!A19="","",ENGINE!A19)</f>
        <v>17</v>
      </c>
      <c r="B24" s="118">
        <f>IF(ENGINE!A19="","",ENGINE!B19)</f>
        <v>39</v>
      </c>
      <c r="C24" s="43">
        <f>IF(ENGINE!A19="","",ENGINE!Y19)</f>
        <v>151550.88387231011</v>
      </c>
      <c r="D24" s="43">
        <f>IF(ENGINE!A19="","",ENGINE!AC19)</f>
        <v>7517.106064677213</v>
      </c>
      <c r="E24" s="43">
        <f>IF(ENGINE!A19="","",ENGINE!AD19)</f>
        <v>0</v>
      </c>
      <c r="F24" s="43">
        <f>IF(ENGINE!A19="","",ENGINE!AG19)</f>
        <v>11593.642616231722</v>
      </c>
      <c r="G24" s="43">
        <f>IF(ENGINE!A19="","",ENGINE!AH19)</f>
        <v>19110.748680908935</v>
      </c>
      <c r="H24" s="43">
        <f>IF(ENGINE!A19="","",ENGINE!AI19)</f>
        <v>132440.13519140118</v>
      </c>
      <c r="I24" s="43">
        <f>IF(ENGINE!A19="","",ENGINE!D19)</f>
        <v>20000</v>
      </c>
      <c r="J24" s="43">
        <f>IF(ENGINE!A19="","",ENGINE!AI19-ENGINE!D19)</f>
        <v>112440.13519140118</v>
      </c>
      <c r="K24" s="7"/>
      <c r="L24" s="7"/>
      <c r="M24" s="7"/>
      <c r="N24" s="7"/>
      <c r="O24" s="7"/>
      <c r="P24" s="7"/>
    </row>
    <row r="25" spans="1:16" ht="17.25" thickBot="1" x14ac:dyDescent="0.35">
      <c r="A25" s="118">
        <f>IF(ENGINE!A20="","",ENGINE!A20)</f>
        <v>18</v>
      </c>
      <c r="B25" s="118">
        <f>IF(ENGINE!A20="","",ENGINE!B20)</f>
        <v>40</v>
      </c>
      <c r="C25" s="43">
        <f>IF(ENGINE!A20="","",ENGINE!Y20)</f>
        <v>156097.41038847942</v>
      </c>
      <c r="D25" s="43">
        <f>IF(ENGINE!A20="","",ENGINE!AC20)</f>
        <v>7486.6892466175304</v>
      </c>
      <c r="E25" s="43">
        <f>IF(ENGINE!A20="","",ENGINE!AD20)</f>
        <v>0</v>
      </c>
      <c r="F25" s="43">
        <f>IF(ENGINE!A20="","",ENGINE!AG20)</f>
        <v>11941.451894718675</v>
      </c>
      <c r="G25" s="43">
        <f>IF(ENGINE!A20="","",ENGINE!AH20)</f>
        <v>19428.141141336208</v>
      </c>
      <c r="H25" s="43">
        <f>IF(ENGINE!A20="","",ENGINE!AI20)</f>
        <v>136669.26924714321</v>
      </c>
      <c r="I25" s="43">
        <f>IF(ENGINE!A20="","",ENGINE!D20)</f>
        <v>21000</v>
      </c>
      <c r="J25" s="43">
        <f>IF(ENGINE!A20="","",ENGINE!AI20-ENGINE!D20)</f>
        <v>115669.26924714321</v>
      </c>
      <c r="K25" s="7"/>
      <c r="L25" s="214" t="s">
        <v>249</v>
      </c>
      <c r="M25" s="214"/>
      <c r="N25" s="7"/>
      <c r="O25" s="7"/>
      <c r="P25" s="7"/>
    </row>
    <row r="26" spans="1:16" ht="14.25" x14ac:dyDescent="0.25">
      <c r="A26" s="118">
        <f>IF(ENGINE!A21="","",ENGINE!A21)</f>
        <v>19</v>
      </c>
      <c r="B26" s="118">
        <f>IF(ENGINE!A21="","",ENGINE!B21)</f>
        <v>41</v>
      </c>
      <c r="C26" s="43">
        <f>IF(ENGINE!A21="","",ENGINE!Y21)</f>
        <v>160780.33270013379</v>
      </c>
      <c r="D26" s="43">
        <f>IF(ENGINE!A21="","",ENGINE!AC21)</f>
        <v>7439.6399240160545</v>
      </c>
      <c r="E26" s="43">
        <f>IF(ENGINE!A21="","",ENGINE!AD21)</f>
        <v>0</v>
      </c>
      <c r="F26" s="43">
        <f>IF(ENGINE!A21="","",ENGINE!AG21)</f>
        <v>12299.695451560234</v>
      </c>
      <c r="G26" s="43">
        <f>IF(ENGINE!A21="","",ENGINE!AH21)</f>
        <v>19739.335375576287</v>
      </c>
      <c r="H26" s="43">
        <f>IF(ENGINE!A21="","",ENGINE!AI21)</f>
        <v>141040.99732455751</v>
      </c>
      <c r="I26" s="43">
        <f>IF(ENGINE!A21="","",ENGINE!D21)</f>
        <v>22500</v>
      </c>
      <c r="J26" s="43">
        <f>IF(ENGINE!A21="","",ENGINE!AI21-ENGINE!D21)</f>
        <v>118540.99732455751</v>
      </c>
      <c r="K26" s="7"/>
      <c r="L26" s="117"/>
      <c r="M26" s="117"/>
      <c r="N26" s="7"/>
      <c r="O26" s="7"/>
      <c r="P26" s="7"/>
    </row>
    <row r="27" spans="1:16" ht="14.25" x14ac:dyDescent="0.25">
      <c r="A27" s="118">
        <f>IF(ENGINE!A22="","",ENGINE!A22)</f>
        <v>20</v>
      </c>
      <c r="B27" s="118">
        <f>IF(ENGINE!A22="","",ENGINE!B22)</f>
        <v>42</v>
      </c>
      <c r="C27" s="43">
        <f>IF(ENGINE!A22="","",ENGINE!Y22)</f>
        <v>165603.74268113781</v>
      </c>
      <c r="D27" s="43">
        <f>IF(ENGINE!A22="","",ENGINE!AC22)</f>
        <v>7381.4491217365376</v>
      </c>
      <c r="E27" s="43">
        <f>IF(ENGINE!A22="","",ENGINE!AD22)</f>
        <v>0</v>
      </c>
      <c r="F27" s="43">
        <f>IF(ENGINE!A22="","",ENGINE!AG22)</f>
        <v>12668.686315107043</v>
      </c>
      <c r="G27" s="43">
        <f>IF(ENGINE!A22="","",ENGINE!AH22)</f>
        <v>20050.135436843579</v>
      </c>
      <c r="H27" s="43">
        <f>IF(ENGINE!A22="","",ENGINE!AI22)</f>
        <v>145553.60724429422</v>
      </c>
      <c r="I27" s="43">
        <f>IF(ENGINE!A22="","",ENGINE!D22)</f>
        <v>24000</v>
      </c>
      <c r="J27" s="43">
        <f>IF(ENGINE!A22="","",ENGINE!AI22-ENGINE!D22)</f>
        <v>121553.60724429422</v>
      </c>
      <c r="K27" s="7"/>
      <c r="L27" s="7" t="s">
        <v>250</v>
      </c>
      <c r="M27" s="119">
        <f>SUM(ENGINE!AC2:AC102)</f>
        <v>288998.74631938792</v>
      </c>
      <c r="N27" s="7"/>
      <c r="O27" s="7"/>
      <c r="P27" s="7"/>
    </row>
    <row r="28" spans="1:16" ht="14.25" x14ac:dyDescent="0.25">
      <c r="A28" s="118">
        <f>IF(ENGINE!A23="","",ENGINE!A23)</f>
        <v>21</v>
      </c>
      <c r="B28" s="118">
        <f>IF(ENGINE!A23="","",ENGINE!B23)</f>
        <v>43</v>
      </c>
      <c r="C28" s="43">
        <f>IF(ENGINE!A23="","",ENGINE!Y23)</f>
        <v>170571.85496157195</v>
      </c>
      <c r="D28" s="43">
        <f>IF(ENGINE!A23="","",ENGINE!AC23)</f>
        <v>7332.1854961571953</v>
      </c>
      <c r="E28" s="43">
        <f>IF(ENGINE!A23="","",ENGINE!AD23)</f>
        <v>0</v>
      </c>
      <c r="F28" s="43">
        <f>IF(ENGINE!A23="","",ENGINE!AG23)</f>
        <v>13048.746904560256</v>
      </c>
      <c r="G28" s="43">
        <f>IF(ENGINE!A23="","",ENGINE!AH23)</f>
        <v>20380.932400717451</v>
      </c>
      <c r="H28" s="43">
        <f>IF(ENGINE!A23="","",ENGINE!AI23)</f>
        <v>150190.92256085449</v>
      </c>
      <c r="I28" s="43">
        <f>IF(ENGINE!A23="","",ENGINE!D23)</f>
        <v>25000</v>
      </c>
      <c r="J28" s="43">
        <f>IF(ENGINE!A23="","",ENGINE!AI23-ENGINE!D23)</f>
        <v>125190.92256085449</v>
      </c>
      <c r="K28" s="7"/>
      <c r="L28" s="7" t="s">
        <v>251</v>
      </c>
      <c r="M28" s="119">
        <f>SUM(ENGINE!AD2:AD102)</f>
        <v>0</v>
      </c>
      <c r="N28" s="7"/>
      <c r="O28" s="7"/>
      <c r="P28" s="7"/>
    </row>
    <row r="29" spans="1:16" ht="14.25" x14ac:dyDescent="0.25">
      <c r="A29" s="118">
        <f>IF(ENGINE!A24="","",ENGINE!A24)</f>
        <v>22</v>
      </c>
      <c r="B29" s="118">
        <f>IF(ENGINE!A24="","",ENGINE!B24)</f>
        <v>44</v>
      </c>
      <c r="C29" s="43">
        <f>IF(ENGINE!A24="","",ENGINE!Y24)</f>
        <v>175689.01061041912</v>
      </c>
      <c r="D29" s="43">
        <f>IF(ENGINE!A24="","",ENGINE!AC24)</f>
        <v>7318.9010610419127</v>
      </c>
      <c r="E29" s="43">
        <f>IF(ENGINE!A24="","",ENGINE!AD24)</f>
        <v>0</v>
      </c>
      <c r="F29" s="43">
        <f>IF(ENGINE!A24="","",ENGINE!AG24)</f>
        <v>13440.209311697063</v>
      </c>
      <c r="G29" s="43">
        <f>IF(ENGINE!A24="","",ENGINE!AH24)</f>
        <v>20759.110372738975</v>
      </c>
      <c r="H29" s="43">
        <f>IF(ENGINE!A24="","",ENGINE!AI24)</f>
        <v>154929.90023768015</v>
      </c>
      <c r="I29" s="43">
        <f>IF(ENGINE!A24="","",ENGINE!D24)</f>
        <v>27000</v>
      </c>
      <c r="J29" s="43">
        <f>IF(ENGINE!A24="","",ENGINE!AI24-ENGINE!D24)</f>
        <v>127929.90023768015</v>
      </c>
      <c r="K29" s="7"/>
      <c r="L29" s="7" t="s">
        <v>252</v>
      </c>
      <c r="M29" s="119">
        <f>SUM(ENGINE!AG2:AG102)</f>
        <v>622072.03369739396</v>
      </c>
      <c r="N29" s="7"/>
      <c r="O29" s="7"/>
      <c r="P29" s="7"/>
    </row>
    <row r="30" spans="1:16" ht="14.25" x14ac:dyDescent="0.25">
      <c r="A30" s="118">
        <f>IF(ENGINE!A25="","",ENGINE!A25)</f>
        <v>23</v>
      </c>
      <c r="B30" s="118">
        <f>IF(ENGINE!A25="","",ENGINE!B25)</f>
        <v>45</v>
      </c>
      <c r="C30" s="43">
        <f>IF(ENGINE!A25="","",ENGINE!Y25)</f>
        <v>180959.68092873169</v>
      </c>
      <c r="D30" s="43">
        <f>IF(ENGINE!A25="","",ENGINE!AC25)</f>
        <v>7290.9680928731686</v>
      </c>
      <c r="E30" s="43">
        <f>IF(ENGINE!A25="","",ENGINE!AD25)</f>
        <v>0</v>
      </c>
      <c r="F30" s="43">
        <f>IF(ENGINE!A25="","",ENGINE!AG25)</f>
        <v>13843.415591047975</v>
      </c>
      <c r="G30" s="43">
        <f>IF(ENGINE!A25="","",ENGINE!AH25)</f>
        <v>21134.383683921144</v>
      </c>
      <c r="H30" s="43">
        <f>IF(ENGINE!A25="","",ENGINE!AI25)</f>
        <v>159825.29724481056</v>
      </c>
      <c r="I30" s="43">
        <f>IF(ENGINE!A25="","",ENGINE!D25)</f>
        <v>28500</v>
      </c>
      <c r="J30" s="43">
        <f>IF(ENGINE!A25="","",ENGINE!AI25-ENGINE!D25)</f>
        <v>131325.29724481056</v>
      </c>
      <c r="K30" s="7"/>
      <c r="L30" s="7" t="s">
        <v>253</v>
      </c>
      <c r="M30" s="119">
        <f>SUM(ENGINE!AH2:AH102)</f>
        <v>911070.78001678223</v>
      </c>
      <c r="N30" s="7"/>
      <c r="O30" s="7"/>
      <c r="P30" s="7"/>
    </row>
    <row r="31" spans="1:16" ht="14.25" x14ac:dyDescent="0.25">
      <c r="A31" s="118">
        <f>IF(ENGINE!A26="","",ENGINE!A26)</f>
        <v>24</v>
      </c>
      <c r="B31" s="118">
        <f>IF(ENGINE!A26="","",ENGINE!B26)</f>
        <v>46</v>
      </c>
      <c r="C31" s="43">
        <f>IF(ENGINE!A26="","",ENGINE!Y26)</f>
        <v>186388.47135659365</v>
      </c>
      <c r="D31" s="43">
        <f>IF(ENGINE!A26="","",ENGINE!AC26)</f>
        <v>7248.8471356593654</v>
      </c>
      <c r="E31" s="43">
        <f>IF(ENGINE!A26="","",ENGINE!AD26)</f>
        <v>0</v>
      </c>
      <c r="F31" s="43">
        <f>IF(ENGINE!A26="","",ENGINE!AG26)</f>
        <v>14258.718058779416</v>
      </c>
      <c r="G31" s="43">
        <f>IF(ENGINE!A26="","",ENGINE!AH26)</f>
        <v>21507.565194438779</v>
      </c>
      <c r="H31" s="43">
        <f>IF(ENGINE!A26="","",ENGINE!AI26)</f>
        <v>164880.90616215486</v>
      </c>
      <c r="I31" s="43">
        <f>IF(ENGINE!A26="","",ENGINE!D26)</f>
        <v>30000</v>
      </c>
      <c r="J31" s="43">
        <f>IF(ENGINE!A26="","",ENGINE!AI26-ENGINE!D26)</f>
        <v>134880.90616215486</v>
      </c>
      <c r="K31" s="7"/>
      <c r="L31" s="7" t="s">
        <v>254</v>
      </c>
      <c r="M31" s="119">
        <f>SUM(ENGINE!Y2:Y102)</f>
        <v>8087943.7376667354</v>
      </c>
      <c r="N31" s="7"/>
      <c r="O31" s="7"/>
      <c r="P31" s="7"/>
    </row>
    <row r="32" spans="1:16" ht="14.25" x14ac:dyDescent="0.25">
      <c r="A32" s="118">
        <f>IF(ENGINE!A27="","",ENGINE!A27)</f>
        <v>25</v>
      </c>
      <c r="B32" s="118">
        <f>IF(ENGINE!A27="","",ENGINE!B27)</f>
        <v>47</v>
      </c>
      <c r="C32" s="43">
        <f>IF(ENGINE!A27="","",ENGINE!Y27)</f>
        <v>191980.12549729148</v>
      </c>
      <c r="D32" s="43">
        <f>IF(ENGINE!A27="","",ENGINE!AC27)</f>
        <v>7193.0125497291483</v>
      </c>
      <c r="E32" s="43">
        <f>IF(ENGINE!A27="","",ENGINE!AD27)</f>
        <v>0</v>
      </c>
      <c r="F32" s="43">
        <f>IF(ENGINE!A27="","",ENGINE!AG27)</f>
        <v>14686.479600542798</v>
      </c>
      <c r="G32" s="43">
        <f>IF(ENGINE!A27="","",ENGINE!AH27)</f>
        <v>21879.492150271944</v>
      </c>
      <c r="H32" s="43">
        <f>IF(ENGINE!A27="","",ENGINE!AI27)</f>
        <v>170100.63334701952</v>
      </c>
      <c r="I32" s="43">
        <f>IF(ENGINE!A27="","",ENGINE!D27)</f>
        <v>32000</v>
      </c>
      <c r="J32" s="43">
        <f>IF(ENGINE!A27="","",ENGINE!AI27-ENGINE!D27)</f>
        <v>138100.63334701952</v>
      </c>
      <c r="K32" s="7"/>
      <c r="L32" s="7" t="s">
        <v>432</v>
      </c>
      <c r="M32" s="120">
        <f>IFERROR(M30/M31,0)</f>
        <v>0.1126455387880349</v>
      </c>
      <c r="N32" s="7"/>
      <c r="O32" s="7"/>
      <c r="P32" s="7"/>
    </row>
    <row r="33" spans="1:16" ht="14.25" x14ac:dyDescent="0.25">
      <c r="A33" s="118">
        <f>IF(ENGINE!A28="","",ENGINE!A28)</f>
        <v>26</v>
      </c>
      <c r="B33" s="118">
        <f>IF(ENGINE!A28="","",ENGINE!B28)</f>
        <v>48</v>
      </c>
      <c r="C33" s="43">
        <f>IF(ENGINE!A28="","",ENGINE!Y28)</f>
        <v>197739.52926221021</v>
      </c>
      <c r="D33" s="43">
        <f>IF(ENGINE!A28="","",ENGINE!AC28)</f>
        <v>7118.9529262210217</v>
      </c>
      <c r="E33" s="43">
        <f>IF(ENGINE!A28="","",ENGINE!AD28)</f>
        <v>0</v>
      </c>
      <c r="F33" s="43">
        <f>IF(ENGINE!A28="","",ENGINE!AG28)</f>
        <v>15127.073988559081</v>
      </c>
      <c r="G33" s="43">
        <f>IF(ENGINE!A28="","",ENGINE!AH28)</f>
        <v>22246.026914780101</v>
      </c>
      <c r="H33" s="43">
        <f>IF(ENGINE!A28="","",ENGINE!AI28)</f>
        <v>175493.5023474301</v>
      </c>
      <c r="I33" s="43">
        <f>IF(ENGINE!A28="","",ENGINE!D28)</f>
        <v>34000</v>
      </c>
      <c r="J33" s="43">
        <f>IF(ENGINE!A28="","",ENGINE!AI28-ENGINE!D28)</f>
        <v>141493.5023474301</v>
      </c>
      <c r="K33" s="7"/>
      <c r="L33" s="7" t="s">
        <v>259</v>
      </c>
      <c r="M33" s="120">
        <f>1-M32</f>
        <v>0.88735446121196504</v>
      </c>
      <c r="N33" s="7"/>
      <c r="O33" s="7"/>
      <c r="P33" s="7"/>
    </row>
    <row r="34" spans="1:16" ht="14.25" x14ac:dyDescent="0.25">
      <c r="A34" s="118">
        <f>IF(ENGINE!A29="","",ENGINE!A29)</f>
        <v>27</v>
      </c>
      <c r="B34" s="118">
        <f>IF(ENGINE!A29="","",ENGINE!B29)</f>
        <v>49</v>
      </c>
      <c r="C34" s="43">
        <f>IF(ENGINE!A29="","",ENGINE!Y29)</f>
        <v>203671.71514007653</v>
      </c>
      <c r="D34" s="43">
        <f>IF(ENGINE!A29="","",ENGINE!AC29)</f>
        <v>7027.1715140076531</v>
      </c>
      <c r="E34" s="43">
        <f>IF(ENGINE!A29="","",ENGINE!AD29)</f>
        <v>0</v>
      </c>
      <c r="F34" s="43">
        <f>IF(ENGINE!A29="","",ENGINE!AG29)</f>
        <v>15580.886208215854</v>
      </c>
      <c r="G34" s="43">
        <f>IF(ENGINE!A29="","",ENGINE!AH29)</f>
        <v>22608.057722223508</v>
      </c>
      <c r="H34" s="43">
        <f>IF(ENGINE!A29="","",ENGINE!AI29)</f>
        <v>181063.65741785301</v>
      </c>
      <c r="I34" s="43">
        <f>IF(ENGINE!A29="","",ENGINE!D29)</f>
        <v>36000</v>
      </c>
      <c r="J34" s="43">
        <f>IF(ENGINE!A29="","",ENGINE!AI29-ENGINE!D29)</f>
        <v>145063.65741785301</v>
      </c>
      <c r="K34" s="7"/>
      <c r="L34" s="7"/>
      <c r="M34" s="7"/>
      <c r="N34" s="7"/>
      <c r="O34" s="7"/>
      <c r="P34" s="7"/>
    </row>
    <row r="35" spans="1:16" ht="14.25" x14ac:dyDescent="0.25">
      <c r="A35" s="118">
        <f>IF(ENGINE!A30="","",ENGINE!A30)</f>
        <v>28</v>
      </c>
      <c r="B35" s="118">
        <f>IF(ENGINE!A30="","",ENGINE!B30)</f>
        <v>50</v>
      </c>
      <c r="C35" s="43">
        <f>IF(ENGINE!A30="","",ENGINE!Y30)</f>
        <v>209781.86659427884</v>
      </c>
      <c r="D35" s="43">
        <f>IF(ENGINE!A30="","",ENGINE!AC30)</f>
        <v>6918.1866594278836</v>
      </c>
      <c r="E35" s="43">
        <f>IF(ENGINE!A30="","",ENGINE!AD30)</f>
        <v>0</v>
      </c>
      <c r="F35" s="43">
        <f>IF(ENGINE!A30="","",ENGINE!AG30)</f>
        <v>16048.31279446233</v>
      </c>
      <c r="G35" s="43">
        <f>IF(ENGINE!A30="","",ENGINE!AH30)</f>
        <v>22966.499453890214</v>
      </c>
      <c r="H35" s="43">
        <f>IF(ENGINE!A30="","",ENGINE!AI30)</f>
        <v>186815.36714038861</v>
      </c>
      <c r="I35" s="43">
        <f>IF(ENGINE!A30="","",ENGINE!D30)</f>
        <v>43600</v>
      </c>
      <c r="J35" s="43">
        <f>IF(ENGINE!A30="","",ENGINE!AI30-ENGINE!D30)</f>
        <v>143215.36714038861</v>
      </c>
      <c r="K35" s="7"/>
      <c r="L35" s="7"/>
      <c r="M35" s="7"/>
      <c r="N35" s="7"/>
      <c r="O35" s="7"/>
      <c r="P35" s="7"/>
    </row>
    <row r="36" spans="1:16" ht="14.25" x14ac:dyDescent="0.25">
      <c r="A36" s="118">
        <f>IF(ENGINE!A31="","",ENGINE!A31)</f>
        <v>29</v>
      </c>
      <c r="B36" s="118">
        <f>IF(ENGINE!A31="","",ENGINE!B31)</f>
        <v>51</v>
      </c>
      <c r="C36" s="43">
        <f>IF(ENGINE!A31="","",ENGINE!Y31)</f>
        <v>216075.3225921072</v>
      </c>
      <c r="D36" s="43">
        <f>IF(ENGINE!A31="","",ENGINE!AC31)</f>
        <v>6787.5322592107204</v>
      </c>
      <c r="E36" s="43">
        <f>IF(ENGINE!A31="","",ENGINE!AD31)</f>
        <v>0</v>
      </c>
      <c r="F36" s="43">
        <f>IF(ENGINE!A31="","",ENGINE!AG31)</f>
        <v>16529.762178296201</v>
      </c>
      <c r="G36" s="43">
        <f>IF(ENGINE!A31="","",ENGINE!AH31)</f>
        <v>23317.29443750692</v>
      </c>
      <c r="H36" s="43">
        <f>IF(ENGINE!A31="","",ENGINE!AI31)</f>
        <v>192758.0281546003</v>
      </c>
      <c r="I36" s="43">
        <f>IF(ENGINE!A31="","",ENGINE!D31)</f>
        <v>46400</v>
      </c>
      <c r="J36" s="43">
        <f>IF(ENGINE!A31="","",ENGINE!AI31-ENGINE!D31)</f>
        <v>146358.0281546003</v>
      </c>
      <c r="K36" s="7"/>
      <c r="L36" s="7"/>
      <c r="M36" s="7"/>
      <c r="N36" s="7"/>
      <c r="O36" s="7"/>
      <c r="P36" s="7"/>
    </row>
    <row r="37" spans="1:16" ht="14.25" x14ac:dyDescent="0.25">
      <c r="A37" s="118">
        <f>IF(ENGINE!A32="","",ENGINE!A32)</f>
        <v>30</v>
      </c>
      <c r="B37" s="118">
        <f>IF(ENGINE!A32="","",ENGINE!B32)</f>
        <v>52</v>
      </c>
      <c r="C37" s="43">
        <f>IF(ENGINE!A32="","",ENGINE!Y32)</f>
        <v>222557.58226987041</v>
      </c>
      <c r="D37" s="43">
        <f>IF(ENGINE!A32="","",ENGINE!AC32)</f>
        <v>6635.7582269870418</v>
      </c>
      <c r="E37" s="43">
        <f>IF(ENGINE!A32="","",ENGINE!AD32)</f>
        <v>0</v>
      </c>
      <c r="F37" s="43">
        <f>IF(ENGINE!A32="","",ENGINE!AG32)</f>
        <v>17025.655043645085</v>
      </c>
      <c r="G37" s="43">
        <f>IF(ENGINE!A32="","",ENGINE!AH32)</f>
        <v>23661.413270632125</v>
      </c>
      <c r="H37" s="43">
        <f>IF(ENGINE!A32="","",ENGINE!AI32)</f>
        <v>198896.16899923829</v>
      </c>
      <c r="I37" s="43">
        <f>IF(ENGINE!A32="","",ENGINE!D32)</f>
        <v>49300</v>
      </c>
      <c r="J37" s="43">
        <f>IF(ENGINE!A32="","",ENGINE!AI32-ENGINE!D32)</f>
        <v>149596.16899923829</v>
      </c>
      <c r="K37" s="7"/>
      <c r="L37" s="7"/>
      <c r="M37" s="7"/>
      <c r="N37" s="7"/>
      <c r="O37" s="7"/>
      <c r="P37" s="7"/>
    </row>
    <row r="38" spans="1:16" ht="14.25" x14ac:dyDescent="0.25">
      <c r="A38" s="118">
        <f>IF(ENGINE!A33="","",ENGINE!A33)</f>
        <v>31</v>
      </c>
      <c r="B38" s="118">
        <f>IF(ENGINE!A33="","",ENGINE!B33)</f>
        <v>53</v>
      </c>
      <c r="C38" s="43">
        <f>IF(ENGINE!A33="","",ENGINE!Y33)</f>
        <v>229234.30973796654</v>
      </c>
      <c r="D38" s="43">
        <f>IF(ENGINE!A33="","",ENGINE!AC33)</f>
        <v>6458.4309737966541</v>
      </c>
      <c r="E38" s="43">
        <f>IF(ENGINE!A33="","",ENGINE!AD33)</f>
        <v>0</v>
      </c>
      <c r="F38" s="43">
        <f>IF(ENGINE!A33="","",ENGINE!AG33)</f>
        <v>17536.424694954439</v>
      </c>
      <c r="G38" s="43">
        <f>IF(ENGINE!A33="","",ENGINE!AH33)</f>
        <v>23994.855668751094</v>
      </c>
      <c r="H38" s="43">
        <f>IF(ENGINE!A33="","",ENGINE!AI33)</f>
        <v>205239.45406921546</v>
      </c>
      <c r="I38" s="43">
        <f>IF(ENGINE!A33="","",ENGINE!D33)</f>
        <v>52100</v>
      </c>
      <c r="J38" s="43">
        <f>IF(ENGINE!A33="","",ENGINE!AI33-ENGINE!D33)</f>
        <v>153139.45406921546</v>
      </c>
      <c r="K38" s="7"/>
      <c r="L38" s="7"/>
      <c r="M38" s="7"/>
      <c r="N38" s="7"/>
      <c r="O38" s="7"/>
      <c r="P38" s="7"/>
    </row>
    <row r="39" spans="1:16" ht="14.25" x14ac:dyDescent="0.25">
      <c r="A39" s="118">
        <f>IF(ENGINE!A34="","",ENGINE!A34)</f>
        <v>32</v>
      </c>
      <c r="B39" s="118">
        <f>IF(ENGINE!A34="","",ENGINE!B34)</f>
        <v>54</v>
      </c>
      <c r="C39" s="43">
        <f>IF(ENGINE!A34="","",ENGINE!Y34)</f>
        <v>236111.33903010553</v>
      </c>
      <c r="D39" s="43">
        <f>IF(ENGINE!A34="","",ENGINE!AC34)</f>
        <v>6256.1339030105537</v>
      </c>
      <c r="E39" s="43">
        <f>IF(ENGINE!A34="","",ENGINE!AD34)</f>
        <v>0</v>
      </c>
      <c r="F39" s="43">
        <f>IF(ENGINE!A34="","",ENGINE!AG34)</f>
        <v>18062.517435803071</v>
      </c>
      <c r="G39" s="43">
        <f>IF(ENGINE!A34="","",ENGINE!AH34)</f>
        <v>24318.651338813623</v>
      </c>
      <c r="H39" s="43">
        <f>IF(ENGINE!A34="","",ENGINE!AI34)</f>
        <v>211792.68769129191</v>
      </c>
      <c r="I39" s="43">
        <f>IF(ENGINE!A34="","",ENGINE!D34)</f>
        <v>55000</v>
      </c>
      <c r="J39" s="43">
        <f>IF(ENGINE!A34="","",ENGINE!AI34-ENGINE!D34)</f>
        <v>156792.68769129191</v>
      </c>
      <c r="K39" s="7"/>
      <c r="L39" s="7"/>
      <c r="M39" s="7"/>
      <c r="N39" s="7"/>
      <c r="O39" s="7"/>
      <c r="P39" s="7"/>
    </row>
    <row r="40" spans="1:16" ht="14.25" x14ac:dyDescent="0.25">
      <c r="A40" s="118">
        <f>IF(ENGINE!A35="","",ENGINE!A35)</f>
        <v>33</v>
      </c>
      <c r="B40" s="118">
        <f>IF(ENGINE!A35="","",ENGINE!B35)</f>
        <v>55</v>
      </c>
      <c r="C40" s="43">
        <f>IF(ENGINE!A35="","",ENGINE!Y35)</f>
        <v>243194.67920100869</v>
      </c>
      <c r="D40" s="43">
        <f>IF(ENGINE!A35="","",ENGINE!AC35)</f>
        <v>6024.4679201008694</v>
      </c>
      <c r="E40" s="43">
        <f>IF(ENGINE!A35="","",ENGINE!AD35)</f>
        <v>0</v>
      </c>
      <c r="F40" s="43">
        <f>IF(ENGINE!A35="","",ENGINE!AG35)</f>
        <v>18604.392958877164</v>
      </c>
      <c r="G40" s="43">
        <f>IF(ENGINE!A35="","",ENGINE!AH35)</f>
        <v>24628.860878978034</v>
      </c>
      <c r="H40" s="43">
        <f>IF(ENGINE!A35="","",ENGINE!AI35)</f>
        <v>218565.81832203065</v>
      </c>
      <c r="I40" s="43">
        <f>IF(ENGINE!A35="","",ENGINE!D35)</f>
        <v>58500</v>
      </c>
      <c r="J40" s="43">
        <f>IF(ENGINE!A35="","",ENGINE!AI35-ENGINE!D35)</f>
        <v>160065.81832203065</v>
      </c>
      <c r="K40" s="7"/>
      <c r="L40" s="7"/>
      <c r="M40" s="7"/>
      <c r="N40" s="7"/>
      <c r="O40" s="7"/>
      <c r="P40" s="7"/>
    </row>
    <row r="41" spans="1:16" ht="14.25" x14ac:dyDescent="0.25">
      <c r="A41" s="118">
        <f>IF(ENGINE!A36="","",ENGINE!A36)</f>
        <v>34</v>
      </c>
      <c r="B41" s="118">
        <f>IF(ENGINE!A36="","",ENGINE!B36)</f>
        <v>56</v>
      </c>
      <c r="C41" s="43">
        <f>IF(ENGINE!A36="","",ENGINE!Y36)</f>
        <v>250490.51957703897</v>
      </c>
      <c r="D41" s="43">
        <f>IF(ENGINE!A36="","",ENGINE!AC36)</f>
        <v>5764.0519577038976</v>
      </c>
      <c r="E41" s="43">
        <f>IF(ENGINE!A36="","",ENGINE!AD36)</f>
        <v>0</v>
      </c>
      <c r="F41" s="43">
        <f>IF(ENGINE!A36="","",ENGINE!AG36)</f>
        <v>19166.939423836833</v>
      </c>
      <c r="G41" s="43">
        <f>IF(ENGINE!A36="","",ENGINE!AH36)</f>
        <v>24930.991381540731</v>
      </c>
      <c r="H41" s="43">
        <f>IF(ENGINE!A36="","",ENGINE!AI36)</f>
        <v>225559.52819549825</v>
      </c>
      <c r="I41" s="43">
        <f>IF(ENGINE!A36="","",ENGINE!D36)</f>
        <v>61900</v>
      </c>
      <c r="J41" s="43">
        <f>IF(ENGINE!A36="","",ENGINE!AI36-ENGINE!D36)</f>
        <v>163659.52819549825</v>
      </c>
      <c r="K41" s="7"/>
      <c r="L41" s="7"/>
      <c r="M41" s="7"/>
      <c r="N41" s="7"/>
      <c r="O41" s="7"/>
      <c r="P41" s="7"/>
    </row>
    <row r="42" spans="1:16" ht="14.25" x14ac:dyDescent="0.25">
      <c r="A42" s="118">
        <f>IF(ENGINE!A37="","",ENGINE!A37)</f>
        <v>35</v>
      </c>
      <c r="B42" s="118">
        <f>IF(ENGINE!A37="","",ENGINE!B37)</f>
        <v>57</v>
      </c>
      <c r="C42" s="43">
        <f>IF(ENGINE!A37="","",ENGINE!Y37)</f>
        <v>258005.23516435013</v>
      </c>
      <c r="D42" s="43">
        <f>IF(ENGINE!A37="","",ENGINE!AC37)</f>
        <v>5470.5235164350133</v>
      </c>
      <c r="E42" s="43">
        <f>IF(ENGINE!A37="","",ENGINE!AD37)</f>
        <v>0</v>
      </c>
      <c r="F42" s="43">
        <f>IF(ENGINE!A37="","",ENGINE!AG37)</f>
        <v>19809.447606551937</v>
      </c>
      <c r="G42" s="43">
        <f>IF(ENGINE!A37="","",ENGINE!AH37)</f>
        <v>25279.97112298695</v>
      </c>
      <c r="H42" s="43">
        <f>IF(ENGINE!A37="","",ENGINE!AI37)</f>
        <v>232725.26404136317</v>
      </c>
      <c r="I42" s="43">
        <f>IF(ENGINE!A37="","",ENGINE!D37)</f>
        <v>65900</v>
      </c>
      <c r="J42" s="43">
        <f>IF(ENGINE!A37="","",ENGINE!AI37-ENGINE!D37)</f>
        <v>166825.26404136317</v>
      </c>
      <c r="K42" s="7"/>
      <c r="L42" s="7"/>
      <c r="M42" s="7"/>
      <c r="N42" s="7"/>
      <c r="O42" s="7"/>
      <c r="P42" s="7"/>
    </row>
    <row r="43" spans="1:16" ht="14.25" x14ac:dyDescent="0.25">
      <c r="A43" s="118">
        <f>IF(ENGINE!A38="","",ENGINE!A38)</f>
        <v>36</v>
      </c>
      <c r="B43" s="118">
        <f>IF(ENGINE!A38="","",ENGINE!B38)</f>
        <v>58</v>
      </c>
      <c r="C43" s="43">
        <f>IF(ENGINE!A38="","",ENGINE!Y38)</f>
        <v>265745.39221928065</v>
      </c>
      <c r="D43" s="43">
        <f>IF(ENGINE!A38="","",ENGINE!AC38)</f>
        <v>5149.5392219280657</v>
      </c>
      <c r="E43" s="43">
        <f>IF(ENGINE!A38="","",ENGINE!AD38)</f>
        <v>0</v>
      </c>
      <c r="F43" s="43">
        <f>IF(ENGINE!A38="","",ENGINE!AG38)</f>
        <v>20471.231034748496</v>
      </c>
      <c r="G43" s="43">
        <f>IF(ENGINE!A38="","",ENGINE!AH38)</f>
        <v>25620.770256676562</v>
      </c>
      <c r="H43" s="43">
        <f>IF(ENGINE!A38="","",ENGINE!AI38)</f>
        <v>240124.62196260408</v>
      </c>
      <c r="I43" s="43">
        <f>IF(ENGINE!A38="","",ENGINE!D38)</f>
        <v>69900</v>
      </c>
      <c r="J43" s="43">
        <f>IF(ENGINE!A38="","",ENGINE!AI38-ENGINE!D38)</f>
        <v>170224.62196260408</v>
      </c>
      <c r="K43" s="7"/>
      <c r="L43" s="7"/>
      <c r="M43" s="7"/>
      <c r="N43" s="7"/>
      <c r="O43" s="7"/>
      <c r="P43" s="7"/>
    </row>
    <row r="44" spans="1:16" ht="14.25" x14ac:dyDescent="0.25">
      <c r="A44" s="118">
        <f>IF(ENGINE!A39="","",ENGINE!A39)</f>
        <v>37</v>
      </c>
      <c r="B44" s="118">
        <f>IF(ENGINE!A39="","",ENGINE!B39)</f>
        <v>59</v>
      </c>
      <c r="C44" s="43">
        <f>IF(ENGINE!A39="","",ENGINE!Y39)</f>
        <v>273717.7539858591</v>
      </c>
      <c r="D44" s="43">
        <f>IF(ENGINE!A39="","",ENGINE!AC39)</f>
        <v>4786.7753985859108</v>
      </c>
      <c r="E44" s="43">
        <f>IF(ENGINE!A39="","",ENGINE!AD39)</f>
        <v>0</v>
      </c>
      <c r="F44" s="43">
        <f>IF(ENGINE!A39="","",ENGINE!AG39)</f>
        <v>21152.867965790952</v>
      </c>
      <c r="G44" s="43">
        <f>IF(ENGINE!A39="","",ENGINE!AH39)</f>
        <v>25939.643364376861</v>
      </c>
      <c r="H44" s="43">
        <f>IF(ENGINE!A39="","",ENGINE!AI39)</f>
        <v>247778.11062148225</v>
      </c>
      <c r="I44" s="43">
        <f>IF(ENGINE!A39="","",ENGINE!D39)</f>
        <v>73900</v>
      </c>
      <c r="J44" s="43">
        <f>IF(ENGINE!A39="","",ENGINE!AI39-ENGINE!D39)</f>
        <v>173878.11062148225</v>
      </c>
      <c r="K44" s="7"/>
      <c r="L44" s="7"/>
      <c r="M44" s="7"/>
      <c r="N44" s="7"/>
      <c r="O44" s="7"/>
      <c r="P44" s="7"/>
    </row>
    <row r="45" spans="1:16" ht="14.25" x14ac:dyDescent="0.25">
      <c r="A45" s="118">
        <f>IF(ENGINE!A40="","",ENGINE!A40)</f>
        <v>38</v>
      </c>
      <c r="B45" s="118">
        <f>IF(ENGINE!A40="","",ENGINE!B40)</f>
        <v>60</v>
      </c>
      <c r="C45" s="43">
        <f>IF(ENGINE!A40="","",ENGINE!Y40)</f>
        <v>281929.2866054349</v>
      </c>
      <c r="D45" s="43">
        <f>IF(ENGINE!A40="","",ENGINE!AC40)</f>
        <v>4387.92866054349</v>
      </c>
      <c r="E45" s="43">
        <f>IF(ENGINE!A40="","",ENGINE!AD40)</f>
        <v>0</v>
      </c>
      <c r="F45" s="43">
        <f>IF(ENGINE!A40="","",ENGINE!AG40)</f>
        <v>21854.954004764681</v>
      </c>
      <c r="G45" s="43">
        <f>IF(ENGINE!A40="","",ENGINE!AH40)</f>
        <v>26242.882665308171</v>
      </c>
      <c r="H45" s="43">
        <f>IF(ENGINE!A40="","",ENGINE!AI40)</f>
        <v>255686.40394012674</v>
      </c>
      <c r="I45" s="43">
        <f>IF(ENGINE!A40="","",ENGINE!D40)</f>
        <v>78500</v>
      </c>
      <c r="J45" s="43">
        <f>IF(ENGINE!A40="","",ENGINE!AI40-ENGINE!D40)</f>
        <v>177186.40394012674</v>
      </c>
      <c r="K45" s="7"/>
      <c r="L45" s="7"/>
      <c r="M45" s="7"/>
      <c r="N45" s="7"/>
      <c r="O45" s="7"/>
      <c r="P45" s="7"/>
    </row>
    <row r="46" spans="1:16" ht="14.25" x14ac:dyDescent="0.25">
      <c r="A46" s="118">
        <f>IF(ENGINE!A41="","",ENGINE!A41)</f>
        <v>39</v>
      </c>
      <c r="B46" s="118">
        <f>IF(ENGINE!A41="","",ENGINE!B41)</f>
        <v>61</v>
      </c>
      <c r="C46" s="43">
        <f>IF(ENGINE!A41="","",ENGINE!Y41)</f>
        <v>290387.16520359798</v>
      </c>
      <c r="D46" s="43">
        <f>IF(ENGINE!A41="","",ENGINE!AC41)</f>
        <v>3943.7165203597979</v>
      </c>
      <c r="E46" s="43">
        <f>IF(ENGINE!A41="","",ENGINE!AD41)</f>
        <v>0</v>
      </c>
      <c r="F46" s="43">
        <f>IF(ENGINE!A41="","",ENGINE!AG41)</f>
        <v>22578.102624907628</v>
      </c>
      <c r="G46" s="43">
        <f>IF(ENGINE!A41="","",ENGINE!AH41)</f>
        <v>26521.819145267425</v>
      </c>
      <c r="H46" s="43">
        <f>IF(ENGINE!A41="","",ENGINE!AI41)</f>
        <v>263865.34605833056</v>
      </c>
      <c r="I46" s="43">
        <f>IF(ENGINE!A41="","",ENGINE!D41)</f>
        <v>83100</v>
      </c>
      <c r="J46" s="43">
        <f>IF(ENGINE!A41="","",ENGINE!AI41-ENGINE!D41)</f>
        <v>180765.34605833056</v>
      </c>
      <c r="K46" s="7"/>
      <c r="L46" s="7"/>
      <c r="M46" s="7"/>
      <c r="N46" s="7"/>
      <c r="O46" s="7"/>
      <c r="P46" s="7"/>
    </row>
    <row r="47" spans="1:16" ht="14.25" x14ac:dyDescent="0.25">
      <c r="A47" s="118">
        <f>IF(ENGINE!A42="","",ENGINE!A42)</f>
        <v>40</v>
      </c>
      <c r="B47" s="118">
        <f>IF(ENGINE!A42="","",ENGINE!B42)</f>
        <v>62</v>
      </c>
      <c r="C47" s="43">
        <f>IF(ENGINE!A42="","",ENGINE!Y42)</f>
        <v>299098.7801597059</v>
      </c>
      <c r="D47" s="43">
        <f>IF(ENGINE!A42="","",ENGINE!AC42)</f>
        <v>3459.8780159705902</v>
      </c>
      <c r="E47" s="43">
        <f>IF(ENGINE!A42="","",ENGINE!AD42)</f>
        <v>0</v>
      </c>
      <c r="F47" s="43">
        <f>IF(ENGINE!A42="","",ENGINE!AG42)</f>
        <v>23322.945703654856</v>
      </c>
      <c r="G47" s="43">
        <f>IF(ENGINE!A42="","",ENGINE!AH42)</f>
        <v>26782.823719625445</v>
      </c>
      <c r="H47" s="43">
        <f>IF(ENGINE!A42="","",ENGINE!AI42)</f>
        <v>272315.95644008048</v>
      </c>
      <c r="I47" s="43">
        <f>IF(ENGINE!A42="","",ENGINE!D42)</f>
        <v>88300</v>
      </c>
      <c r="J47" s="43">
        <f>IF(ENGINE!A42="","",ENGINE!AI42-ENGINE!D42)</f>
        <v>184015.95644008048</v>
      </c>
      <c r="K47" s="7"/>
      <c r="L47" s="7"/>
      <c r="M47" s="7"/>
      <c r="N47" s="7"/>
      <c r="O47" s="7"/>
      <c r="P47" s="7"/>
    </row>
    <row r="48" spans="1:16" ht="14.25" x14ac:dyDescent="0.25">
      <c r="A48" s="118">
        <f>IF(ENGINE!A43="","",ENGINE!A43)</f>
        <v>41</v>
      </c>
      <c r="B48" s="118">
        <f>IF(ENGINE!A43="","",ENGINE!B43)</f>
        <v>63</v>
      </c>
      <c r="C48" s="43">
        <f>IF(ENGINE!A43="","",ENGINE!Y43)</f>
        <v>308071.7435644971</v>
      </c>
      <c r="D48" s="43">
        <f>IF(ENGINE!A43="","",ENGINE!AC43)</f>
        <v>2927.1743564497101</v>
      </c>
      <c r="E48" s="43">
        <f>IF(ENGINE!A43="","",ENGINE!AD43)</f>
        <v>0</v>
      </c>
      <c r="F48" s="43">
        <f>IF(ENGINE!A43="","",ENGINE!AG43)</f>
        <v>24090.134074764501</v>
      </c>
      <c r="G48" s="43">
        <f>IF(ENGINE!A43="","",ENGINE!AH43)</f>
        <v>27017.308431214209</v>
      </c>
      <c r="H48" s="43">
        <f>IF(ENGINE!A43="","",ENGINE!AI43)</f>
        <v>281054.43513328291</v>
      </c>
      <c r="I48" s="43">
        <f>IF(ENGINE!A43="","",ENGINE!D43)</f>
        <v>93400</v>
      </c>
      <c r="J48" s="43">
        <f>IF(ENGINE!A43="","",ENGINE!AI43-ENGINE!D43)</f>
        <v>187654.43513328291</v>
      </c>
      <c r="K48" s="7"/>
      <c r="L48" s="7"/>
      <c r="M48" s="7"/>
      <c r="N48" s="7"/>
      <c r="O48" s="7"/>
      <c r="P48" s="7"/>
    </row>
    <row r="49" spans="1:16" ht="14.25" x14ac:dyDescent="0.25">
      <c r="A49" s="118">
        <f>IF(ENGINE!A44="","",ENGINE!A44)</f>
        <v>42</v>
      </c>
      <c r="B49" s="118">
        <f>IF(ENGINE!A44="","",ENGINE!B44)</f>
        <v>64</v>
      </c>
      <c r="C49" s="43">
        <f>IF(ENGINE!A44="","",ENGINE!Y44)</f>
        <v>317313.89587143203</v>
      </c>
      <c r="D49" s="43">
        <f>IF(ENGINE!A44="","",ENGINE!AC44)</f>
        <v>2341.3895871432032</v>
      </c>
      <c r="E49" s="43">
        <f>IF(ENGINE!A44="","",ENGINE!AD44)</f>
        <v>0</v>
      </c>
      <c r="F49" s="43">
        <f>IF(ENGINE!A44="","",ENGINE!AG44)</f>
        <v>24880.338097007436</v>
      </c>
      <c r="G49" s="43">
        <f>IF(ENGINE!A44="","",ENGINE!AH44)</f>
        <v>27221.727684150639</v>
      </c>
      <c r="H49" s="43">
        <f>IF(ENGINE!A44="","",ENGINE!AI44)</f>
        <v>290092.16818728141</v>
      </c>
      <c r="I49" s="43">
        <f>IF(ENGINE!A44="","",ENGINE!D44)</f>
        <v>99200</v>
      </c>
      <c r="J49" s="43">
        <f>IF(ENGINE!A44="","",ENGINE!AI44-ENGINE!D44)</f>
        <v>190892.16818728141</v>
      </c>
      <c r="K49" s="7"/>
      <c r="L49" s="7"/>
      <c r="M49" s="7"/>
      <c r="N49" s="7"/>
      <c r="O49" s="7"/>
      <c r="P49" s="7"/>
    </row>
    <row r="50" spans="1:16" ht="14.25" x14ac:dyDescent="0.25">
      <c r="A50" s="118">
        <f>IF(ENGINE!A45="","",ENGINE!A45)</f>
        <v>43</v>
      </c>
      <c r="B50" s="118">
        <f>IF(ENGINE!A45="","",ENGINE!B45)</f>
        <v>65</v>
      </c>
      <c r="C50" s="43">
        <f>IF(ENGINE!A45="","",ENGINE!Y45)</f>
        <v>326833.31274757499</v>
      </c>
      <c r="D50" s="43">
        <f>IF(ENGINE!A45="","",ENGINE!AC45)</f>
        <v>1708.3312747574994</v>
      </c>
      <c r="E50" s="43">
        <f>IF(ENGINE!A45="","",ENGINE!AD45)</f>
        <v>0</v>
      </c>
      <c r="F50" s="43">
        <f>IF(ENGINE!A45="","",ENGINE!AG45)</f>
        <v>25694.248239917659</v>
      </c>
      <c r="G50" s="43">
        <f>IF(ENGINE!A45="","",ENGINE!AH45)</f>
        <v>27402.579514675159</v>
      </c>
      <c r="H50" s="43">
        <f>IF(ENGINE!A45="","",ENGINE!AI45)</f>
        <v>299430.73323289986</v>
      </c>
      <c r="I50" s="43">
        <f>IF(ENGINE!A45="","",ENGINE!D45)</f>
        <v>104900</v>
      </c>
      <c r="J50" s="43">
        <f>IF(ENGINE!A45="","",ENGINE!AI45-ENGINE!D45)</f>
        <v>194530.73323289986</v>
      </c>
      <c r="K50" s="7"/>
      <c r="L50" s="7"/>
      <c r="M50" s="7"/>
      <c r="N50" s="7"/>
      <c r="O50" s="7"/>
      <c r="P50" s="7"/>
    </row>
    <row r="51" spans="1:16" ht="14.25" x14ac:dyDescent="0.25">
      <c r="A51" s="7" t="str">
        <f>IF(ENGINE!A46="","",ENGINE!A46)</f>
        <v/>
      </c>
      <c r="B51" s="7" t="str">
        <f>IF(ENGINE!A46="","",ENGINE!B46)</f>
        <v/>
      </c>
      <c r="C51" s="43" t="str">
        <f>IF(ENGINE!A46="","",ENGINE!Y46)</f>
        <v/>
      </c>
      <c r="D51" s="43" t="str">
        <f>IF(ENGINE!A46="","",ENGINE!AC46)</f>
        <v/>
      </c>
      <c r="E51" s="43" t="str">
        <f>IF(ENGINE!A46="","",ENGINE!AD46)</f>
        <v/>
      </c>
      <c r="F51" s="43" t="str">
        <f>IF(ENGINE!A46="","",ENGINE!AG46)</f>
        <v/>
      </c>
      <c r="G51" s="43" t="str">
        <f>IF(ENGINE!A46="","",ENGINE!AH46)</f>
        <v/>
      </c>
      <c r="H51" s="43" t="str">
        <f>IF(ENGINE!A46="","",ENGINE!AI46)</f>
        <v/>
      </c>
      <c r="I51" s="43" t="str">
        <f>IF(ENGINE!A46="","",ENGINE!D46)</f>
        <v/>
      </c>
      <c r="J51" s="43" t="str">
        <f>IF(ENGINE!A46="","",ENGINE!AI46-ENGINE!D46)</f>
        <v/>
      </c>
      <c r="K51" s="7"/>
      <c r="L51" s="7"/>
      <c r="M51" s="7"/>
      <c r="N51" s="7"/>
      <c r="O51" s="7"/>
      <c r="P51" s="7"/>
    </row>
    <row r="52" spans="1:16" ht="14.25" x14ac:dyDescent="0.25">
      <c r="A52" s="7" t="str">
        <f>IF(ENGINE!A47="","",ENGINE!A47)</f>
        <v/>
      </c>
      <c r="B52" s="7" t="str">
        <f>IF(ENGINE!A47="","",ENGINE!B47)</f>
        <v/>
      </c>
      <c r="C52" s="43" t="str">
        <f>IF(ENGINE!A47="","",ENGINE!Y47)</f>
        <v/>
      </c>
      <c r="D52" s="43" t="str">
        <f>IF(ENGINE!A47="","",ENGINE!AC47)</f>
        <v/>
      </c>
      <c r="E52" s="43" t="str">
        <f>IF(ENGINE!A47="","",ENGINE!AD47)</f>
        <v/>
      </c>
      <c r="F52" s="43" t="str">
        <f>IF(ENGINE!A47="","",ENGINE!AG47)</f>
        <v/>
      </c>
      <c r="G52" s="43" t="str">
        <f>IF(ENGINE!A47="","",ENGINE!AH47)</f>
        <v/>
      </c>
      <c r="H52" s="43" t="str">
        <f>IF(ENGINE!A47="","",ENGINE!AI47)</f>
        <v/>
      </c>
      <c r="I52" s="43" t="str">
        <f>IF(ENGINE!A47="","",ENGINE!D47)</f>
        <v/>
      </c>
      <c r="J52" s="43" t="str">
        <f>IF(ENGINE!A47="","",ENGINE!AI47-ENGINE!D47)</f>
        <v/>
      </c>
      <c r="K52" s="7"/>
      <c r="L52" s="7"/>
      <c r="M52" s="7"/>
      <c r="N52" s="7"/>
      <c r="O52" s="7"/>
      <c r="P52" s="7"/>
    </row>
    <row r="53" spans="1:16" ht="14.25" x14ac:dyDescent="0.25">
      <c r="A53" s="7" t="str">
        <f>IF(ENGINE!A48="","",ENGINE!A48)</f>
        <v/>
      </c>
      <c r="B53" s="7" t="str">
        <f>IF(ENGINE!A48="","",ENGINE!B48)</f>
        <v/>
      </c>
      <c r="C53" s="43" t="str">
        <f>IF(ENGINE!A48="","",ENGINE!Y48)</f>
        <v/>
      </c>
      <c r="D53" s="43" t="str">
        <f>IF(ENGINE!A48="","",ENGINE!AC48)</f>
        <v/>
      </c>
      <c r="E53" s="43" t="str">
        <f>IF(ENGINE!A48="","",ENGINE!AD48)</f>
        <v/>
      </c>
      <c r="F53" s="43" t="str">
        <f>IF(ENGINE!A48="","",ENGINE!AG48)</f>
        <v/>
      </c>
      <c r="G53" s="43" t="str">
        <f>IF(ENGINE!A48="","",ENGINE!AH48)</f>
        <v/>
      </c>
      <c r="H53" s="43" t="str">
        <f>IF(ENGINE!A48="","",ENGINE!AI48)</f>
        <v/>
      </c>
      <c r="I53" s="43" t="str">
        <f>IF(ENGINE!A48="","",ENGINE!D48)</f>
        <v/>
      </c>
      <c r="J53" s="43" t="str">
        <f>IF(ENGINE!A48="","",ENGINE!AI48-ENGINE!D48)</f>
        <v/>
      </c>
      <c r="K53" s="7"/>
      <c r="L53" s="7"/>
      <c r="M53" s="7"/>
      <c r="N53" s="7"/>
      <c r="O53" s="7"/>
      <c r="P53" s="7"/>
    </row>
    <row r="54" spans="1:16" ht="14.25" x14ac:dyDescent="0.25">
      <c r="A54" s="7" t="str">
        <f>IF(ENGINE!A49="","",ENGINE!A49)</f>
        <v/>
      </c>
      <c r="B54" s="7" t="str">
        <f>IF(ENGINE!A49="","",ENGINE!B49)</f>
        <v/>
      </c>
      <c r="C54" s="43" t="str">
        <f>IF(ENGINE!A49="","",ENGINE!Y49)</f>
        <v/>
      </c>
      <c r="D54" s="43" t="str">
        <f>IF(ENGINE!A49="","",ENGINE!AC49)</f>
        <v/>
      </c>
      <c r="E54" s="43" t="str">
        <f>IF(ENGINE!A49="","",ENGINE!AD49)</f>
        <v/>
      </c>
      <c r="F54" s="43" t="str">
        <f>IF(ENGINE!A49="","",ENGINE!AG49)</f>
        <v/>
      </c>
      <c r="G54" s="43" t="str">
        <f>IF(ENGINE!A49="","",ENGINE!AH49)</f>
        <v/>
      </c>
      <c r="H54" s="43" t="str">
        <f>IF(ENGINE!A49="","",ENGINE!AI49)</f>
        <v/>
      </c>
      <c r="I54" s="43" t="str">
        <f>IF(ENGINE!A49="","",ENGINE!D49)</f>
        <v/>
      </c>
      <c r="J54" s="43" t="str">
        <f>IF(ENGINE!A49="","",ENGINE!AI49-ENGINE!D49)</f>
        <v/>
      </c>
      <c r="K54" s="7"/>
      <c r="L54" s="7"/>
      <c r="M54" s="7"/>
      <c r="N54" s="7"/>
      <c r="O54" s="7"/>
      <c r="P54" s="7"/>
    </row>
    <row r="55" spans="1:16" ht="14.25" x14ac:dyDescent="0.25">
      <c r="A55" s="7" t="str">
        <f>IF(ENGINE!A50="","",ENGINE!A50)</f>
        <v/>
      </c>
      <c r="B55" s="7" t="str">
        <f>IF(ENGINE!A50="","",ENGINE!B50)</f>
        <v/>
      </c>
      <c r="C55" s="43" t="str">
        <f>IF(ENGINE!A50="","",ENGINE!Y50)</f>
        <v/>
      </c>
      <c r="D55" s="43" t="str">
        <f>IF(ENGINE!A50="","",ENGINE!AC50)</f>
        <v/>
      </c>
      <c r="E55" s="43" t="str">
        <f>IF(ENGINE!A50="","",ENGINE!AD50)</f>
        <v/>
      </c>
      <c r="F55" s="43" t="str">
        <f>IF(ENGINE!A50="","",ENGINE!AG50)</f>
        <v/>
      </c>
      <c r="G55" s="43" t="str">
        <f>IF(ENGINE!A50="","",ENGINE!AH50)</f>
        <v/>
      </c>
      <c r="H55" s="43" t="str">
        <f>IF(ENGINE!A50="","",ENGINE!AI50)</f>
        <v/>
      </c>
      <c r="I55" s="43" t="str">
        <f>IF(ENGINE!A50="","",ENGINE!D50)</f>
        <v/>
      </c>
      <c r="J55" s="43" t="str">
        <f>IF(ENGINE!A50="","",ENGINE!AI50-ENGINE!D50)</f>
        <v/>
      </c>
      <c r="K55" s="7"/>
      <c r="L55" s="7"/>
      <c r="M55" s="7"/>
      <c r="N55" s="7"/>
      <c r="O55" s="7"/>
      <c r="P55" s="7"/>
    </row>
    <row r="56" spans="1:16" ht="14.25" x14ac:dyDescent="0.25">
      <c r="A56" s="7" t="str">
        <f>IF(ENGINE!A51="","",ENGINE!A51)</f>
        <v/>
      </c>
      <c r="B56" s="7" t="str">
        <f>IF(ENGINE!A51="","",ENGINE!B51)</f>
        <v/>
      </c>
      <c r="C56" s="43" t="str">
        <f>IF(ENGINE!A51="","",ENGINE!Y51)</f>
        <v/>
      </c>
      <c r="D56" s="43" t="str">
        <f>IF(ENGINE!A51="","",ENGINE!AC51)</f>
        <v/>
      </c>
      <c r="E56" s="43" t="str">
        <f>IF(ENGINE!A51="","",ENGINE!AD51)</f>
        <v/>
      </c>
      <c r="F56" s="43" t="str">
        <f>IF(ENGINE!A51="","",ENGINE!AG51)</f>
        <v/>
      </c>
      <c r="G56" s="43" t="str">
        <f>IF(ENGINE!A51="","",ENGINE!AH51)</f>
        <v/>
      </c>
      <c r="H56" s="43" t="str">
        <f>IF(ENGINE!A51="","",ENGINE!AI51)</f>
        <v/>
      </c>
      <c r="I56" s="43" t="str">
        <f>IF(ENGINE!A51="","",ENGINE!D51)</f>
        <v/>
      </c>
      <c r="J56" s="43" t="str">
        <f>IF(ENGINE!A51="","",ENGINE!AI51-ENGINE!D51)</f>
        <v/>
      </c>
      <c r="K56" s="7"/>
      <c r="L56" s="7"/>
      <c r="M56" s="7"/>
      <c r="N56" s="7"/>
      <c r="O56" s="7"/>
      <c r="P56" s="7"/>
    </row>
    <row r="57" spans="1:16" ht="14.25" x14ac:dyDescent="0.25">
      <c r="A57" s="7" t="str">
        <f>IF(ENGINE!A52="","",ENGINE!A52)</f>
        <v/>
      </c>
      <c r="B57" s="7" t="str">
        <f>IF(ENGINE!A52="","",ENGINE!B52)</f>
        <v/>
      </c>
      <c r="C57" s="43" t="str">
        <f>IF(ENGINE!A52="","",ENGINE!Y52)</f>
        <v/>
      </c>
      <c r="D57" s="43" t="str">
        <f>IF(ENGINE!A52="","",ENGINE!AC52)</f>
        <v/>
      </c>
      <c r="E57" s="43" t="str">
        <f>IF(ENGINE!A52="","",ENGINE!AD52)</f>
        <v/>
      </c>
      <c r="F57" s="43" t="str">
        <f>IF(ENGINE!A52="","",ENGINE!AG52)</f>
        <v/>
      </c>
      <c r="G57" s="43" t="str">
        <f>IF(ENGINE!A52="","",ENGINE!AH52)</f>
        <v/>
      </c>
      <c r="H57" s="43" t="str">
        <f>IF(ENGINE!A52="","",ENGINE!AI52)</f>
        <v/>
      </c>
      <c r="I57" s="43" t="str">
        <f>IF(ENGINE!A52="","",ENGINE!D52)</f>
        <v/>
      </c>
      <c r="J57" s="43" t="str">
        <f>IF(ENGINE!A52="","",ENGINE!AI52-ENGINE!D52)</f>
        <v/>
      </c>
      <c r="K57" s="7"/>
      <c r="L57" s="7"/>
      <c r="M57" s="7"/>
      <c r="N57" s="7"/>
      <c r="O57" s="7"/>
      <c r="P57" s="7"/>
    </row>
    <row r="58" spans="1:16" ht="14.25" x14ac:dyDescent="0.25">
      <c r="A58" s="7" t="str">
        <f>IF(ENGINE!A53="","",ENGINE!A53)</f>
        <v/>
      </c>
      <c r="B58" s="7" t="str">
        <f>IF(ENGINE!A53="","",ENGINE!B53)</f>
        <v/>
      </c>
      <c r="C58" s="43" t="str">
        <f>IF(ENGINE!A53="","",ENGINE!Y53)</f>
        <v/>
      </c>
      <c r="D58" s="43" t="str">
        <f>IF(ENGINE!A53="","",ENGINE!AC53)</f>
        <v/>
      </c>
      <c r="E58" s="43" t="str">
        <f>IF(ENGINE!A53="","",ENGINE!AD53)</f>
        <v/>
      </c>
      <c r="F58" s="43" t="str">
        <f>IF(ENGINE!A53="","",ENGINE!AG53)</f>
        <v/>
      </c>
      <c r="G58" s="43" t="str">
        <f>IF(ENGINE!A53="","",ENGINE!AH53)</f>
        <v/>
      </c>
      <c r="H58" s="43" t="str">
        <f>IF(ENGINE!A53="","",ENGINE!AI53)</f>
        <v/>
      </c>
      <c r="I58" s="43" t="str">
        <f>IF(ENGINE!A53="","",ENGINE!D53)</f>
        <v/>
      </c>
      <c r="J58" s="43" t="str">
        <f>IF(ENGINE!A53="","",ENGINE!AI53-ENGINE!D53)</f>
        <v/>
      </c>
      <c r="K58" s="7"/>
      <c r="L58" s="7"/>
      <c r="M58" s="7"/>
      <c r="N58" s="7"/>
      <c r="O58" s="7"/>
      <c r="P58" s="7"/>
    </row>
    <row r="59" spans="1:16" ht="14.25" x14ac:dyDescent="0.25">
      <c r="A59" s="7" t="str">
        <f>IF(ENGINE!A54="","",ENGINE!A54)</f>
        <v/>
      </c>
      <c r="B59" s="7" t="str">
        <f>IF(ENGINE!A54="","",ENGINE!B54)</f>
        <v/>
      </c>
      <c r="C59" s="43" t="str">
        <f>IF(ENGINE!A54="","",ENGINE!Y54)</f>
        <v/>
      </c>
      <c r="D59" s="43" t="str">
        <f>IF(ENGINE!A54="","",ENGINE!AC54)</f>
        <v/>
      </c>
      <c r="E59" s="43" t="str">
        <f>IF(ENGINE!A54="","",ENGINE!AD54)</f>
        <v/>
      </c>
      <c r="F59" s="43" t="str">
        <f>IF(ENGINE!A54="","",ENGINE!AG54)</f>
        <v/>
      </c>
      <c r="G59" s="43" t="str">
        <f>IF(ENGINE!A54="","",ENGINE!AH54)</f>
        <v/>
      </c>
      <c r="H59" s="43" t="str">
        <f>IF(ENGINE!A54="","",ENGINE!AI54)</f>
        <v/>
      </c>
      <c r="I59" s="43" t="str">
        <f>IF(ENGINE!A54="","",ENGINE!D54)</f>
        <v/>
      </c>
      <c r="J59" s="43" t="str">
        <f>IF(ENGINE!A54="","",ENGINE!AI54-ENGINE!D54)</f>
        <v/>
      </c>
      <c r="K59" s="7"/>
      <c r="L59" s="7"/>
      <c r="M59" s="7"/>
      <c r="N59" s="7"/>
      <c r="O59" s="7"/>
      <c r="P59" s="7"/>
    </row>
    <row r="60" spans="1:16" ht="14.25" x14ac:dyDescent="0.25">
      <c r="A60" s="7" t="str">
        <f>IF(ENGINE!A55="","",ENGINE!A55)</f>
        <v/>
      </c>
      <c r="B60" s="7" t="str">
        <f>IF(ENGINE!A55="","",ENGINE!B55)</f>
        <v/>
      </c>
      <c r="C60" s="43" t="str">
        <f>IF(ENGINE!A55="","",ENGINE!Y55)</f>
        <v/>
      </c>
      <c r="D60" s="43" t="str">
        <f>IF(ENGINE!A55="","",ENGINE!AC55)</f>
        <v/>
      </c>
      <c r="E60" s="43" t="str">
        <f>IF(ENGINE!A55="","",ENGINE!AD55)</f>
        <v/>
      </c>
      <c r="F60" s="43" t="str">
        <f>IF(ENGINE!A55="","",ENGINE!AG55)</f>
        <v/>
      </c>
      <c r="G60" s="43" t="str">
        <f>IF(ENGINE!A55="","",ENGINE!AH55)</f>
        <v/>
      </c>
      <c r="H60" s="43" t="str">
        <f>IF(ENGINE!A55="","",ENGINE!AI55)</f>
        <v/>
      </c>
      <c r="I60" s="43" t="str">
        <f>IF(ENGINE!A55="","",ENGINE!D55)</f>
        <v/>
      </c>
      <c r="J60" s="43" t="str">
        <f>IF(ENGINE!A55="","",ENGINE!AI55-ENGINE!D55)</f>
        <v/>
      </c>
      <c r="K60" s="7"/>
      <c r="L60" s="7"/>
      <c r="M60" s="7"/>
      <c r="N60" s="7"/>
      <c r="O60" s="7"/>
      <c r="P60" s="7"/>
    </row>
    <row r="61" spans="1:16" ht="14.25" x14ac:dyDescent="0.25">
      <c r="A61" s="7" t="str">
        <f>IF(ENGINE!A56="","",ENGINE!A56)</f>
        <v/>
      </c>
      <c r="B61" s="7" t="str">
        <f>IF(ENGINE!A56="","",ENGINE!B56)</f>
        <v/>
      </c>
      <c r="C61" s="43" t="str">
        <f>IF(ENGINE!A56="","",ENGINE!Y56)</f>
        <v/>
      </c>
      <c r="D61" s="43" t="str">
        <f>IF(ENGINE!A56="","",ENGINE!AC56)</f>
        <v/>
      </c>
      <c r="E61" s="43" t="str">
        <f>IF(ENGINE!A56="","",ENGINE!AD56)</f>
        <v/>
      </c>
      <c r="F61" s="43" t="str">
        <f>IF(ENGINE!A56="","",ENGINE!AG56)</f>
        <v/>
      </c>
      <c r="G61" s="43" t="str">
        <f>IF(ENGINE!A56="","",ENGINE!AH56)</f>
        <v/>
      </c>
      <c r="H61" s="43" t="str">
        <f>IF(ENGINE!A56="","",ENGINE!AI56)</f>
        <v/>
      </c>
      <c r="I61" s="43" t="str">
        <f>IF(ENGINE!A56="","",ENGINE!D56)</f>
        <v/>
      </c>
      <c r="J61" s="43" t="str">
        <f>IF(ENGINE!A56="","",ENGINE!AI56-ENGINE!D56)</f>
        <v/>
      </c>
      <c r="K61" s="7"/>
      <c r="L61" s="7"/>
      <c r="M61" s="7"/>
      <c r="N61" s="7"/>
      <c r="O61" s="7"/>
      <c r="P61" s="7"/>
    </row>
    <row r="62" spans="1:16" ht="14.25" x14ac:dyDescent="0.25">
      <c r="A62" s="7" t="str">
        <f>IF(ENGINE!A57="","",ENGINE!A57)</f>
        <v/>
      </c>
      <c r="B62" s="7" t="str">
        <f>IF(ENGINE!A57="","",ENGINE!B57)</f>
        <v/>
      </c>
      <c r="C62" s="43" t="str">
        <f>IF(ENGINE!A57="","",ENGINE!Y57)</f>
        <v/>
      </c>
      <c r="D62" s="43" t="str">
        <f>IF(ENGINE!A57="","",ENGINE!AC57)</f>
        <v/>
      </c>
      <c r="E62" s="43" t="str">
        <f>IF(ENGINE!A57="","",ENGINE!AD57)</f>
        <v/>
      </c>
      <c r="F62" s="43" t="str">
        <f>IF(ENGINE!A57="","",ENGINE!AG57)</f>
        <v/>
      </c>
      <c r="G62" s="43" t="str">
        <f>IF(ENGINE!A57="","",ENGINE!AH57)</f>
        <v/>
      </c>
      <c r="H62" s="43" t="str">
        <f>IF(ENGINE!A57="","",ENGINE!AI57)</f>
        <v/>
      </c>
      <c r="I62" s="43" t="str">
        <f>IF(ENGINE!A57="","",ENGINE!D57)</f>
        <v/>
      </c>
      <c r="J62" s="43" t="str">
        <f>IF(ENGINE!A57="","",ENGINE!AI57-ENGINE!D57)</f>
        <v/>
      </c>
      <c r="K62" s="7"/>
      <c r="L62" s="7"/>
      <c r="M62" s="7"/>
      <c r="N62" s="7"/>
      <c r="O62" s="7"/>
      <c r="P62" s="7"/>
    </row>
    <row r="63" spans="1:16" ht="14.25" x14ac:dyDescent="0.25">
      <c r="A63" s="7" t="str">
        <f>IF(ENGINE!A58="","",ENGINE!A58)</f>
        <v/>
      </c>
      <c r="B63" s="7" t="str">
        <f>IF(ENGINE!A58="","",ENGINE!B58)</f>
        <v/>
      </c>
      <c r="C63" s="43" t="str">
        <f>IF(ENGINE!A58="","",ENGINE!Y58)</f>
        <v/>
      </c>
      <c r="D63" s="43" t="str">
        <f>IF(ENGINE!A58="","",ENGINE!AC58)</f>
        <v/>
      </c>
      <c r="E63" s="43" t="str">
        <f>IF(ENGINE!A58="","",ENGINE!AD58)</f>
        <v/>
      </c>
      <c r="F63" s="43" t="str">
        <f>IF(ENGINE!A58="","",ENGINE!AG58)</f>
        <v/>
      </c>
      <c r="G63" s="43" t="str">
        <f>IF(ENGINE!A58="","",ENGINE!AH58)</f>
        <v/>
      </c>
      <c r="H63" s="43" t="str">
        <f>IF(ENGINE!A58="","",ENGINE!AI58)</f>
        <v/>
      </c>
      <c r="I63" s="43" t="str">
        <f>IF(ENGINE!A58="","",ENGINE!D58)</f>
        <v/>
      </c>
      <c r="J63" s="43" t="str">
        <f>IF(ENGINE!A58="","",ENGINE!AI58-ENGINE!D58)</f>
        <v/>
      </c>
      <c r="K63" s="7"/>
      <c r="L63" s="7"/>
      <c r="M63" s="7"/>
      <c r="N63" s="7"/>
      <c r="O63" s="7"/>
      <c r="P63" s="7"/>
    </row>
    <row r="64" spans="1:16" ht="14.25" x14ac:dyDescent="0.25">
      <c r="A64" s="7" t="str">
        <f>IF(ENGINE!A59="","",ENGINE!A59)</f>
        <v/>
      </c>
      <c r="B64" s="7" t="str">
        <f>IF(ENGINE!A59="","",ENGINE!B59)</f>
        <v/>
      </c>
      <c r="C64" s="43" t="str">
        <f>IF(ENGINE!A59="","",ENGINE!Y59)</f>
        <v/>
      </c>
      <c r="D64" s="43" t="str">
        <f>IF(ENGINE!A59="","",ENGINE!AC59)</f>
        <v/>
      </c>
      <c r="E64" s="43" t="str">
        <f>IF(ENGINE!A59="","",ENGINE!AD59)</f>
        <v/>
      </c>
      <c r="F64" s="43" t="str">
        <f>IF(ENGINE!A59="","",ENGINE!AG59)</f>
        <v/>
      </c>
      <c r="G64" s="43" t="str">
        <f>IF(ENGINE!A59="","",ENGINE!AH59)</f>
        <v/>
      </c>
      <c r="H64" s="43" t="str">
        <f>IF(ENGINE!A59="","",ENGINE!AI59)</f>
        <v/>
      </c>
      <c r="I64" s="43" t="str">
        <f>IF(ENGINE!A59="","",ENGINE!D59)</f>
        <v/>
      </c>
      <c r="J64" s="43" t="str">
        <f>IF(ENGINE!A59="","",ENGINE!AI59-ENGINE!D59)</f>
        <v/>
      </c>
      <c r="K64" s="7"/>
      <c r="L64" s="7"/>
      <c r="M64" s="7"/>
      <c r="N64" s="7"/>
      <c r="O64" s="7"/>
      <c r="P64" s="7"/>
    </row>
    <row r="65" spans="1:16" ht="14.25" x14ac:dyDescent="0.25">
      <c r="A65" s="7" t="str">
        <f>IF(ENGINE!A60="","",ENGINE!A60)</f>
        <v/>
      </c>
      <c r="B65" s="7" t="str">
        <f>IF(ENGINE!A60="","",ENGINE!B60)</f>
        <v/>
      </c>
      <c r="C65" s="43" t="str">
        <f>IF(ENGINE!A60="","",ENGINE!Y60)</f>
        <v/>
      </c>
      <c r="D65" s="43" t="str">
        <f>IF(ENGINE!A60="","",ENGINE!AC60)</f>
        <v/>
      </c>
      <c r="E65" s="43" t="str">
        <f>IF(ENGINE!A60="","",ENGINE!AD60)</f>
        <v/>
      </c>
      <c r="F65" s="43" t="str">
        <f>IF(ENGINE!A60="","",ENGINE!AG60)</f>
        <v/>
      </c>
      <c r="G65" s="43" t="str">
        <f>IF(ENGINE!A60="","",ENGINE!AH60)</f>
        <v/>
      </c>
      <c r="H65" s="43" t="str">
        <f>IF(ENGINE!A60="","",ENGINE!AI60)</f>
        <v/>
      </c>
      <c r="I65" s="43" t="str">
        <f>IF(ENGINE!A60="","",ENGINE!D60)</f>
        <v/>
      </c>
      <c r="J65" s="43" t="str">
        <f>IF(ENGINE!A60="","",ENGINE!AI60-ENGINE!D60)</f>
        <v/>
      </c>
      <c r="K65" s="7"/>
      <c r="L65" s="7"/>
      <c r="M65" s="7"/>
      <c r="N65" s="7"/>
      <c r="O65" s="7"/>
      <c r="P65" s="7"/>
    </row>
    <row r="66" spans="1:16" ht="14.25" x14ac:dyDescent="0.25">
      <c r="A66" s="7" t="str">
        <f>IF(ENGINE!A61="","",ENGINE!A61)</f>
        <v/>
      </c>
      <c r="B66" s="7" t="str">
        <f>IF(ENGINE!A61="","",ENGINE!B61)</f>
        <v/>
      </c>
      <c r="C66" s="43" t="str">
        <f>IF(ENGINE!A61="","",ENGINE!Y61)</f>
        <v/>
      </c>
      <c r="D66" s="43" t="str">
        <f>IF(ENGINE!A61="","",ENGINE!AC61)</f>
        <v/>
      </c>
      <c r="E66" s="43" t="str">
        <f>IF(ENGINE!A61="","",ENGINE!AD61)</f>
        <v/>
      </c>
      <c r="F66" s="43" t="str">
        <f>IF(ENGINE!A61="","",ENGINE!AG61)</f>
        <v/>
      </c>
      <c r="G66" s="43" t="str">
        <f>IF(ENGINE!A61="","",ENGINE!AH61)</f>
        <v/>
      </c>
      <c r="H66" s="43" t="str">
        <f>IF(ENGINE!A61="","",ENGINE!AI61)</f>
        <v/>
      </c>
      <c r="I66" s="43" t="str">
        <f>IF(ENGINE!A61="","",ENGINE!D61)</f>
        <v/>
      </c>
      <c r="J66" s="43" t="str">
        <f>IF(ENGINE!A61="","",ENGINE!AI61-ENGINE!D61)</f>
        <v/>
      </c>
      <c r="K66" s="7"/>
      <c r="L66" s="7"/>
      <c r="M66" s="7"/>
      <c r="N66" s="7"/>
      <c r="O66" s="7"/>
      <c r="P66" s="7"/>
    </row>
    <row r="67" spans="1:16" ht="14.25" x14ac:dyDescent="0.25">
      <c r="A67" s="7" t="str">
        <f>IF(ENGINE!A62="","",ENGINE!A62)</f>
        <v/>
      </c>
      <c r="B67" s="7" t="str">
        <f>IF(ENGINE!A62="","",ENGINE!B62)</f>
        <v/>
      </c>
      <c r="C67" s="43" t="str">
        <f>IF(ENGINE!A62="","",ENGINE!Y62)</f>
        <v/>
      </c>
      <c r="D67" s="43" t="str">
        <f>IF(ENGINE!A62="","",ENGINE!AC62)</f>
        <v/>
      </c>
      <c r="E67" s="43" t="str">
        <f>IF(ENGINE!A62="","",ENGINE!AD62)</f>
        <v/>
      </c>
      <c r="F67" s="43" t="str">
        <f>IF(ENGINE!A62="","",ENGINE!AG62)</f>
        <v/>
      </c>
      <c r="G67" s="43" t="str">
        <f>IF(ENGINE!A62="","",ENGINE!AH62)</f>
        <v/>
      </c>
      <c r="H67" s="43" t="str">
        <f>IF(ENGINE!A62="","",ENGINE!AI62)</f>
        <v/>
      </c>
      <c r="I67" s="43" t="str">
        <f>IF(ENGINE!A62="","",ENGINE!D62)</f>
        <v/>
      </c>
      <c r="J67" s="43" t="str">
        <f>IF(ENGINE!A62="","",ENGINE!AI62-ENGINE!D62)</f>
        <v/>
      </c>
      <c r="K67" s="7"/>
      <c r="L67" s="7"/>
      <c r="M67" s="7"/>
      <c r="N67" s="7"/>
      <c r="O67" s="7"/>
      <c r="P67" s="7"/>
    </row>
    <row r="68" spans="1:16" ht="14.25" x14ac:dyDescent="0.25">
      <c r="A68" s="7" t="str">
        <f>IF(ENGINE!A63="","",ENGINE!A63)</f>
        <v/>
      </c>
      <c r="B68" s="7" t="str">
        <f>IF(ENGINE!A63="","",ENGINE!B63)</f>
        <v/>
      </c>
      <c r="C68" s="43" t="str">
        <f>IF(ENGINE!A63="","",ENGINE!Y63)</f>
        <v/>
      </c>
      <c r="D68" s="43" t="str">
        <f>IF(ENGINE!A63="","",ENGINE!AC63)</f>
        <v/>
      </c>
      <c r="E68" s="43" t="str">
        <f>IF(ENGINE!A63="","",ENGINE!AD63)</f>
        <v/>
      </c>
      <c r="F68" s="43" t="str">
        <f>IF(ENGINE!A63="","",ENGINE!AG63)</f>
        <v/>
      </c>
      <c r="G68" s="43" t="str">
        <f>IF(ENGINE!A63="","",ENGINE!AH63)</f>
        <v/>
      </c>
      <c r="H68" s="43" t="str">
        <f>IF(ENGINE!A63="","",ENGINE!AI63)</f>
        <v/>
      </c>
      <c r="I68" s="43" t="str">
        <f>IF(ENGINE!A63="","",ENGINE!D63)</f>
        <v/>
      </c>
      <c r="J68" s="43" t="str">
        <f>IF(ENGINE!A63="","",ENGINE!AI63-ENGINE!D63)</f>
        <v/>
      </c>
      <c r="K68" s="7"/>
      <c r="L68" s="7"/>
      <c r="M68" s="7"/>
      <c r="N68" s="7"/>
      <c r="O68" s="7"/>
      <c r="P68" s="7"/>
    </row>
    <row r="69" spans="1:16" ht="14.25" x14ac:dyDescent="0.25">
      <c r="A69" s="7" t="str">
        <f>IF(ENGINE!A64="","",ENGINE!A64)</f>
        <v/>
      </c>
      <c r="B69" s="7" t="str">
        <f>IF(ENGINE!A64="","",ENGINE!B64)</f>
        <v/>
      </c>
      <c r="C69" s="43" t="str">
        <f>IF(ENGINE!A64="","",ENGINE!Y64)</f>
        <v/>
      </c>
      <c r="D69" s="43" t="str">
        <f>IF(ENGINE!A64="","",ENGINE!AC64)</f>
        <v/>
      </c>
      <c r="E69" s="43" t="str">
        <f>IF(ENGINE!A64="","",ENGINE!AD64)</f>
        <v/>
      </c>
      <c r="F69" s="43" t="str">
        <f>IF(ENGINE!A64="","",ENGINE!AG64)</f>
        <v/>
      </c>
      <c r="G69" s="43" t="str">
        <f>IF(ENGINE!A64="","",ENGINE!AH64)</f>
        <v/>
      </c>
      <c r="H69" s="43" t="str">
        <f>IF(ENGINE!A64="","",ENGINE!AI64)</f>
        <v/>
      </c>
      <c r="I69" s="43" t="str">
        <f>IF(ENGINE!A64="","",ENGINE!D64)</f>
        <v/>
      </c>
      <c r="J69" s="43" t="str">
        <f>IF(ENGINE!A64="","",ENGINE!AI64-ENGINE!D64)</f>
        <v/>
      </c>
      <c r="K69" s="7"/>
      <c r="L69" s="7"/>
      <c r="M69" s="7"/>
      <c r="N69" s="7"/>
      <c r="O69" s="7"/>
      <c r="P69" s="7"/>
    </row>
    <row r="70" spans="1:16" ht="14.25" x14ac:dyDescent="0.25">
      <c r="A70" s="7" t="str">
        <f>IF(ENGINE!A65="","",ENGINE!A65)</f>
        <v/>
      </c>
      <c r="B70" s="7" t="str">
        <f>IF(ENGINE!A65="","",ENGINE!B65)</f>
        <v/>
      </c>
      <c r="C70" s="43" t="str">
        <f>IF(ENGINE!A65="","",ENGINE!Y65)</f>
        <v/>
      </c>
      <c r="D70" s="43" t="str">
        <f>IF(ENGINE!A65="","",ENGINE!AC65)</f>
        <v/>
      </c>
      <c r="E70" s="43" t="str">
        <f>IF(ENGINE!A65="","",ENGINE!AD65)</f>
        <v/>
      </c>
      <c r="F70" s="43" t="str">
        <f>IF(ENGINE!A65="","",ENGINE!AG65)</f>
        <v/>
      </c>
      <c r="G70" s="43" t="str">
        <f>IF(ENGINE!A65="","",ENGINE!AH65)</f>
        <v/>
      </c>
      <c r="H70" s="43" t="str">
        <f>IF(ENGINE!A65="","",ENGINE!AI65)</f>
        <v/>
      </c>
      <c r="I70" s="43" t="str">
        <f>IF(ENGINE!A65="","",ENGINE!D65)</f>
        <v/>
      </c>
      <c r="J70" s="43" t="str">
        <f>IF(ENGINE!A65="","",ENGINE!AI65-ENGINE!D65)</f>
        <v/>
      </c>
      <c r="K70" s="7"/>
      <c r="L70" s="7"/>
      <c r="M70" s="7"/>
      <c r="N70" s="7"/>
      <c r="O70" s="7"/>
      <c r="P70" s="7"/>
    </row>
    <row r="71" spans="1:16" ht="14.25" x14ac:dyDescent="0.25">
      <c r="A71" s="7" t="str">
        <f>IF(ENGINE!A66="","",ENGINE!A66)</f>
        <v/>
      </c>
      <c r="B71" s="7" t="str">
        <f>IF(ENGINE!A66="","",ENGINE!B66)</f>
        <v/>
      </c>
      <c r="C71" s="43" t="str">
        <f>IF(ENGINE!A66="","",ENGINE!Y66)</f>
        <v/>
      </c>
      <c r="D71" s="43" t="str">
        <f>IF(ENGINE!A66="","",ENGINE!AC66)</f>
        <v/>
      </c>
      <c r="E71" s="43" t="str">
        <f>IF(ENGINE!A66="","",ENGINE!AD66)</f>
        <v/>
      </c>
      <c r="F71" s="43" t="str">
        <f>IF(ENGINE!A66="","",ENGINE!AG66)</f>
        <v/>
      </c>
      <c r="G71" s="43" t="str">
        <f>IF(ENGINE!A66="","",ENGINE!AH66)</f>
        <v/>
      </c>
      <c r="H71" s="43" t="str">
        <f>IF(ENGINE!A66="","",ENGINE!AI66)</f>
        <v/>
      </c>
      <c r="I71" s="43" t="str">
        <f>IF(ENGINE!A66="","",ENGINE!D66)</f>
        <v/>
      </c>
      <c r="J71" s="43" t="str">
        <f>IF(ENGINE!A66="","",ENGINE!AI66-ENGINE!D66)</f>
        <v/>
      </c>
      <c r="K71" s="7"/>
      <c r="L71" s="7"/>
      <c r="M71" s="7"/>
      <c r="N71" s="7"/>
      <c r="O71" s="7"/>
      <c r="P71" s="7"/>
    </row>
    <row r="72" spans="1:16" ht="14.25" x14ac:dyDescent="0.25">
      <c r="A72" s="7" t="str">
        <f>IF(ENGINE!A67="","",ENGINE!A67)</f>
        <v/>
      </c>
      <c r="B72" s="7" t="str">
        <f>IF(ENGINE!A67="","",ENGINE!B67)</f>
        <v/>
      </c>
      <c r="C72" s="43" t="str">
        <f>IF(ENGINE!A67="","",ENGINE!Y67)</f>
        <v/>
      </c>
      <c r="D72" s="43" t="str">
        <f>IF(ENGINE!A67="","",ENGINE!AC67)</f>
        <v/>
      </c>
      <c r="E72" s="43" t="str">
        <f>IF(ENGINE!A67="","",ENGINE!AD67)</f>
        <v/>
      </c>
      <c r="F72" s="43" t="str">
        <f>IF(ENGINE!A67="","",ENGINE!AG67)</f>
        <v/>
      </c>
      <c r="G72" s="43" t="str">
        <f>IF(ENGINE!A67="","",ENGINE!AH67)</f>
        <v/>
      </c>
      <c r="H72" s="43" t="str">
        <f>IF(ENGINE!A67="","",ENGINE!AI67)</f>
        <v/>
      </c>
      <c r="I72" s="43" t="str">
        <f>IF(ENGINE!A67="","",ENGINE!D67)</f>
        <v/>
      </c>
      <c r="J72" s="43" t="str">
        <f>IF(ENGINE!A67="","",ENGINE!AI67-ENGINE!D67)</f>
        <v/>
      </c>
      <c r="K72" s="7"/>
      <c r="L72" s="7"/>
      <c r="M72" s="7"/>
      <c r="N72" s="7"/>
      <c r="O72" s="7"/>
      <c r="P72" s="7"/>
    </row>
    <row r="73" spans="1:16" ht="14.25" x14ac:dyDescent="0.25">
      <c r="A73" s="7" t="str">
        <f>IF(ENGINE!A68="","",ENGINE!A68)</f>
        <v/>
      </c>
      <c r="B73" s="7" t="str">
        <f>IF(ENGINE!A68="","",ENGINE!B68)</f>
        <v/>
      </c>
      <c r="C73" s="43" t="str">
        <f>IF(ENGINE!A68="","",ENGINE!Y68)</f>
        <v/>
      </c>
      <c r="D73" s="43" t="str">
        <f>IF(ENGINE!A68="","",ENGINE!AC68)</f>
        <v/>
      </c>
      <c r="E73" s="43" t="str">
        <f>IF(ENGINE!A68="","",ENGINE!AD68)</f>
        <v/>
      </c>
      <c r="F73" s="43" t="str">
        <f>IF(ENGINE!A68="","",ENGINE!AG68)</f>
        <v/>
      </c>
      <c r="G73" s="43" t="str">
        <f>IF(ENGINE!A68="","",ENGINE!AH68)</f>
        <v/>
      </c>
      <c r="H73" s="43" t="str">
        <f>IF(ENGINE!A68="","",ENGINE!AI68)</f>
        <v/>
      </c>
      <c r="I73" s="43" t="str">
        <f>IF(ENGINE!A68="","",ENGINE!D68)</f>
        <v/>
      </c>
      <c r="J73" s="43" t="str">
        <f>IF(ENGINE!A68="","",ENGINE!AI68-ENGINE!D68)</f>
        <v/>
      </c>
      <c r="K73" s="7"/>
      <c r="L73" s="7"/>
      <c r="M73" s="7"/>
      <c r="N73" s="7"/>
      <c r="O73" s="7"/>
      <c r="P73" s="7"/>
    </row>
    <row r="74" spans="1:16" ht="14.25" x14ac:dyDescent="0.25">
      <c r="A74" s="7" t="str">
        <f>IF(ENGINE!A69="","",ENGINE!A69)</f>
        <v/>
      </c>
      <c r="B74" s="7" t="str">
        <f>IF(ENGINE!A69="","",ENGINE!B69)</f>
        <v/>
      </c>
      <c r="C74" s="43" t="str">
        <f>IF(ENGINE!A69="","",ENGINE!Y69)</f>
        <v/>
      </c>
      <c r="D74" s="43" t="str">
        <f>IF(ENGINE!A69="","",ENGINE!AC69)</f>
        <v/>
      </c>
      <c r="E74" s="43" t="str">
        <f>IF(ENGINE!A69="","",ENGINE!AD69)</f>
        <v/>
      </c>
      <c r="F74" s="43" t="str">
        <f>IF(ENGINE!A69="","",ENGINE!AG69)</f>
        <v/>
      </c>
      <c r="G74" s="43" t="str">
        <f>IF(ENGINE!A69="","",ENGINE!AH69)</f>
        <v/>
      </c>
      <c r="H74" s="43" t="str">
        <f>IF(ENGINE!A69="","",ENGINE!AI69)</f>
        <v/>
      </c>
      <c r="I74" s="43" t="str">
        <f>IF(ENGINE!A69="","",ENGINE!D69)</f>
        <v/>
      </c>
      <c r="J74" s="43" t="str">
        <f>IF(ENGINE!A69="","",ENGINE!AI69-ENGINE!D69)</f>
        <v/>
      </c>
      <c r="K74" s="7"/>
      <c r="L74" s="7"/>
      <c r="M74" s="7"/>
      <c r="N74" s="7"/>
      <c r="O74" s="7"/>
      <c r="P74" s="7"/>
    </row>
    <row r="75" spans="1:16" ht="14.25" x14ac:dyDescent="0.25">
      <c r="A75" s="7" t="str">
        <f>IF(ENGINE!A70="","",ENGINE!A70)</f>
        <v/>
      </c>
      <c r="B75" s="7" t="str">
        <f>IF(ENGINE!A70="","",ENGINE!B70)</f>
        <v/>
      </c>
      <c r="C75" s="43" t="str">
        <f>IF(ENGINE!A70="","",ENGINE!Y70)</f>
        <v/>
      </c>
      <c r="D75" s="43" t="str">
        <f>IF(ENGINE!A70="","",ENGINE!AC70)</f>
        <v/>
      </c>
      <c r="E75" s="43" t="str">
        <f>IF(ENGINE!A70="","",ENGINE!AD70)</f>
        <v/>
      </c>
      <c r="F75" s="43" t="str">
        <f>IF(ENGINE!A70="","",ENGINE!AG70)</f>
        <v/>
      </c>
      <c r="G75" s="43" t="str">
        <f>IF(ENGINE!A70="","",ENGINE!AH70)</f>
        <v/>
      </c>
      <c r="H75" s="43" t="str">
        <f>IF(ENGINE!A70="","",ENGINE!AI70)</f>
        <v/>
      </c>
      <c r="I75" s="43" t="str">
        <f>IF(ENGINE!A70="","",ENGINE!D70)</f>
        <v/>
      </c>
      <c r="J75" s="43" t="str">
        <f>IF(ENGINE!A70="","",ENGINE!AI70-ENGINE!D70)</f>
        <v/>
      </c>
      <c r="K75" s="7"/>
      <c r="L75" s="7"/>
      <c r="M75" s="7"/>
      <c r="N75" s="7"/>
      <c r="O75" s="7"/>
      <c r="P75" s="7"/>
    </row>
    <row r="76" spans="1:16" ht="14.25" x14ac:dyDescent="0.25">
      <c r="A76" s="7" t="str">
        <f>IF(ENGINE!A71="","",ENGINE!A71)</f>
        <v/>
      </c>
      <c r="B76" s="7" t="str">
        <f>IF(ENGINE!A71="","",ENGINE!B71)</f>
        <v/>
      </c>
      <c r="C76" s="43" t="str">
        <f>IF(ENGINE!A71="","",ENGINE!Y71)</f>
        <v/>
      </c>
      <c r="D76" s="43" t="str">
        <f>IF(ENGINE!A71="","",ENGINE!AC71)</f>
        <v/>
      </c>
      <c r="E76" s="43" t="str">
        <f>IF(ENGINE!A71="","",ENGINE!AD71)</f>
        <v/>
      </c>
      <c r="F76" s="43" t="str">
        <f>IF(ENGINE!A71="","",ENGINE!AG71)</f>
        <v/>
      </c>
      <c r="G76" s="43" t="str">
        <f>IF(ENGINE!A71="","",ENGINE!AH71)</f>
        <v/>
      </c>
      <c r="H76" s="43" t="str">
        <f>IF(ENGINE!A71="","",ENGINE!AI71)</f>
        <v/>
      </c>
      <c r="I76" s="43" t="str">
        <f>IF(ENGINE!A71="","",ENGINE!D71)</f>
        <v/>
      </c>
      <c r="J76" s="43" t="str">
        <f>IF(ENGINE!A71="","",ENGINE!AI71-ENGINE!D71)</f>
        <v/>
      </c>
      <c r="K76" s="7"/>
      <c r="L76" s="7"/>
      <c r="M76" s="7"/>
      <c r="N76" s="7"/>
      <c r="O76" s="7"/>
      <c r="P76" s="7"/>
    </row>
    <row r="77" spans="1:16" ht="14.25" x14ac:dyDescent="0.25">
      <c r="A77" s="7" t="str">
        <f>IF(ENGINE!A72="","",ENGINE!A72)</f>
        <v/>
      </c>
      <c r="B77" s="7" t="str">
        <f>IF(ENGINE!A72="","",ENGINE!B72)</f>
        <v/>
      </c>
      <c r="C77" s="43" t="str">
        <f>IF(ENGINE!A72="","",ENGINE!Y72)</f>
        <v/>
      </c>
      <c r="D77" s="43" t="str">
        <f>IF(ENGINE!A72="","",ENGINE!AC72)</f>
        <v/>
      </c>
      <c r="E77" s="43" t="str">
        <f>IF(ENGINE!A72="","",ENGINE!AD72)</f>
        <v/>
      </c>
      <c r="F77" s="43" t="str">
        <f>IF(ENGINE!A72="","",ENGINE!AG72)</f>
        <v/>
      </c>
      <c r="G77" s="43" t="str">
        <f>IF(ENGINE!A72="","",ENGINE!AH72)</f>
        <v/>
      </c>
      <c r="H77" s="43" t="str">
        <f>IF(ENGINE!A72="","",ENGINE!AI72)</f>
        <v/>
      </c>
      <c r="I77" s="43" t="str">
        <f>IF(ENGINE!A72="","",ENGINE!D72)</f>
        <v/>
      </c>
      <c r="J77" s="43" t="str">
        <f>IF(ENGINE!A72="","",ENGINE!AI72-ENGINE!D72)</f>
        <v/>
      </c>
      <c r="K77" s="7"/>
      <c r="L77" s="7"/>
      <c r="M77" s="7"/>
      <c r="N77" s="7"/>
      <c r="O77" s="7"/>
      <c r="P77" s="7"/>
    </row>
    <row r="78" spans="1:16" ht="14.25" x14ac:dyDescent="0.25">
      <c r="A78" s="7" t="str">
        <f>IF(ENGINE!A73="","",ENGINE!A73)</f>
        <v/>
      </c>
      <c r="B78" s="7" t="str">
        <f>IF(ENGINE!A73="","",ENGINE!B73)</f>
        <v/>
      </c>
      <c r="C78" s="43" t="str">
        <f>IF(ENGINE!A73="","",ENGINE!Y73)</f>
        <v/>
      </c>
      <c r="D78" s="43" t="str">
        <f>IF(ENGINE!A73="","",ENGINE!AC73)</f>
        <v/>
      </c>
      <c r="E78" s="43" t="str">
        <f>IF(ENGINE!A73="","",ENGINE!AD73)</f>
        <v/>
      </c>
      <c r="F78" s="43" t="str">
        <f>IF(ENGINE!A73="","",ENGINE!AG73)</f>
        <v/>
      </c>
      <c r="G78" s="43" t="str">
        <f>IF(ENGINE!A73="","",ENGINE!AH73)</f>
        <v/>
      </c>
      <c r="H78" s="43" t="str">
        <f>IF(ENGINE!A73="","",ENGINE!AI73)</f>
        <v/>
      </c>
      <c r="I78" s="43" t="str">
        <f>IF(ENGINE!A73="","",ENGINE!D73)</f>
        <v/>
      </c>
      <c r="J78" s="43" t="str">
        <f>IF(ENGINE!A73="","",ENGINE!AI73-ENGINE!D73)</f>
        <v/>
      </c>
      <c r="K78" s="7"/>
      <c r="L78" s="7"/>
      <c r="M78" s="7"/>
      <c r="N78" s="7"/>
      <c r="O78" s="7"/>
      <c r="P78" s="7"/>
    </row>
    <row r="79" spans="1:16" ht="14.25" x14ac:dyDescent="0.25">
      <c r="A79" s="7" t="str">
        <f>IF(ENGINE!A74="","",ENGINE!A74)</f>
        <v/>
      </c>
      <c r="B79" s="7" t="str">
        <f>IF(ENGINE!A74="","",ENGINE!B74)</f>
        <v/>
      </c>
      <c r="C79" s="43" t="str">
        <f>IF(ENGINE!A74="","",ENGINE!Y74)</f>
        <v/>
      </c>
      <c r="D79" s="43" t="str">
        <f>IF(ENGINE!A74="","",ENGINE!AC74)</f>
        <v/>
      </c>
      <c r="E79" s="43" t="str">
        <f>IF(ENGINE!A74="","",ENGINE!AD74)</f>
        <v/>
      </c>
      <c r="F79" s="43" t="str">
        <f>IF(ENGINE!A74="","",ENGINE!AG74)</f>
        <v/>
      </c>
      <c r="G79" s="43" t="str">
        <f>IF(ENGINE!A74="","",ENGINE!AH74)</f>
        <v/>
      </c>
      <c r="H79" s="43" t="str">
        <f>IF(ENGINE!A74="","",ENGINE!AI74)</f>
        <v/>
      </c>
      <c r="I79" s="43" t="str">
        <f>IF(ENGINE!A74="","",ENGINE!D74)</f>
        <v/>
      </c>
      <c r="J79" s="43" t="str">
        <f>IF(ENGINE!A74="","",ENGINE!AI74-ENGINE!D74)</f>
        <v/>
      </c>
      <c r="K79" s="7"/>
      <c r="L79" s="7"/>
      <c r="M79" s="7"/>
      <c r="N79" s="7"/>
      <c r="O79" s="7"/>
      <c r="P79" s="7"/>
    </row>
    <row r="80" spans="1:16" ht="14.25" x14ac:dyDescent="0.25">
      <c r="A80" s="7" t="str">
        <f>IF(ENGINE!A75="","",ENGINE!A75)</f>
        <v/>
      </c>
      <c r="B80" s="7" t="str">
        <f>IF(ENGINE!A75="","",ENGINE!B75)</f>
        <v/>
      </c>
      <c r="C80" s="43" t="str">
        <f>IF(ENGINE!A75="","",ENGINE!Y75)</f>
        <v/>
      </c>
      <c r="D80" s="43" t="str">
        <f>IF(ENGINE!A75="","",ENGINE!AC75)</f>
        <v/>
      </c>
      <c r="E80" s="43" t="str">
        <f>IF(ENGINE!A75="","",ENGINE!AD75)</f>
        <v/>
      </c>
      <c r="F80" s="43" t="str">
        <f>IF(ENGINE!A75="","",ENGINE!AG75)</f>
        <v/>
      </c>
      <c r="G80" s="43" t="str">
        <f>IF(ENGINE!A75="","",ENGINE!AH75)</f>
        <v/>
      </c>
      <c r="H80" s="43" t="str">
        <f>IF(ENGINE!A75="","",ENGINE!AI75)</f>
        <v/>
      </c>
      <c r="I80" s="43" t="str">
        <f>IF(ENGINE!A75="","",ENGINE!D75)</f>
        <v/>
      </c>
      <c r="J80" s="43" t="str">
        <f>IF(ENGINE!A75="","",ENGINE!AI75-ENGINE!D75)</f>
        <v/>
      </c>
      <c r="K80" s="7"/>
      <c r="L80" s="7"/>
      <c r="M80" s="7"/>
      <c r="N80" s="7"/>
      <c r="O80" s="7"/>
      <c r="P80" s="7"/>
    </row>
    <row r="81" spans="1:16" ht="14.25" x14ac:dyDescent="0.25">
      <c r="A81" s="7" t="str">
        <f>IF(ENGINE!A76="","",ENGINE!A76)</f>
        <v/>
      </c>
      <c r="B81" s="7" t="str">
        <f>IF(ENGINE!A76="","",ENGINE!B76)</f>
        <v/>
      </c>
      <c r="C81" s="43" t="str">
        <f>IF(ENGINE!A76="","",ENGINE!Y76)</f>
        <v/>
      </c>
      <c r="D81" s="43" t="str">
        <f>IF(ENGINE!A76="","",ENGINE!AC76)</f>
        <v/>
      </c>
      <c r="E81" s="43" t="str">
        <f>IF(ENGINE!A76="","",ENGINE!AD76)</f>
        <v/>
      </c>
      <c r="F81" s="43" t="str">
        <f>IF(ENGINE!A76="","",ENGINE!AG76)</f>
        <v/>
      </c>
      <c r="G81" s="43" t="str">
        <f>IF(ENGINE!A76="","",ENGINE!AH76)</f>
        <v/>
      </c>
      <c r="H81" s="43" t="str">
        <f>IF(ENGINE!A76="","",ENGINE!AI76)</f>
        <v/>
      </c>
      <c r="I81" s="43" t="str">
        <f>IF(ENGINE!A76="","",ENGINE!D76)</f>
        <v/>
      </c>
      <c r="J81" s="43" t="str">
        <f>IF(ENGINE!A76="","",ENGINE!AI76-ENGINE!D76)</f>
        <v/>
      </c>
      <c r="K81" s="7"/>
      <c r="L81" s="7"/>
      <c r="M81" s="7"/>
      <c r="N81" s="7"/>
      <c r="O81" s="7"/>
      <c r="P81" s="7"/>
    </row>
    <row r="82" spans="1:16" ht="14.25" x14ac:dyDescent="0.25">
      <c r="A82" s="7" t="str">
        <f>IF(ENGINE!A77="","",ENGINE!A77)</f>
        <v/>
      </c>
      <c r="B82" s="7" t="str">
        <f>IF(ENGINE!A77="","",ENGINE!B77)</f>
        <v/>
      </c>
      <c r="C82" s="43" t="str">
        <f>IF(ENGINE!A77="","",ENGINE!Y77)</f>
        <v/>
      </c>
      <c r="D82" s="43" t="str">
        <f>IF(ENGINE!A77="","",ENGINE!AC77)</f>
        <v/>
      </c>
      <c r="E82" s="43" t="str">
        <f>IF(ENGINE!A77="","",ENGINE!AD77)</f>
        <v/>
      </c>
      <c r="F82" s="43" t="str">
        <f>IF(ENGINE!A77="","",ENGINE!AG77)</f>
        <v/>
      </c>
      <c r="G82" s="43" t="str">
        <f>IF(ENGINE!A77="","",ENGINE!AH77)</f>
        <v/>
      </c>
      <c r="H82" s="43" t="str">
        <f>IF(ENGINE!A77="","",ENGINE!AI77)</f>
        <v/>
      </c>
      <c r="I82" s="43" t="str">
        <f>IF(ENGINE!A77="","",ENGINE!D77)</f>
        <v/>
      </c>
      <c r="J82" s="43" t="str">
        <f>IF(ENGINE!A77="","",ENGINE!AI77-ENGINE!D77)</f>
        <v/>
      </c>
      <c r="K82" s="7"/>
      <c r="L82" s="7"/>
      <c r="M82" s="7"/>
      <c r="N82" s="7"/>
      <c r="O82" s="7"/>
      <c r="P82" s="7"/>
    </row>
    <row r="83" spans="1:16" ht="14.25" x14ac:dyDescent="0.25">
      <c r="A83" s="7" t="str">
        <f>IF(ENGINE!A78="","",ENGINE!A78)</f>
        <v/>
      </c>
      <c r="B83" s="7" t="str">
        <f>IF(ENGINE!A78="","",ENGINE!B78)</f>
        <v/>
      </c>
      <c r="C83" s="43" t="str">
        <f>IF(ENGINE!A78="","",ENGINE!Y78)</f>
        <v/>
      </c>
      <c r="D83" s="43" t="str">
        <f>IF(ENGINE!A78="","",ENGINE!AC78)</f>
        <v/>
      </c>
      <c r="E83" s="43" t="str">
        <f>IF(ENGINE!A78="","",ENGINE!AD78)</f>
        <v/>
      </c>
      <c r="F83" s="43" t="str">
        <f>IF(ENGINE!A78="","",ENGINE!AG78)</f>
        <v/>
      </c>
      <c r="G83" s="43" t="str">
        <f>IF(ENGINE!A78="","",ENGINE!AH78)</f>
        <v/>
      </c>
      <c r="H83" s="43" t="str">
        <f>IF(ENGINE!A78="","",ENGINE!AI78)</f>
        <v/>
      </c>
      <c r="I83" s="43" t="str">
        <f>IF(ENGINE!A78="","",ENGINE!D78)</f>
        <v/>
      </c>
      <c r="J83" s="43" t="str">
        <f>IF(ENGINE!A78="","",ENGINE!AI78-ENGINE!D78)</f>
        <v/>
      </c>
      <c r="K83" s="7"/>
      <c r="L83" s="7"/>
      <c r="M83" s="7"/>
      <c r="N83" s="7"/>
      <c r="O83" s="7"/>
      <c r="P83" s="7"/>
    </row>
    <row r="84" spans="1:16" ht="14.25" x14ac:dyDescent="0.25">
      <c r="A84" s="7" t="str">
        <f>IF(ENGINE!A79="","",ENGINE!A79)</f>
        <v/>
      </c>
      <c r="B84" s="7" t="str">
        <f>IF(ENGINE!A79="","",ENGINE!B79)</f>
        <v/>
      </c>
      <c r="C84" s="43" t="str">
        <f>IF(ENGINE!A79="","",ENGINE!Y79)</f>
        <v/>
      </c>
      <c r="D84" s="43" t="str">
        <f>IF(ENGINE!A79="","",ENGINE!AC79)</f>
        <v/>
      </c>
      <c r="E84" s="43" t="str">
        <f>IF(ENGINE!A79="","",ENGINE!AD79)</f>
        <v/>
      </c>
      <c r="F84" s="43" t="str">
        <f>IF(ENGINE!A79="","",ENGINE!AG79)</f>
        <v/>
      </c>
      <c r="G84" s="43" t="str">
        <f>IF(ENGINE!A79="","",ENGINE!AH79)</f>
        <v/>
      </c>
      <c r="H84" s="43" t="str">
        <f>IF(ENGINE!A79="","",ENGINE!AI79)</f>
        <v/>
      </c>
      <c r="I84" s="43" t="str">
        <f>IF(ENGINE!A79="","",ENGINE!D79)</f>
        <v/>
      </c>
      <c r="J84" s="43" t="str">
        <f>IF(ENGINE!A79="","",ENGINE!AI79-ENGINE!D79)</f>
        <v/>
      </c>
      <c r="K84" s="7"/>
      <c r="L84" s="7"/>
      <c r="M84" s="7"/>
      <c r="N84" s="7"/>
      <c r="O84" s="7"/>
      <c r="P84" s="7"/>
    </row>
    <row r="85" spans="1:16" ht="14.25" x14ac:dyDescent="0.25">
      <c r="A85" s="7" t="str">
        <f>IF(ENGINE!A80="","",ENGINE!A80)</f>
        <v/>
      </c>
      <c r="B85" s="7" t="str">
        <f>IF(ENGINE!A80="","",ENGINE!B80)</f>
        <v/>
      </c>
      <c r="C85" s="43" t="str">
        <f>IF(ENGINE!A80="","",ENGINE!Y80)</f>
        <v/>
      </c>
      <c r="D85" s="43" t="str">
        <f>IF(ENGINE!A80="","",ENGINE!AC80)</f>
        <v/>
      </c>
      <c r="E85" s="43" t="str">
        <f>IF(ENGINE!A80="","",ENGINE!AD80)</f>
        <v/>
      </c>
      <c r="F85" s="43" t="str">
        <f>IF(ENGINE!A80="","",ENGINE!AG80)</f>
        <v/>
      </c>
      <c r="G85" s="43" t="str">
        <f>IF(ENGINE!A80="","",ENGINE!AH80)</f>
        <v/>
      </c>
      <c r="H85" s="43" t="str">
        <f>IF(ENGINE!A80="","",ENGINE!AI80)</f>
        <v/>
      </c>
      <c r="I85" s="43" t="str">
        <f>IF(ENGINE!A80="","",ENGINE!D80)</f>
        <v/>
      </c>
      <c r="J85" s="43" t="str">
        <f>IF(ENGINE!A80="","",ENGINE!AI80-ENGINE!D80)</f>
        <v/>
      </c>
      <c r="K85" s="7"/>
      <c r="L85" s="7"/>
      <c r="M85" s="7"/>
      <c r="N85" s="7"/>
      <c r="O85" s="7"/>
      <c r="P85" s="7"/>
    </row>
    <row r="86" spans="1:16" ht="14.25" x14ac:dyDescent="0.25">
      <c r="A86" s="7" t="str">
        <f>IF(ENGINE!A81="","",ENGINE!A81)</f>
        <v/>
      </c>
      <c r="B86" s="7" t="str">
        <f>IF(ENGINE!A81="","",ENGINE!B81)</f>
        <v/>
      </c>
      <c r="C86" s="43" t="str">
        <f>IF(ENGINE!A81="","",ENGINE!Y81)</f>
        <v/>
      </c>
      <c r="D86" s="43" t="str">
        <f>IF(ENGINE!A81="","",ENGINE!AC81)</f>
        <v/>
      </c>
      <c r="E86" s="43" t="str">
        <f>IF(ENGINE!A81="","",ENGINE!AD81)</f>
        <v/>
      </c>
      <c r="F86" s="43" t="str">
        <f>IF(ENGINE!A81="","",ENGINE!AG81)</f>
        <v/>
      </c>
      <c r="G86" s="43" t="str">
        <f>IF(ENGINE!A81="","",ENGINE!AH81)</f>
        <v/>
      </c>
      <c r="H86" s="43" t="str">
        <f>IF(ENGINE!A81="","",ENGINE!AI81)</f>
        <v/>
      </c>
      <c r="I86" s="43" t="str">
        <f>IF(ENGINE!A81="","",ENGINE!D81)</f>
        <v/>
      </c>
      <c r="J86" s="43" t="str">
        <f>IF(ENGINE!A81="","",ENGINE!AI81-ENGINE!D81)</f>
        <v/>
      </c>
      <c r="K86" s="7"/>
      <c r="L86" s="7"/>
      <c r="M86" s="7"/>
      <c r="N86" s="7"/>
      <c r="O86" s="7"/>
      <c r="P86" s="7"/>
    </row>
    <row r="87" spans="1:16" ht="14.25" x14ac:dyDescent="0.25">
      <c r="A87" s="7" t="str">
        <f>IF(ENGINE!A82="","",ENGINE!A82)</f>
        <v/>
      </c>
      <c r="B87" s="7" t="str">
        <f>IF(ENGINE!A82="","",ENGINE!B82)</f>
        <v/>
      </c>
      <c r="C87" s="43" t="str">
        <f>IF(ENGINE!A82="","",ENGINE!Y82)</f>
        <v/>
      </c>
      <c r="D87" s="43" t="str">
        <f>IF(ENGINE!A82="","",ENGINE!AC82)</f>
        <v/>
      </c>
      <c r="E87" s="43" t="str">
        <f>IF(ENGINE!A82="","",ENGINE!AD82)</f>
        <v/>
      </c>
      <c r="F87" s="43" t="str">
        <f>IF(ENGINE!A82="","",ENGINE!AG82)</f>
        <v/>
      </c>
      <c r="G87" s="43" t="str">
        <f>IF(ENGINE!A82="","",ENGINE!AH82)</f>
        <v/>
      </c>
      <c r="H87" s="43" t="str">
        <f>IF(ENGINE!A82="","",ENGINE!AI82)</f>
        <v/>
      </c>
      <c r="I87" s="43" t="str">
        <f>IF(ENGINE!A82="","",ENGINE!D82)</f>
        <v/>
      </c>
      <c r="J87" s="43" t="str">
        <f>IF(ENGINE!A82="","",ENGINE!AI82-ENGINE!D82)</f>
        <v/>
      </c>
      <c r="K87" s="7"/>
      <c r="L87" s="7"/>
      <c r="M87" s="7"/>
      <c r="N87" s="7"/>
      <c r="O87" s="7"/>
      <c r="P87" s="7"/>
    </row>
    <row r="88" spans="1:16" ht="14.25" x14ac:dyDescent="0.25">
      <c r="A88" s="7" t="str">
        <f>IF(ENGINE!A83="","",ENGINE!A83)</f>
        <v/>
      </c>
      <c r="B88" s="7" t="str">
        <f>IF(ENGINE!A83="","",ENGINE!B83)</f>
        <v/>
      </c>
      <c r="C88" s="43" t="str">
        <f>IF(ENGINE!A83="","",ENGINE!Y83)</f>
        <v/>
      </c>
      <c r="D88" s="43" t="str">
        <f>IF(ENGINE!A83="","",ENGINE!AC83)</f>
        <v/>
      </c>
      <c r="E88" s="43" t="str">
        <f>IF(ENGINE!A83="","",ENGINE!AD83)</f>
        <v/>
      </c>
      <c r="F88" s="43" t="str">
        <f>IF(ENGINE!A83="","",ENGINE!AG83)</f>
        <v/>
      </c>
      <c r="G88" s="43" t="str">
        <f>IF(ENGINE!A83="","",ENGINE!AH83)</f>
        <v/>
      </c>
      <c r="H88" s="43" t="str">
        <f>IF(ENGINE!A83="","",ENGINE!AI83)</f>
        <v/>
      </c>
      <c r="I88" s="43" t="str">
        <f>IF(ENGINE!A83="","",ENGINE!D83)</f>
        <v/>
      </c>
      <c r="J88" s="43" t="str">
        <f>IF(ENGINE!A83="","",ENGINE!AI83-ENGINE!D83)</f>
        <v/>
      </c>
      <c r="K88" s="7"/>
      <c r="L88" s="7"/>
      <c r="M88" s="7"/>
      <c r="N88" s="7"/>
      <c r="O88" s="7"/>
      <c r="P88" s="7"/>
    </row>
    <row r="89" spans="1:16" ht="14.25" x14ac:dyDescent="0.25">
      <c r="A89" s="7" t="str">
        <f>IF(ENGINE!A84="","",ENGINE!A84)</f>
        <v/>
      </c>
      <c r="B89" s="7" t="str">
        <f>IF(ENGINE!A84="","",ENGINE!B84)</f>
        <v/>
      </c>
      <c r="C89" s="43" t="str">
        <f>IF(ENGINE!A84="","",ENGINE!Y84)</f>
        <v/>
      </c>
      <c r="D89" s="43" t="str">
        <f>IF(ENGINE!A84="","",ENGINE!AC84)</f>
        <v/>
      </c>
      <c r="E89" s="43" t="str">
        <f>IF(ENGINE!A84="","",ENGINE!AD84)</f>
        <v/>
      </c>
      <c r="F89" s="43" t="str">
        <f>IF(ENGINE!A84="","",ENGINE!AG84)</f>
        <v/>
      </c>
      <c r="G89" s="43" t="str">
        <f>IF(ENGINE!A84="","",ENGINE!AH84)</f>
        <v/>
      </c>
      <c r="H89" s="43" t="str">
        <f>IF(ENGINE!A84="","",ENGINE!AI84)</f>
        <v/>
      </c>
      <c r="I89" s="43" t="str">
        <f>IF(ENGINE!A84="","",ENGINE!D84)</f>
        <v/>
      </c>
      <c r="J89" s="43" t="str">
        <f>IF(ENGINE!A84="","",ENGINE!AI84-ENGINE!D84)</f>
        <v/>
      </c>
      <c r="K89" s="7"/>
      <c r="L89" s="7"/>
      <c r="M89" s="7"/>
      <c r="N89" s="7"/>
      <c r="O89" s="7"/>
      <c r="P89" s="7"/>
    </row>
    <row r="90" spans="1:16" ht="14.25" x14ac:dyDescent="0.25">
      <c r="A90" s="7" t="str">
        <f>IF(ENGINE!A85="","",ENGINE!A85)</f>
        <v/>
      </c>
      <c r="B90" s="7" t="str">
        <f>IF(ENGINE!A85="","",ENGINE!B85)</f>
        <v/>
      </c>
      <c r="C90" s="43" t="str">
        <f>IF(ENGINE!A85="","",ENGINE!Y85)</f>
        <v/>
      </c>
      <c r="D90" s="43" t="str">
        <f>IF(ENGINE!A85="","",ENGINE!AC85)</f>
        <v/>
      </c>
      <c r="E90" s="43" t="str">
        <f>IF(ENGINE!A85="","",ENGINE!AD85)</f>
        <v/>
      </c>
      <c r="F90" s="43" t="str">
        <f>IF(ENGINE!A85="","",ENGINE!AG85)</f>
        <v/>
      </c>
      <c r="G90" s="43" t="str">
        <f>IF(ENGINE!A85="","",ENGINE!AH85)</f>
        <v/>
      </c>
      <c r="H90" s="43" t="str">
        <f>IF(ENGINE!A85="","",ENGINE!AI85)</f>
        <v/>
      </c>
      <c r="I90" s="43" t="str">
        <f>IF(ENGINE!A85="","",ENGINE!D85)</f>
        <v/>
      </c>
      <c r="J90" s="43" t="str">
        <f>IF(ENGINE!A85="","",ENGINE!AI85-ENGINE!D85)</f>
        <v/>
      </c>
      <c r="K90" s="7"/>
      <c r="L90" s="7"/>
      <c r="M90" s="7"/>
      <c r="N90" s="7"/>
      <c r="O90" s="7"/>
      <c r="P90" s="7"/>
    </row>
    <row r="91" spans="1:16" ht="14.25" x14ac:dyDescent="0.25">
      <c r="A91" s="7" t="str">
        <f>IF(ENGINE!A86="","",ENGINE!A86)</f>
        <v/>
      </c>
      <c r="B91" s="7" t="str">
        <f>IF(ENGINE!A86="","",ENGINE!B86)</f>
        <v/>
      </c>
      <c r="C91" s="43" t="str">
        <f>IF(ENGINE!A86="","",ENGINE!Y86)</f>
        <v/>
      </c>
      <c r="D91" s="43" t="str">
        <f>IF(ENGINE!A86="","",ENGINE!AC86)</f>
        <v/>
      </c>
      <c r="E91" s="43" t="str">
        <f>IF(ENGINE!A86="","",ENGINE!AD86)</f>
        <v/>
      </c>
      <c r="F91" s="43" t="str">
        <f>IF(ENGINE!A86="","",ENGINE!AG86)</f>
        <v/>
      </c>
      <c r="G91" s="43" t="str">
        <f>IF(ENGINE!A86="","",ENGINE!AH86)</f>
        <v/>
      </c>
      <c r="H91" s="43" t="str">
        <f>IF(ENGINE!A86="","",ENGINE!AI86)</f>
        <v/>
      </c>
      <c r="I91" s="43" t="str">
        <f>IF(ENGINE!A86="","",ENGINE!D86)</f>
        <v/>
      </c>
      <c r="J91" s="43" t="str">
        <f>IF(ENGINE!A86="","",ENGINE!AI86-ENGINE!D86)</f>
        <v/>
      </c>
      <c r="K91" s="7"/>
      <c r="L91" s="7"/>
      <c r="M91" s="7"/>
      <c r="N91" s="7"/>
      <c r="O91" s="7"/>
      <c r="P91" s="7"/>
    </row>
    <row r="92" spans="1:16" ht="14.25" x14ac:dyDescent="0.25">
      <c r="A92" s="7" t="str">
        <f>IF(ENGINE!A87="","",ENGINE!A87)</f>
        <v/>
      </c>
      <c r="B92" s="7" t="str">
        <f>IF(ENGINE!A87="","",ENGINE!B87)</f>
        <v/>
      </c>
      <c r="C92" s="43" t="str">
        <f>IF(ENGINE!A87="","",ENGINE!Y87)</f>
        <v/>
      </c>
      <c r="D92" s="43" t="str">
        <f>IF(ENGINE!A87="","",ENGINE!AC87)</f>
        <v/>
      </c>
      <c r="E92" s="43" t="str">
        <f>IF(ENGINE!A87="","",ENGINE!AD87)</f>
        <v/>
      </c>
      <c r="F92" s="43" t="str">
        <f>IF(ENGINE!A87="","",ENGINE!AG87)</f>
        <v/>
      </c>
      <c r="G92" s="43" t="str">
        <f>IF(ENGINE!A87="","",ENGINE!AH87)</f>
        <v/>
      </c>
      <c r="H92" s="43" t="str">
        <f>IF(ENGINE!A87="","",ENGINE!AI87)</f>
        <v/>
      </c>
      <c r="I92" s="43" t="str">
        <f>IF(ENGINE!A87="","",ENGINE!D87)</f>
        <v/>
      </c>
      <c r="J92" s="43" t="str">
        <f>IF(ENGINE!A87="","",ENGINE!AI87-ENGINE!D87)</f>
        <v/>
      </c>
      <c r="K92" s="7"/>
      <c r="L92" s="7"/>
      <c r="M92" s="7"/>
      <c r="N92" s="7"/>
      <c r="O92" s="7"/>
      <c r="P92" s="7"/>
    </row>
    <row r="93" spans="1:16" ht="14.25" x14ac:dyDescent="0.25">
      <c r="A93" s="7" t="str">
        <f>IF(ENGINE!A88="","",ENGINE!A88)</f>
        <v/>
      </c>
      <c r="B93" s="7" t="str">
        <f>IF(ENGINE!A88="","",ENGINE!B88)</f>
        <v/>
      </c>
      <c r="C93" s="43" t="str">
        <f>IF(ENGINE!A88="","",ENGINE!Y88)</f>
        <v/>
      </c>
      <c r="D93" s="43" t="str">
        <f>IF(ENGINE!A88="","",ENGINE!AC88)</f>
        <v/>
      </c>
      <c r="E93" s="43" t="str">
        <f>IF(ENGINE!A88="","",ENGINE!AD88)</f>
        <v/>
      </c>
      <c r="F93" s="43" t="str">
        <f>IF(ENGINE!A88="","",ENGINE!AG88)</f>
        <v/>
      </c>
      <c r="G93" s="43" t="str">
        <f>IF(ENGINE!A88="","",ENGINE!AH88)</f>
        <v/>
      </c>
      <c r="H93" s="43" t="str">
        <f>IF(ENGINE!A88="","",ENGINE!AI88)</f>
        <v/>
      </c>
      <c r="I93" s="43" t="str">
        <f>IF(ENGINE!A88="","",ENGINE!D88)</f>
        <v/>
      </c>
      <c r="J93" s="43" t="str">
        <f>IF(ENGINE!A88="","",ENGINE!AI88-ENGINE!D88)</f>
        <v/>
      </c>
      <c r="K93" s="7"/>
      <c r="L93" s="7"/>
      <c r="M93" s="7"/>
      <c r="N93" s="7"/>
      <c r="O93" s="7"/>
      <c r="P93" s="7"/>
    </row>
    <row r="94" spans="1:16" ht="14.25" x14ac:dyDescent="0.25">
      <c r="A94" s="7" t="str">
        <f>IF(ENGINE!A89="","",ENGINE!A89)</f>
        <v/>
      </c>
      <c r="B94" s="7" t="str">
        <f>IF(ENGINE!A89="","",ENGINE!B89)</f>
        <v/>
      </c>
      <c r="C94" s="43" t="str">
        <f>IF(ENGINE!A89="","",ENGINE!Y89)</f>
        <v/>
      </c>
      <c r="D94" s="43" t="str">
        <f>IF(ENGINE!A89="","",ENGINE!AC89)</f>
        <v/>
      </c>
      <c r="E94" s="43" t="str">
        <f>IF(ENGINE!A89="","",ENGINE!AD89)</f>
        <v/>
      </c>
      <c r="F94" s="43" t="str">
        <f>IF(ENGINE!A89="","",ENGINE!AG89)</f>
        <v/>
      </c>
      <c r="G94" s="43" t="str">
        <f>IF(ENGINE!A89="","",ENGINE!AH89)</f>
        <v/>
      </c>
      <c r="H94" s="43" t="str">
        <f>IF(ENGINE!A89="","",ENGINE!AI89)</f>
        <v/>
      </c>
      <c r="I94" s="43" t="str">
        <f>IF(ENGINE!A89="","",ENGINE!D89)</f>
        <v/>
      </c>
      <c r="J94" s="43" t="str">
        <f>IF(ENGINE!A89="","",ENGINE!AI89-ENGINE!D89)</f>
        <v/>
      </c>
      <c r="K94" s="7"/>
      <c r="L94" s="7"/>
      <c r="M94" s="7"/>
      <c r="N94" s="7"/>
      <c r="O94" s="7"/>
      <c r="P94" s="7"/>
    </row>
    <row r="95" spans="1:16" ht="14.25" x14ac:dyDescent="0.25">
      <c r="A95" s="7" t="str">
        <f>IF(ENGINE!A90="","",ENGINE!A90)</f>
        <v/>
      </c>
      <c r="B95" s="7" t="str">
        <f>IF(ENGINE!A90="","",ENGINE!B90)</f>
        <v/>
      </c>
      <c r="C95" s="43" t="str">
        <f>IF(ENGINE!A90="","",ENGINE!Y90)</f>
        <v/>
      </c>
      <c r="D95" s="43" t="str">
        <f>IF(ENGINE!A90="","",ENGINE!AC90)</f>
        <v/>
      </c>
      <c r="E95" s="43" t="str">
        <f>IF(ENGINE!A90="","",ENGINE!AD90)</f>
        <v/>
      </c>
      <c r="F95" s="43" t="str">
        <f>IF(ENGINE!A90="","",ENGINE!AG90)</f>
        <v/>
      </c>
      <c r="G95" s="43" t="str">
        <f>IF(ENGINE!A90="","",ENGINE!AH90)</f>
        <v/>
      </c>
      <c r="H95" s="43" t="str">
        <f>IF(ENGINE!A90="","",ENGINE!AI90)</f>
        <v/>
      </c>
      <c r="I95" s="43" t="str">
        <f>IF(ENGINE!A90="","",ENGINE!D90)</f>
        <v/>
      </c>
      <c r="J95" s="43" t="str">
        <f>IF(ENGINE!A90="","",ENGINE!AI90-ENGINE!D90)</f>
        <v/>
      </c>
      <c r="K95" s="7"/>
      <c r="L95" s="7"/>
      <c r="M95" s="7"/>
      <c r="N95" s="7"/>
      <c r="O95" s="7"/>
      <c r="P95" s="7"/>
    </row>
    <row r="96" spans="1:16" ht="14.25" x14ac:dyDescent="0.25">
      <c r="A96" s="7" t="str">
        <f>IF(ENGINE!A91="","",ENGINE!A91)</f>
        <v/>
      </c>
      <c r="B96" s="7" t="str">
        <f>IF(ENGINE!A91="","",ENGINE!B91)</f>
        <v/>
      </c>
      <c r="C96" s="43" t="str">
        <f>IF(ENGINE!A91="","",ENGINE!Y91)</f>
        <v/>
      </c>
      <c r="D96" s="43" t="str">
        <f>IF(ENGINE!A91="","",ENGINE!AC91)</f>
        <v/>
      </c>
      <c r="E96" s="43" t="str">
        <f>IF(ENGINE!A91="","",ENGINE!AD91)</f>
        <v/>
      </c>
      <c r="F96" s="43" t="str">
        <f>IF(ENGINE!A91="","",ENGINE!AG91)</f>
        <v/>
      </c>
      <c r="G96" s="43" t="str">
        <f>IF(ENGINE!A91="","",ENGINE!AH91)</f>
        <v/>
      </c>
      <c r="H96" s="43" t="str">
        <f>IF(ENGINE!A91="","",ENGINE!AI91)</f>
        <v/>
      </c>
      <c r="I96" s="43" t="str">
        <f>IF(ENGINE!A91="","",ENGINE!D91)</f>
        <v/>
      </c>
      <c r="J96" s="43" t="str">
        <f>IF(ENGINE!A91="","",ENGINE!AI91-ENGINE!D91)</f>
        <v/>
      </c>
      <c r="K96" s="7"/>
      <c r="L96" s="7"/>
      <c r="M96" s="7"/>
      <c r="N96" s="7"/>
      <c r="O96" s="7"/>
      <c r="P96" s="7"/>
    </row>
    <row r="97" spans="1:16" ht="14.25" x14ac:dyDescent="0.25">
      <c r="A97" s="7" t="str">
        <f>IF(ENGINE!A92="","",ENGINE!A92)</f>
        <v/>
      </c>
      <c r="B97" s="7" t="str">
        <f>IF(ENGINE!A92="","",ENGINE!B92)</f>
        <v/>
      </c>
      <c r="C97" s="43" t="str">
        <f>IF(ENGINE!A92="","",ENGINE!Y92)</f>
        <v/>
      </c>
      <c r="D97" s="43" t="str">
        <f>IF(ENGINE!A92="","",ENGINE!AC92)</f>
        <v/>
      </c>
      <c r="E97" s="43" t="str">
        <f>IF(ENGINE!A92="","",ENGINE!AD92)</f>
        <v/>
      </c>
      <c r="F97" s="43" t="str">
        <f>IF(ENGINE!A92="","",ENGINE!AG92)</f>
        <v/>
      </c>
      <c r="G97" s="43" t="str">
        <f>IF(ENGINE!A92="","",ENGINE!AH92)</f>
        <v/>
      </c>
      <c r="H97" s="43" t="str">
        <f>IF(ENGINE!A92="","",ENGINE!AI92)</f>
        <v/>
      </c>
      <c r="I97" s="43" t="str">
        <f>IF(ENGINE!A92="","",ENGINE!D92)</f>
        <v/>
      </c>
      <c r="J97" s="43" t="str">
        <f>IF(ENGINE!A92="","",ENGINE!AI92-ENGINE!D92)</f>
        <v/>
      </c>
      <c r="K97" s="7"/>
      <c r="L97" s="7"/>
      <c r="M97" s="7"/>
      <c r="N97" s="7"/>
      <c r="O97" s="7"/>
      <c r="P97" s="7"/>
    </row>
    <row r="98" spans="1:16" ht="14.25" x14ac:dyDescent="0.25">
      <c r="A98" s="7" t="str">
        <f>IF(ENGINE!A93="","",ENGINE!A93)</f>
        <v/>
      </c>
      <c r="B98" s="7" t="str">
        <f>IF(ENGINE!A93="","",ENGINE!B93)</f>
        <v/>
      </c>
      <c r="C98" s="43" t="str">
        <f>IF(ENGINE!A93="","",ENGINE!Y93)</f>
        <v/>
      </c>
      <c r="D98" s="43" t="str">
        <f>IF(ENGINE!A93="","",ENGINE!AC93)</f>
        <v/>
      </c>
      <c r="E98" s="43" t="str">
        <f>IF(ENGINE!A93="","",ENGINE!AD93)</f>
        <v/>
      </c>
      <c r="F98" s="43" t="str">
        <f>IF(ENGINE!A93="","",ENGINE!AG93)</f>
        <v/>
      </c>
      <c r="G98" s="43" t="str">
        <f>IF(ENGINE!A93="","",ENGINE!AH93)</f>
        <v/>
      </c>
      <c r="H98" s="43" t="str">
        <f>IF(ENGINE!A93="","",ENGINE!AI93)</f>
        <v/>
      </c>
      <c r="I98" s="43" t="str">
        <f>IF(ENGINE!A93="","",ENGINE!D93)</f>
        <v/>
      </c>
      <c r="J98" s="43" t="str">
        <f>IF(ENGINE!A93="","",ENGINE!AI93-ENGINE!D93)</f>
        <v/>
      </c>
      <c r="K98" s="7"/>
      <c r="L98" s="7"/>
      <c r="M98" s="7"/>
      <c r="N98" s="7"/>
      <c r="O98" s="7"/>
      <c r="P98" s="7"/>
    </row>
    <row r="99" spans="1:16" ht="14.25" x14ac:dyDescent="0.25">
      <c r="A99" s="7" t="str">
        <f>IF(ENGINE!A94="","",ENGINE!A94)</f>
        <v/>
      </c>
      <c r="B99" s="7" t="str">
        <f>IF(ENGINE!A94="","",ENGINE!B94)</f>
        <v/>
      </c>
      <c r="C99" s="43" t="str">
        <f>IF(ENGINE!A94="","",ENGINE!Y94)</f>
        <v/>
      </c>
      <c r="D99" s="43" t="str">
        <f>IF(ENGINE!A94="","",ENGINE!AC94)</f>
        <v/>
      </c>
      <c r="E99" s="43" t="str">
        <f>IF(ENGINE!A94="","",ENGINE!AD94)</f>
        <v/>
      </c>
      <c r="F99" s="43" t="str">
        <f>IF(ENGINE!A94="","",ENGINE!AG94)</f>
        <v/>
      </c>
      <c r="G99" s="43" t="str">
        <f>IF(ENGINE!A94="","",ENGINE!AH94)</f>
        <v/>
      </c>
      <c r="H99" s="43" t="str">
        <f>IF(ENGINE!A94="","",ENGINE!AI94)</f>
        <v/>
      </c>
      <c r="I99" s="43" t="str">
        <f>IF(ENGINE!A94="","",ENGINE!D94)</f>
        <v/>
      </c>
      <c r="J99" s="43" t="str">
        <f>IF(ENGINE!A94="","",ENGINE!AI94-ENGINE!D94)</f>
        <v/>
      </c>
      <c r="K99" s="7"/>
      <c r="L99" s="7"/>
      <c r="M99" s="7"/>
      <c r="N99" s="7"/>
      <c r="O99" s="7"/>
      <c r="P99" s="7"/>
    </row>
    <row r="100" spans="1:16" ht="14.25" x14ac:dyDescent="0.25">
      <c r="A100" s="7" t="str">
        <f>IF(ENGINE!A95="","",ENGINE!A95)</f>
        <v/>
      </c>
      <c r="B100" s="7" t="str">
        <f>IF(ENGINE!A95="","",ENGINE!B95)</f>
        <v/>
      </c>
      <c r="C100" s="43" t="str">
        <f>IF(ENGINE!A95="","",ENGINE!Y95)</f>
        <v/>
      </c>
      <c r="D100" s="43" t="str">
        <f>IF(ENGINE!A95="","",ENGINE!AC95)</f>
        <v/>
      </c>
      <c r="E100" s="43" t="str">
        <f>IF(ENGINE!A95="","",ENGINE!AD95)</f>
        <v/>
      </c>
      <c r="F100" s="43" t="str">
        <f>IF(ENGINE!A95="","",ENGINE!AG95)</f>
        <v/>
      </c>
      <c r="G100" s="43" t="str">
        <f>IF(ENGINE!A95="","",ENGINE!AH95)</f>
        <v/>
      </c>
      <c r="H100" s="43" t="str">
        <f>IF(ENGINE!A95="","",ENGINE!AI95)</f>
        <v/>
      </c>
      <c r="I100" s="43" t="str">
        <f>IF(ENGINE!A95="","",ENGINE!D95)</f>
        <v/>
      </c>
      <c r="J100" s="43" t="str">
        <f>IF(ENGINE!A95="","",ENGINE!AI95-ENGINE!D95)</f>
        <v/>
      </c>
      <c r="K100" s="7"/>
      <c r="L100" s="7"/>
      <c r="M100" s="7"/>
      <c r="N100" s="7"/>
      <c r="O100" s="7"/>
      <c r="P100" s="7"/>
    </row>
    <row r="101" spans="1:16" ht="14.25" x14ac:dyDescent="0.25">
      <c r="A101" s="7" t="str">
        <f>IF(ENGINE!A96="","",ENGINE!A96)</f>
        <v/>
      </c>
      <c r="B101" s="7" t="str">
        <f>IF(ENGINE!A96="","",ENGINE!B96)</f>
        <v/>
      </c>
      <c r="C101" s="43" t="str">
        <f>IF(ENGINE!A96="","",ENGINE!Y96)</f>
        <v/>
      </c>
      <c r="D101" s="43" t="str">
        <f>IF(ENGINE!A96="","",ENGINE!AC96)</f>
        <v/>
      </c>
      <c r="E101" s="43" t="str">
        <f>IF(ENGINE!A96="","",ENGINE!AD96)</f>
        <v/>
      </c>
      <c r="F101" s="43" t="str">
        <f>IF(ENGINE!A96="","",ENGINE!AG96)</f>
        <v/>
      </c>
      <c r="G101" s="43" t="str">
        <f>IF(ENGINE!A96="","",ENGINE!AH96)</f>
        <v/>
      </c>
      <c r="H101" s="43" t="str">
        <f>IF(ENGINE!A96="","",ENGINE!AI96)</f>
        <v/>
      </c>
      <c r="I101" s="43" t="str">
        <f>IF(ENGINE!A96="","",ENGINE!D96)</f>
        <v/>
      </c>
      <c r="J101" s="43" t="str">
        <f>IF(ENGINE!A96="","",ENGINE!AI96-ENGINE!D96)</f>
        <v/>
      </c>
      <c r="K101" s="7"/>
      <c r="L101" s="7"/>
      <c r="M101" s="7"/>
      <c r="N101" s="7"/>
      <c r="O101" s="7"/>
      <c r="P101" s="7"/>
    </row>
    <row r="102" spans="1:16" ht="14.25" x14ac:dyDescent="0.25">
      <c r="A102" s="7" t="str">
        <f>IF(ENGINE!A97="","",ENGINE!A97)</f>
        <v/>
      </c>
      <c r="B102" s="7" t="str">
        <f>IF(ENGINE!A97="","",ENGINE!B97)</f>
        <v/>
      </c>
      <c r="C102" s="43" t="str">
        <f>IF(ENGINE!A97="","",ENGINE!Y97)</f>
        <v/>
      </c>
      <c r="D102" s="43" t="str">
        <f>IF(ENGINE!A97="","",ENGINE!AC97)</f>
        <v/>
      </c>
      <c r="E102" s="43" t="str">
        <f>IF(ENGINE!A97="","",ENGINE!AD97)</f>
        <v/>
      </c>
      <c r="F102" s="43" t="str">
        <f>IF(ENGINE!A97="","",ENGINE!AG97)</f>
        <v/>
      </c>
      <c r="G102" s="43" t="str">
        <f>IF(ENGINE!A97="","",ENGINE!AH97)</f>
        <v/>
      </c>
      <c r="H102" s="43" t="str">
        <f>IF(ENGINE!A97="","",ENGINE!AI97)</f>
        <v/>
      </c>
      <c r="I102" s="43" t="str">
        <f>IF(ENGINE!A97="","",ENGINE!D97)</f>
        <v/>
      </c>
      <c r="J102" s="43" t="str">
        <f>IF(ENGINE!A97="","",ENGINE!AI97-ENGINE!D97)</f>
        <v/>
      </c>
      <c r="K102" s="7"/>
      <c r="L102" s="7"/>
      <c r="M102" s="7"/>
      <c r="N102" s="7"/>
      <c r="O102" s="7"/>
      <c r="P102" s="7"/>
    </row>
    <row r="103" spans="1:16" ht="14.25" x14ac:dyDescent="0.25">
      <c r="A103" s="7" t="str">
        <f>IF(ENGINE!A98="","",ENGINE!A98)</f>
        <v/>
      </c>
      <c r="B103" s="7" t="str">
        <f>IF(ENGINE!A98="","",ENGINE!B98)</f>
        <v/>
      </c>
      <c r="C103" s="43" t="str">
        <f>IF(ENGINE!A98="","",ENGINE!Y98)</f>
        <v/>
      </c>
      <c r="D103" s="43" t="str">
        <f>IF(ENGINE!A98="","",ENGINE!AC98)</f>
        <v/>
      </c>
      <c r="E103" s="43" t="str">
        <f>IF(ENGINE!A98="","",ENGINE!AD98)</f>
        <v/>
      </c>
      <c r="F103" s="43" t="str">
        <f>IF(ENGINE!A98="","",ENGINE!AG98)</f>
        <v/>
      </c>
      <c r="G103" s="43" t="str">
        <f>IF(ENGINE!A98="","",ENGINE!AH98)</f>
        <v/>
      </c>
      <c r="H103" s="43" t="str">
        <f>IF(ENGINE!A98="","",ENGINE!AI98)</f>
        <v/>
      </c>
      <c r="I103" s="43" t="str">
        <f>IF(ENGINE!A98="","",ENGINE!D98)</f>
        <v/>
      </c>
      <c r="J103" s="43" t="str">
        <f>IF(ENGINE!A98="","",ENGINE!AI98-ENGINE!D98)</f>
        <v/>
      </c>
      <c r="K103" s="7"/>
      <c r="L103" s="7"/>
      <c r="M103" s="7"/>
      <c r="N103" s="7"/>
      <c r="O103" s="7"/>
      <c r="P103" s="7"/>
    </row>
    <row r="104" spans="1:16" ht="14.25" x14ac:dyDescent="0.25">
      <c r="A104" s="7" t="str">
        <f>IF(ENGINE!A99="","",ENGINE!A99)</f>
        <v/>
      </c>
      <c r="B104" s="7" t="str">
        <f>IF(ENGINE!A99="","",ENGINE!B99)</f>
        <v/>
      </c>
      <c r="C104" s="43" t="str">
        <f>IF(ENGINE!A99="","",ENGINE!Y99)</f>
        <v/>
      </c>
      <c r="D104" s="43" t="str">
        <f>IF(ENGINE!A99="","",ENGINE!AC99)</f>
        <v/>
      </c>
      <c r="E104" s="43" t="str">
        <f>IF(ENGINE!A99="","",ENGINE!AD99)</f>
        <v/>
      </c>
      <c r="F104" s="43" t="str">
        <f>IF(ENGINE!A99="","",ENGINE!AG99)</f>
        <v/>
      </c>
      <c r="G104" s="43" t="str">
        <f>IF(ENGINE!A99="","",ENGINE!AH99)</f>
        <v/>
      </c>
      <c r="H104" s="43" t="str">
        <f>IF(ENGINE!A99="","",ENGINE!AI99)</f>
        <v/>
      </c>
      <c r="I104" s="43" t="str">
        <f>IF(ENGINE!A99="","",ENGINE!D99)</f>
        <v/>
      </c>
      <c r="J104" s="43" t="str">
        <f>IF(ENGINE!A99="","",ENGINE!AI99-ENGINE!D99)</f>
        <v/>
      </c>
      <c r="K104" s="7"/>
      <c r="L104" s="7"/>
      <c r="M104" s="7"/>
      <c r="N104" s="7"/>
      <c r="O104" s="7"/>
      <c r="P104" s="7"/>
    </row>
    <row r="105" spans="1:16" ht="14.25" x14ac:dyDescent="0.25">
      <c r="A105" s="7" t="str">
        <f>IF(ENGINE!A100="","",ENGINE!A100)</f>
        <v/>
      </c>
      <c r="B105" s="7" t="str">
        <f>IF(ENGINE!A100="","",ENGINE!B100)</f>
        <v/>
      </c>
      <c r="C105" s="43" t="str">
        <f>IF(ENGINE!A100="","",ENGINE!Y100)</f>
        <v/>
      </c>
      <c r="D105" s="43" t="str">
        <f>IF(ENGINE!A100="","",ENGINE!AC100)</f>
        <v/>
      </c>
      <c r="E105" s="43" t="str">
        <f>IF(ENGINE!A100="","",ENGINE!AD100)</f>
        <v/>
      </c>
      <c r="F105" s="43" t="str">
        <f>IF(ENGINE!A100="","",ENGINE!AG100)</f>
        <v/>
      </c>
      <c r="G105" s="43" t="str">
        <f>IF(ENGINE!A100="","",ENGINE!AH100)</f>
        <v/>
      </c>
      <c r="H105" s="43" t="str">
        <f>IF(ENGINE!A100="","",ENGINE!AI100)</f>
        <v/>
      </c>
      <c r="I105" s="43" t="str">
        <f>IF(ENGINE!A100="","",ENGINE!D100)</f>
        <v/>
      </c>
      <c r="J105" s="43" t="str">
        <f>IF(ENGINE!A100="","",ENGINE!AI100-ENGINE!D100)</f>
        <v/>
      </c>
      <c r="K105" s="7"/>
      <c r="L105" s="7"/>
      <c r="M105" s="7"/>
      <c r="N105" s="7"/>
      <c r="O105" s="7"/>
      <c r="P105" s="7"/>
    </row>
    <row r="106" spans="1:16" ht="14.25" x14ac:dyDescent="0.25">
      <c r="A106" s="7" t="str">
        <f>IF(ENGINE!A101="","",ENGINE!A101)</f>
        <v/>
      </c>
      <c r="B106" s="7" t="str">
        <f>IF(ENGINE!A101="","",ENGINE!B101)</f>
        <v/>
      </c>
      <c r="C106" s="43" t="str">
        <f>IF(ENGINE!A101="","",ENGINE!Y101)</f>
        <v/>
      </c>
      <c r="D106" s="43" t="str">
        <f>IF(ENGINE!A101="","",ENGINE!AC101)</f>
        <v/>
      </c>
      <c r="E106" s="43" t="str">
        <f>IF(ENGINE!A101="","",ENGINE!AD101)</f>
        <v/>
      </c>
      <c r="F106" s="43" t="str">
        <f>IF(ENGINE!A101="","",ENGINE!AG101)</f>
        <v/>
      </c>
      <c r="G106" s="43" t="str">
        <f>IF(ENGINE!A101="","",ENGINE!AH101)</f>
        <v/>
      </c>
      <c r="H106" s="43" t="str">
        <f>IF(ENGINE!A101="","",ENGINE!AI101)</f>
        <v/>
      </c>
      <c r="I106" s="43" t="str">
        <f>IF(ENGINE!A101="","",ENGINE!D101)</f>
        <v/>
      </c>
      <c r="J106" s="43" t="str">
        <f>IF(ENGINE!A101="","",ENGINE!AI101-ENGINE!D101)</f>
        <v/>
      </c>
      <c r="K106" s="7"/>
      <c r="L106" s="7"/>
      <c r="M106" s="7"/>
      <c r="N106" s="7"/>
      <c r="O106" s="7"/>
      <c r="P106" s="7"/>
    </row>
    <row r="107" spans="1:16" ht="14.25" x14ac:dyDescent="0.25">
      <c r="A107" s="7" t="str">
        <f>IF(ENGINE!A102="","",ENGINE!A102)</f>
        <v/>
      </c>
      <c r="B107" s="7" t="str">
        <f>IF(ENGINE!A102="","",ENGINE!B102)</f>
        <v/>
      </c>
      <c r="C107" s="44" t="str">
        <f>IF(ENGINE!A102="","",ENGINE!Y102)</f>
        <v/>
      </c>
      <c r="D107" s="44" t="str">
        <f>IF(ENGINE!A102="","",ENGINE!AC102)</f>
        <v/>
      </c>
      <c r="E107" s="44" t="str">
        <f>IF(ENGINE!A102="","",ENGINE!AD102)</f>
        <v/>
      </c>
      <c r="F107" s="44" t="str">
        <f>IF(ENGINE!A102="","",ENGINE!AG102)</f>
        <v/>
      </c>
      <c r="G107" s="44" t="str">
        <f>IF(ENGINE!A102="","",ENGINE!AH102)</f>
        <v/>
      </c>
      <c r="H107" s="44" t="str">
        <f>IF(ENGINE!A102="","",ENGINE!AI102)</f>
        <v/>
      </c>
      <c r="I107" s="44" t="str">
        <f>IF(ENGINE!A102="","",ENGINE!D102)</f>
        <v/>
      </c>
      <c r="J107" s="44" t="str">
        <f>IF(ENGINE!A102="","",ENGINE!AI102-ENGINE!D102)</f>
        <v/>
      </c>
      <c r="K107" s="7"/>
      <c r="L107" s="7"/>
      <c r="M107" s="7"/>
      <c r="N107" s="7"/>
      <c r="O107" s="7"/>
      <c r="P107" s="7"/>
    </row>
  </sheetData>
  <mergeCells count="1">
    <mergeCell ref="L25:M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CD6E-11A1-44A9-A307-C56C5F1A9621}">
  <sheetPr>
    <tabColor rgb="FF902078"/>
  </sheetPr>
  <dimension ref="A1:M28"/>
  <sheetViews>
    <sheetView showGridLines="0" workbookViewId="0">
      <selection activeCell="N15" sqref="N15"/>
    </sheetView>
  </sheetViews>
  <sheetFormatPr defaultRowHeight="12.75" x14ac:dyDescent="0.2"/>
  <cols>
    <col min="1" max="1" width="58.85546875" customWidth="1"/>
    <col min="2" max="2" width="9.85546875" bestFit="1" customWidth="1"/>
    <col min="3" max="3" width="17.5703125" bestFit="1" customWidth="1"/>
    <col min="4" max="4" width="11.5703125" bestFit="1" customWidth="1"/>
    <col min="5" max="5" width="17.7109375" bestFit="1" customWidth="1"/>
    <col min="6" max="6" width="17.42578125" bestFit="1" customWidth="1"/>
    <col min="7" max="7" width="21.85546875" bestFit="1" customWidth="1"/>
    <col min="8" max="8" width="24.7109375" bestFit="1" customWidth="1"/>
    <col min="9" max="9" width="23.140625" hidden="1" customWidth="1"/>
    <col min="10" max="10" width="14.5703125" bestFit="1" customWidth="1"/>
    <col min="11" max="11" width="16.7109375" hidden="1" customWidth="1"/>
    <col min="12" max="13" width="18.28515625" hidden="1" customWidth="1"/>
  </cols>
  <sheetData>
    <row r="1" spans="1:10" ht="24" customHeight="1" x14ac:dyDescent="0.2">
      <c r="A1" s="144" t="s">
        <v>420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7.9" customHeight="1" x14ac:dyDescent="0.25">
      <c r="A2" s="93" t="s">
        <v>467</v>
      </c>
      <c r="B2" s="46"/>
      <c r="C2" s="46"/>
      <c r="D2" s="46"/>
      <c r="E2" s="46"/>
      <c r="F2" s="46"/>
      <c r="G2" s="46"/>
      <c r="H2" s="46"/>
      <c r="I2" s="35"/>
      <c r="J2" s="35"/>
    </row>
    <row r="3" spans="1:10" ht="7.9" customHeight="1" x14ac:dyDescent="0.25">
      <c r="A3" s="45"/>
      <c r="B3" s="46"/>
      <c r="C3" s="46"/>
      <c r="D3" s="46"/>
      <c r="E3" s="46"/>
      <c r="F3" s="46"/>
      <c r="G3" s="46"/>
      <c r="H3" s="46"/>
      <c r="I3" s="7"/>
      <c r="J3" s="7"/>
    </row>
    <row r="4" spans="1:10" ht="31.9" customHeight="1" x14ac:dyDescent="0.25">
      <c r="A4" s="145" t="s">
        <v>421</v>
      </c>
      <c r="B4" s="145" t="s">
        <v>158</v>
      </c>
      <c r="C4" s="145" t="s">
        <v>433</v>
      </c>
      <c r="D4" s="145" t="s">
        <v>1</v>
      </c>
      <c r="E4" s="145" t="s">
        <v>422</v>
      </c>
      <c r="F4" s="145" t="s">
        <v>423</v>
      </c>
      <c r="G4" s="145" t="s">
        <v>79</v>
      </c>
      <c r="H4" s="145" t="s">
        <v>80</v>
      </c>
      <c r="I4" s="7"/>
      <c r="J4" s="146" t="s">
        <v>434</v>
      </c>
    </row>
    <row r="5" spans="1:10" ht="19.899999999999999" customHeight="1" x14ac:dyDescent="0.25">
      <c r="A5" s="112" t="s">
        <v>424</v>
      </c>
      <c r="B5" s="113">
        <v>500000</v>
      </c>
      <c r="C5" s="114">
        <f>IF($J5="Not reached","Not reached",$J5)</f>
        <v>17</v>
      </c>
      <c r="D5" s="114">
        <f>IF($J5="Not reached","Not reached",INDEX(ENGINE!$B$2:$B$102,MATCH($J5,ENGINE!$A$2:$A$102,0)))</f>
        <v>39</v>
      </c>
      <c r="E5" s="115">
        <f>IF($J5="Not reached","Not reached",INDEX(ENGINE!$L$2:$L$102,MATCH($J5,ENGINE!$A$2:$A$102,0)))</f>
        <v>543339.82756738306</v>
      </c>
      <c r="F5" s="113">
        <f>IF($J5="Not reached","Not reached",INDEX(ENGINE!$N$2:$N$102,MATCH($J5,ENGINE!$A$2:$A$102,0)))</f>
        <v>201777.07916513184</v>
      </c>
      <c r="G5" s="113">
        <f>IF($J5="Not reached","Not reached",INDEX(ENGINE!$O$2:$O$102,MATCH($J5,ENGINE!$A$2:$A$102,0)))</f>
        <v>226500</v>
      </c>
      <c r="H5" s="113">
        <f>IF($J5="Not reached","Not reached",INDEX(ENGINE!$P$2:$P$102,MATCH($J5,ENGINE!$A$2:$A$102,0)))</f>
        <v>316839.82756738306</v>
      </c>
      <c r="I5" s="7"/>
      <c r="J5" s="118" cm="1">
        <f t="array" ref="J5">IFERROR(INDEX(ENGINE!$A$2:$A$102,_xlfn.AGGREGATE(15,6,(ROW(ENGINE!$L$2:$L$102)-ROW(ENGINE!$L$2)+1)/((ENGINE!$L$2:$L$102&gt;=$B5)*(ENGINE!$A$2:$A$102&lt;&gt;"")),1)),"Not reached")</f>
        <v>17</v>
      </c>
    </row>
    <row r="6" spans="1:10" ht="19.899999999999999" customHeight="1" x14ac:dyDescent="0.25">
      <c r="A6" s="112" t="s">
        <v>425</v>
      </c>
      <c r="B6" s="113">
        <v>1000000</v>
      </c>
      <c r="C6" s="114">
        <f>IF($J6="Not reached","Not reached",$J6)</f>
        <v>22</v>
      </c>
      <c r="D6" s="114">
        <f>IF($J6="Not reached","Not reached",INDEX(ENGINE!$B$2:$B$102,MATCH($J6,ENGINE!$A$2:$A$102,0)))</f>
        <v>44</v>
      </c>
      <c r="E6" s="115">
        <f>IF($J6="Not reached","Not reached",INDEX(ENGINE!$L$2:$L$102,MATCH($J6,ENGINE!$A$2:$A$102,0)))</f>
        <v>1033711.1856955464</v>
      </c>
      <c r="F6" s="113">
        <f>IF($J6="Not reached","Not reached",INDEX(ENGINE!$N$2:$N$102,MATCH($J6,ENGINE!$A$2:$A$102,0)))</f>
        <v>286860.12276156119</v>
      </c>
      <c r="G6" s="113">
        <f>IF($J6="Not reached","Not reached",INDEX(ENGINE!$O$2:$O$102,MATCH($J6,ENGINE!$A$2:$A$102,0)))</f>
        <v>346000</v>
      </c>
      <c r="H6" s="113">
        <f>IF($J6="Not reached","Not reached",INDEX(ENGINE!$P$2:$P$102,MATCH($J6,ENGINE!$A$2:$A$102,0)))</f>
        <v>687711.18569554645</v>
      </c>
      <c r="I6" s="7"/>
      <c r="J6" s="118" cm="1">
        <f t="array" ref="J6">IFERROR(INDEX(ENGINE!$A$2:$A$102,_xlfn.AGGREGATE(15,6,(ROW(ENGINE!$L$2:$L$102)-ROW(ENGINE!$L$2)+1)/((ENGINE!$L$2:$L$102&gt;=$B6)*(ENGINE!$A$2:$A$102&lt;&gt;"")),1)),"Not reached")</f>
        <v>22</v>
      </c>
    </row>
    <row r="7" spans="1:10" ht="19.899999999999999" customHeight="1" x14ac:dyDescent="0.25">
      <c r="A7" s="112" t="s">
        <v>426</v>
      </c>
      <c r="B7" s="113">
        <v>2000000</v>
      </c>
      <c r="C7" s="114">
        <f>IF($J7="Not reached","Not reached",$J7)</f>
        <v>28</v>
      </c>
      <c r="D7" s="114">
        <f>IF($J7="Not reached","Not reached",INDEX(ENGINE!$B$2:$B$102,MATCH($J7,ENGINE!$A$2:$A$102,0)))</f>
        <v>50</v>
      </c>
      <c r="E7" s="115">
        <f>IF($J7="Not reached","Not reached",INDEX(ENGINE!$L$2:$L$102,MATCH($J7,ENGINE!$A$2:$A$102,0)))</f>
        <v>2113712.4103419892</v>
      </c>
      <c r="F7" s="113">
        <f>IF($J7="Not reached","Not reached",INDEX(ENGINE!$N$2:$N$102,MATCH($J7,ENGINE!$A$2:$A$102,0)))</f>
        <v>413505.8612888247</v>
      </c>
      <c r="G7" s="113">
        <f>IF($J7="Not reached","Not reached",INDEX(ENGINE!$O$2:$O$102,MATCH($J7,ENGINE!$A$2:$A$102,0)))</f>
        <v>550100</v>
      </c>
      <c r="H7" s="113">
        <f>IF($J7="Not reached","Not reached",INDEX(ENGINE!$P$2:$P$102,MATCH($J7,ENGINE!$A$2:$A$102,0)))</f>
        <v>1563612.4103419892</v>
      </c>
      <c r="I7" s="7"/>
      <c r="J7" s="118" cm="1">
        <f t="array" ref="J7">IFERROR(INDEX(ENGINE!$A$2:$A$102,_xlfn.AGGREGATE(15,6,(ROW(ENGINE!$L$2:$L$102)-ROW(ENGINE!$L$2)+1)/((ENGINE!$L$2:$L$102&gt;=$B7)*(ENGINE!$A$2:$A$102&lt;&gt;"")),1)),"Not reached")</f>
        <v>28</v>
      </c>
    </row>
    <row r="8" spans="1:10" ht="19.899999999999999" customHeight="1" x14ac:dyDescent="0.25">
      <c r="A8" s="112" t="s">
        <v>427</v>
      </c>
      <c r="B8" s="113">
        <v>5000000</v>
      </c>
      <c r="C8" s="114">
        <f>IF($J8="Not reached","Not reached",$J8)</f>
        <v>36</v>
      </c>
      <c r="D8" s="114">
        <f>IF($J8="Not reached","Not reached",INDEX(ENGINE!$B$2:$B$102,MATCH($J8,ENGINE!$A$2:$A$102,0)))</f>
        <v>58</v>
      </c>
      <c r="E8" s="115">
        <f>IF($J8="Not reached","Not reached",INDEX(ENGINE!$L$2:$L$102,MATCH($J8,ENGINE!$A$2:$A$102,0)))</f>
        <v>5232008.6722812187</v>
      </c>
      <c r="F8" s="113">
        <f>IF($J8="Not reached","Not reached",INDEX(ENGINE!$N$2:$N$102,MATCH($J8,ENGINE!$A$2:$A$102,0)))</f>
        <v>642180.78345641505</v>
      </c>
      <c r="G8" s="113">
        <f>IF($J8="Not reached","Not reached",INDEX(ENGINE!$O$2:$O$102,MATCH($J8,ENGINE!$A$2:$A$102,0)))</f>
        <v>1009100</v>
      </c>
      <c r="H8" s="113">
        <f>IF($J8="Not reached","Not reached",INDEX(ENGINE!$P$2:$P$102,MATCH($J8,ENGINE!$A$2:$A$102,0)))</f>
        <v>4222908.6722812187</v>
      </c>
      <c r="I8" s="7"/>
      <c r="J8" s="118" cm="1">
        <f t="array" ref="J8">IFERROR(INDEX(ENGINE!$A$2:$A$102,_xlfn.AGGREGATE(15,6,(ROW(ENGINE!$L$2:$L$102)-ROW(ENGINE!$L$2)+1)/((ENGINE!$L$2:$L$102&gt;=$B8)*(ENGINE!$A$2:$A$102&lt;&gt;"")),1)),"Not reached")</f>
        <v>36</v>
      </c>
    </row>
    <row r="9" spans="1:10" ht="6" customHeight="1" x14ac:dyDescent="0.25">
      <c r="A9" s="45"/>
      <c r="B9" s="47"/>
      <c r="C9" s="47"/>
      <c r="D9" s="47"/>
      <c r="E9" s="47"/>
      <c r="F9" s="47"/>
      <c r="G9" s="47"/>
      <c r="H9" s="47"/>
      <c r="I9" s="7"/>
      <c r="J9" s="7"/>
    </row>
    <row r="10" spans="1:10" ht="18" customHeight="1" x14ac:dyDescent="0.25">
      <c r="A10" s="110" t="s">
        <v>428</v>
      </c>
      <c r="B10" s="111"/>
      <c r="C10" s="111"/>
      <c r="D10" s="111"/>
      <c r="E10" s="111"/>
      <c r="F10" s="111"/>
      <c r="G10" s="111"/>
      <c r="H10" s="111"/>
      <c r="I10" s="7"/>
      <c r="J10" s="7"/>
    </row>
    <row r="11" spans="1:10" ht="7.9" customHeight="1" x14ac:dyDescent="0.25">
      <c r="A11" s="45"/>
      <c r="B11" s="47"/>
      <c r="C11" s="47"/>
      <c r="D11" s="47"/>
      <c r="E11" s="47"/>
      <c r="F11" s="47"/>
      <c r="G11" s="47"/>
      <c r="H11" s="47"/>
      <c r="I11" s="7"/>
      <c r="J11" s="7"/>
    </row>
    <row r="12" spans="1:10" ht="7.9" customHeight="1" x14ac:dyDescent="0.25">
      <c r="A12" s="45"/>
      <c r="B12" s="47"/>
      <c r="C12" s="47"/>
      <c r="D12" s="47"/>
      <c r="E12" s="47"/>
      <c r="F12" s="47"/>
      <c r="G12" s="47"/>
      <c r="H12" s="47"/>
      <c r="I12" s="7"/>
      <c r="J12" s="7"/>
    </row>
    <row r="13" spans="1:10" ht="19.899999999999999" customHeight="1" x14ac:dyDescent="0.25">
      <c r="A13" s="147" t="s">
        <v>429</v>
      </c>
      <c r="B13" s="148"/>
      <c r="C13" s="148"/>
      <c r="D13" s="148"/>
      <c r="E13" s="148"/>
      <c r="F13" s="148"/>
      <c r="G13" s="148"/>
      <c r="H13" s="148"/>
      <c r="I13" s="99"/>
      <c r="J13" s="99"/>
    </row>
    <row r="14" spans="1:10" ht="6" customHeight="1" x14ac:dyDescent="0.25">
      <c r="A14" s="45"/>
      <c r="B14" s="47"/>
      <c r="C14" s="47"/>
      <c r="D14" s="47"/>
      <c r="E14" s="47"/>
      <c r="F14" s="47"/>
      <c r="G14" s="47"/>
      <c r="H14" s="47"/>
      <c r="I14" s="7"/>
      <c r="J14" s="7"/>
    </row>
    <row r="15" spans="1:10" ht="31.9" customHeight="1" x14ac:dyDescent="0.25">
      <c r="A15" s="145" t="s">
        <v>430</v>
      </c>
      <c r="B15" s="145" t="s">
        <v>158</v>
      </c>
      <c r="C15" s="145" t="s">
        <v>433</v>
      </c>
      <c r="D15" s="145" t="s">
        <v>1</v>
      </c>
      <c r="E15" s="145" t="s">
        <v>226</v>
      </c>
      <c r="F15" s="145" t="s">
        <v>431</v>
      </c>
      <c r="G15" s="145" t="s">
        <v>222</v>
      </c>
      <c r="H15" s="145" t="s">
        <v>432</v>
      </c>
      <c r="I15" s="7"/>
      <c r="J15" s="146" t="s">
        <v>434</v>
      </c>
    </row>
    <row r="16" spans="1:10" ht="19.899999999999999" customHeight="1" x14ac:dyDescent="0.25">
      <c r="A16" s="112" t="s">
        <v>180</v>
      </c>
      <c r="B16" s="113">
        <v>100000</v>
      </c>
      <c r="C16" s="114">
        <f>IF($J16="Not reached","Not reached",$J16)</f>
        <v>4</v>
      </c>
      <c r="D16" s="114">
        <f>IF($J16="Not reached","Not reached",INDEX(ENGINE!$B$2:$B$102,MATCH($J16,ENGINE!$A$2:$A$102,0)))</f>
        <v>26</v>
      </c>
      <c r="E16" s="115">
        <f>IF($J16="Not reached","Not reached",INDEX(ENGINE!$Y$2:$Y$102,MATCH($J16,ENGINE!$A$2:$A$102,0)))</f>
        <v>103198.77745000001</v>
      </c>
      <c r="F16" s="113">
        <f>IF($J16="Not reached","Not reached",INDEX(ENGINE!$D$2:$D$102,MATCH($J16,ENGINE!$A$2:$A$102,0)))</f>
        <v>9000</v>
      </c>
      <c r="G16" s="113">
        <f>IF($J16="Not reached","Not reached",INDEX(ENGINE!$AI$2:$AI$102,MATCH($J16,ENGINE!$A$2:$A$102,0))-INDEX(ENGINE!$D$2:$D$102,MATCH($J16,ENGINE!$A$2:$A$102,0)))</f>
        <v>74493.339936075005</v>
      </c>
      <c r="H16" s="116">
        <f>IF($J16="Not reached","Not reached",IFERROR(SUMIFS(ENGINE!$AH$2:$AH$102,ENGINE!$A$2:$A$102,"&lt;="&amp;$J16)/SUMIFS(ENGINE!$Y$2:$Y$102,ENGINE!$A$2:$A$102,"&lt;="&amp;$J16),0))</f>
        <v>0.17655359143654498</v>
      </c>
      <c r="I16" s="7"/>
      <c r="J16" s="118" cm="1">
        <f t="array" ref="J16">IFERROR(INDEX(ENGINE!$A$2:$A$102,_xlfn.AGGREGATE(15,6,(ROW(ENGINE!$A$2:$A$102)-ROW(ENGINE!$A$2)+1)/((ENGINE!$Y$2:$Y$102&gt;=$B16)*(ENGINE!$A$2:$A$102&lt;&gt;"")),1)),"Not reached")</f>
        <v>4</v>
      </c>
    </row>
    <row r="17" spans="1:10" ht="19.899999999999999" customHeight="1" x14ac:dyDescent="0.25">
      <c r="A17" s="112" t="s">
        <v>180</v>
      </c>
      <c r="B17" s="113">
        <v>250000</v>
      </c>
      <c r="C17" s="114">
        <f>IF($J17="Not reached","Not reached",$J17)</f>
        <v>34</v>
      </c>
      <c r="D17" s="114">
        <f>IF($J17="Not reached","Not reached",INDEX(ENGINE!$B$2:$B$102,MATCH($J17,ENGINE!$A$2:$A$102,0)))</f>
        <v>56</v>
      </c>
      <c r="E17" s="115">
        <f>IF($J17="Not reached","Not reached",INDEX(ENGINE!$Y$2:$Y$102,MATCH($J17,ENGINE!$A$2:$A$102,0)))</f>
        <v>250490.51957703897</v>
      </c>
      <c r="F17" s="113">
        <f>IF($J17="Not reached","Not reached",INDEX(ENGINE!$D$2:$D$102,MATCH($J17,ENGINE!$A$2:$A$102,0)))</f>
        <v>61900</v>
      </c>
      <c r="G17" s="113">
        <f>IF($J17="Not reached","Not reached",INDEX(ENGINE!$AI$2:$AI$102,MATCH($J17,ENGINE!$A$2:$A$102,0))-INDEX(ENGINE!$D$2:$D$102,MATCH($J17,ENGINE!$A$2:$A$102,0)))</f>
        <v>163659.52819549825</v>
      </c>
      <c r="H17" s="116">
        <f>IF($J17="Not reached","Not reached",IFERROR(SUMIFS(ENGINE!$AH$2:$AH$102,ENGINE!$A$2:$A$102,"&lt;="&amp;$J17)/SUMIFS(ENGINE!$Y$2:$Y$102,ENGINE!$A$2:$A$102,"&lt;="&amp;$J17),0))</f>
        <v>0.12311337258924283</v>
      </c>
      <c r="I17" s="7"/>
      <c r="J17" s="118" cm="1">
        <f t="array" ref="J17">IFERROR(INDEX(ENGINE!$A$2:$A$102,_xlfn.AGGREGATE(15,6,(ROW(ENGINE!$A$2:$A$102)-ROW(ENGINE!$A$2)+1)/((ENGINE!$Y$2:$Y$102&gt;=$B17)*(ENGINE!$A$2:$A$102&lt;&gt;"")),1)),"Not reached")</f>
        <v>34</v>
      </c>
    </row>
    <row r="18" spans="1:10" ht="19.899999999999999" customHeight="1" x14ac:dyDescent="0.25">
      <c r="A18" s="112" t="s">
        <v>222</v>
      </c>
      <c r="B18" s="113">
        <v>100000</v>
      </c>
      <c r="C18" s="114">
        <f>IF($J18="Not reached","Not reached",$J18)</f>
        <v>13</v>
      </c>
      <c r="D18" s="114">
        <f>IF($J18="Not reached","Not reached",INDEX(ENGINE!$B$2:$B$102,MATCH($J18,ENGINE!$A$2:$A$102,0)))</f>
        <v>35</v>
      </c>
      <c r="E18" s="115">
        <f>IF($J18="Not reached","Not reached",INDEX(ENGINE!$AI$2:$AI$102,MATCH($J18,ENGINE!$A$2:$A$102,0))-INDEX(ENGINE!$D$2:$D$102,MATCH($J18,ENGINE!$A$2:$A$102,0)))</f>
        <v>101331.07642755027</v>
      </c>
      <c r="F18" s="113">
        <f>IF($J18="Not reached","Not reached",INDEX(ENGINE!$D$2:$D$102,MATCH($J18,ENGINE!$A$2:$A$102,0)))</f>
        <v>15500</v>
      </c>
      <c r="G18" s="113">
        <f>IF($J18="Not reached","Not reached",$E18)</f>
        <v>101331.07642755027</v>
      </c>
      <c r="H18" s="116">
        <f>IF($J18="Not reached","Not reached",IFERROR(SUMIFS(ENGINE!$AH$2:$AH$102,ENGINE!$A$2:$A$102,"&lt;="&amp;$J18)/SUMIFS(ENGINE!$Y$2:$Y$102,ENGINE!$A$2:$A$102,"&lt;="&amp;$J18),0))</f>
        <v>0.1483337318753836</v>
      </c>
      <c r="I18" s="7"/>
      <c r="J18" s="118" cm="1">
        <f t="array" ref="J18">IFERROR(INDEX(ENGINE!$A$2:$A$102,_xlfn.AGGREGATE(15,6,(ROW(ENGINE!$A$2:$A$102)-ROW(ENGINE!$A$2)+1)/(((ENGINE!$AI$2:$AI$102-ENGINE!$D$2:$D$102)&gt;=$B18)*(ENGINE!$A$2:$A$102&lt;&gt;"")),1)),"Not reached")</f>
        <v>13</v>
      </c>
    </row>
    <row r="19" spans="1:10" ht="19.899999999999999" customHeight="1" x14ac:dyDescent="0.25">
      <c r="A19" s="112" t="s">
        <v>222</v>
      </c>
      <c r="B19" s="113">
        <v>250000</v>
      </c>
      <c r="C19" s="114" t="str">
        <f>IF($J19="Not reached","Not reached",$J19)</f>
        <v>Not reached</v>
      </c>
      <c r="D19" s="114" t="str">
        <f>IF($J19="Not reached","Not reached",INDEX(ENGINE!$B$2:$B$102,MATCH($J19,ENGINE!$A$2:$A$102,0)))</f>
        <v>Not reached</v>
      </c>
      <c r="E19" s="115" t="str">
        <f>IF($J19="Not reached","Not reached",INDEX(ENGINE!$AI$2:$AI$102,MATCH($J19,ENGINE!$A$2:$A$102,0))-INDEX(ENGINE!$D$2:$D$102,MATCH($J19,ENGINE!$A$2:$A$102,0)))</f>
        <v>Not reached</v>
      </c>
      <c r="F19" s="113" t="str">
        <f>IF($J19="Not reached","Not reached",INDEX(ENGINE!$D$2:$D$102,MATCH($J19,ENGINE!$A$2:$A$102,0)))</f>
        <v>Not reached</v>
      </c>
      <c r="G19" s="113" t="str">
        <f>IF($J19="Not reached","Not reached",$E19)</f>
        <v>Not reached</v>
      </c>
      <c r="H19" s="116" t="str">
        <f>IF($J19="Not reached","Not reached",IFERROR(SUMIFS(ENGINE!$AH$2:$AH$102,ENGINE!$A$2:$A$102,"&lt;="&amp;$J19)/SUMIFS(ENGINE!$Y$2:$Y$102,ENGINE!$A$2:$A$102,"&lt;="&amp;$J19),0))</f>
        <v>Not reached</v>
      </c>
      <c r="I19" s="7"/>
      <c r="J19" s="7" t="str" cm="1">
        <f t="array" ref="J19">IFERROR(INDEX(ENGINE!$A$2:$A$102,_xlfn.AGGREGATE(15,6,(ROW(ENGINE!$A$2:$A$102)-ROW(ENGINE!$A$2)+1)/(((ENGINE!$AI$2:$AI$102-ENGINE!$D$2:$D$102)&gt;=$B19)*(ENGINE!$A$2:$A$102&lt;&gt;"")),1)),"Not reached")</f>
        <v>Not reached</v>
      </c>
    </row>
    <row r="20" spans="1:10" ht="7.9" customHeight="1" x14ac:dyDescent="0.25">
      <c r="A20" s="45"/>
      <c r="B20" s="47"/>
      <c r="C20" s="47"/>
      <c r="D20" s="47"/>
      <c r="E20" s="47"/>
      <c r="F20" s="47"/>
      <c r="G20" s="47"/>
      <c r="H20" s="47"/>
      <c r="I20" s="7"/>
      <c r="J20" s="7"/>
    </row>
    <row r="21" spans="1:10" ht="7.9" customHeight="1" x14ac:dyDescent="0.25">
      <c r="A21" s="45"/>
      <c r="B21" s="47"/>
      <c r="C21" s="47"/>
      <c r="D21" s="47"/>
      <c r="E21" s="47"/>
      <c r="F21" s="47"/>
      <c r="G21" s="47"/>
      <c r="H21" s="47"/>
      <c r="I21" s="7"/>
      <c r="J21" s="7"/>
    </row>
    <row r="22" spans="1:10" ht="7.9" customHeight="1" x14ac:dyDescent="0.25">
      <c r="A22" s="45"/>
      <c r="B22" s="47"/>
      <c r="C22" s="47"/>
      <c r="D22" s="47"/>
      <c r="E22" s="47"/>
      <c r="F22" s="47"/>
      <c r="G22" s="47"/>
      <c r="H22" s="47"/>
      <c r="I22" s="7"/>
      <c r="J22" s="7"/>
    </row>
    <row r="23" spans="1:10" ht="7.9" customHeight="1" x14ac:dyDescent="0.25">
      <c r="A23" s="45"/>
      <c r="B23" s="47"/>
      <c r="C23" s="47"/>
      <c r="D23" s="47"/>
      <c r="E23" s="47"/>
      <c r="F23" s="47"/>
      <c r="G23" s="47"/>
      <c r="H23" s="47"/>
      <c r="I23" s="7"/>
      <c r="J23" s="7"/>
    </row>
    <row r="24" spans="1:10" ht="7.9" customHeight="1" x14ac:dyDescent="0.25">
      <c r="A24" s="45"/>
      <c r="B24" s="47"/>
      <c r="C24" s="47"/>
      <c r="D24" s="47"/>
      <c r="E24" s="47"/>
      <c r="F24" s="47"/>
      <c r="G24" s="47"/>
      <c r="H24" s="47"/>
      <c r="I24" s="7"/>
      <c r="J24" s="7"/>
    </row>
    <row r="25" spans="1:10" ht="7.9" customHeight="1" x14ac:dyDescent="0.25">
      <c r="A25" s="45"/>
      <c r="B25" s="47"/>
      <c r="C25" s="47"/>
      <c r="D25" s="47"/>
      <c r="E25" s="47"/>
      <c r="F25" s="47"/>
      <c r="G25" s="47"/>
      <c r="H25" s="47"/>
      <c r="I25" s="7"/>
      <c r="J25" s="7"/>
    </row>
    <row r="26" spans="1:10" ht="7.9" customHeight="1" x14ac:dyDescent="0.25">
      <c r="A26" s="45"/>
      <c r="B26" s="47"/>
      <c r="C26" s="47"/>
      <c r="D26" s="47"/>
      <c r="E26" s="47"/>
      <c r="F26" s="47"/>
      <c r="G26" s="47"/>
      <c r="H26" s="47"/>
      <c r="I26" s="7"/>
      <c r="J26" s="7"/>
    </row>
    <row r="27" spans="1:10" ht="7.9" customHeight="1" x14ac:dyDescent="0.25">
      <c r="A27" s="45"/>
      <c r="B27" s="47"/>
      <c r="C27" s="47"/>
      <c r="D27" s="47"/>
      <c r="E27" s="47"/>
      <c r="F27" s="47"/>
      <c r="G27" s="47"/>
      <c r="H27" s="47"/>
      <c r="I27" s="7"/>
      <c r="J27" s="7"/>
    </row>
    <row r="28" spans="1:10" ht="7.9" customHeight="1" x14ac:dyDescent="0.25">
      <c r="A28" s="45"/>
      <c r="B28" s="47"/>
      <c r="C28" s="47"/>
      <c r="D28" s="47"/>
      <c r="E28" s="47"/>
      <c r="F28" s="47"/>
      <c r="G28" s="47"/>
      <c r="H28" s="47"/>
      <c r="I28" s="7"/>
      <c r="J2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CBE0-9132-4EE2-8D97-F49E8148C419}">
  <sheetPr>
    <tabColor rgb="FF902078"/>
  </sheetPr>
  <dimension ref="A1:D53"/>
  <sheetViews>
    <sheetView showGridLines="0" topLeftCell="A27" zoomScale="130" zoomScaleNormal="130" workbookViewId="0">
      <selection activeCell="B41" sqref="B41"/>
    </sheetView>
  </sheetViews>
  <sheetFormatPr defaultRowHeight="12.75" x14ac:dyDescent="0.2"/>
  <cols>
    <col min="1" max="1" width="66.140625" customWidth="1"/>
    <col min="2" max="2" width="20.85546875" bestFit="1" customWidth="1"/>
    <col min="3" max="3" width="67.7109375" bestFit="1" customWidth="1"/>
    <col min="4" max="4" width="17" bestFit="1" customWidth="1"/>
  </cols>
  <sheetData>
    <row r="1" spans="1:4" ht="29.25" x14ac:dyDescent="0.2">
      <c r="A1" s="136" t="s">
        <v>381</v>
      </c>
      <c r="B1" s="136"/>
      <c r="C1" s="136"/>
      <c r="D1" s="136"/>
    </row>
    <row r="2" spans="1:4" ht="14.25" x14ac:dyDescent="0.25">
      <c r="A2" s="95" t="s">
        <v>450</v>
      </c>
      <c r="B2" s="95"/>
      <c r="C2" s="95"/>
      <c r="D2" s="95"/>
    </row>
    <row r="3" spans="1:4" ht="14.25" x14ac:dyDescent="0.25">
      <c r="A3" s="7"/>
      <c r="B3" s="7"/>
      <c r="C3" s="7"/>
      <c r="D3" s="7"/>
    </row>
    <row r="4" spans="1:4" ht="17.25" x14ac:dyDescent="0.3">
      <c r="A4" s="141" t="s">
        <v>382</v>
      </c>
      <c r="B4" s="98"/>
      <c r="C4" s="98"/>
      <c r="D4" s="106"/>
    </row>
    <row r="5" spans="1:4" ht="14.25" x14ac:dyDescent="0.25">
      <c r="A5" s="100" t="s">
        <v>451</v>
      </c>
      <c r="B5" s="7"/>
      <c r="C5" s="7"/>
      <c r="D5" s="107"/>
    </row>
    <row r="6" spans="1:4" ht="15.75" x14ac:dyDescent="0.3">
      <c r="A6" s="101" t="s">
        <v>364</v>
      </c>
      <c r="B6" s="131">
        <v>2000000</v>
      </c>
      <c r="C6" s="97" t="s">
        <v>365</v>
      </c>
      <c r="D6" s="107"/>
    </row>
    <row r="7" spans="1:4" ht="15.75" x14ac:dyDescent="0.3">
      <c r="A7" s="101" t="s">
        <v>366</v>
      </c>
      <c r="B7" s="132" t="s">
        <v>469</v>
      </c>
      <c r="C7" s="97" t="s">
        <v>367</v>
      </c>
      <c r="D7" s="107"/>
    </row>
    <row r="8" spans="1:4" ht="15.75" x14ac:dyDescent="0.3">
      <c r="A8" s="101" t="s">
        <v>452</v>
      </c>
      <c r="B8" s="133">
        <v>0.1</v>
      </c>
      <c r="C8" s="97" t="s">
        <v>453</v>
      </c>
      <c r="D8" s="107"/>
    </row>
    <row r="9" spans="1:4" ht="14.25" x14ac:dyDescent="0.25">
      <c r="A9" s="102"/>
      <c r="B9" s="7"/>
      <c r="C9" s="7"/>
      <c r="D9" s="107"/>
    </row>
    <row r="10" spans="1:4" ht="15.75" x14ac:dyDescent="0.3">
      <c r="A10" s="101" t="s">
        <v>370</v>
      </c>
      <c r="B10" s="128">
        <f>SUM('PERIODIC ENGINE'!$U$2:$U$102)+INPUTS!$C$8*(1+B8)^(Horizon_Rows*'PERIODIC ENGINE'!$S$3)</f>
        <v>11101633.310212709</v>
      </c>
      <c r="C10" s="96" t="s">
        <v>371</v>
      </c>
      <c r="D10" s="107"/>
    </row>
    <row r="11" spans="1:4" ht="15.75" x14ac:dyDescent="0.3">
      <c r="A11" s="101" t="s">
        <v>372</v>
      </c>
      <c r="B11" s="128">
        <f>IF(B7="Real",B6*(1+INPUTS!$C$11)^Horizon_Years,B6)</f>
        <v>2000000</v>
      </c>
      <c r="C11" s="96" t="s">
        <v>373</v>
      </c>
      <c r="D11" s="107"/>
    </row>
    <row r="12" spans="1:4" ht="15.75" x14ac:dyDescent="0.3">
      <c r="A12" s="101" t="s">
        <v>374</v>
      </c>
      <c r="B12" s="129">
        <f>B10-B11</f>
        <v>9101633.310212709</v>
      </c>
      <c r="C12" s="96" t="s">
        <v>375</v>
      </c>
      <c r="D12" s="107"/>
    </row>
    <row r="13" spans="1:4" ht="16.5" x14ac:dyDescent="0.3">
      <c r="A13" s="101" t="s">
        <v>376</v>
      </c>
      <c r="B13" s="130">
        <f>B8</f>
        <v>0.1</v>
      </c>
      <c r="C13" s="96" t="s">
        <v>377</v>
      </c>
      <c r="D13" s="107"/>
    </row>
    <row r="14" spans="1:4" ht="14.25" x14ac:dyDescent="0.25">
      <c r="A14" s="102"/>
      <c r="B14" s="7"/>
      <c r="C14" s="7"/>
      <c r="D14" s="107"/>
    </row>
    <row r="15" spans="1:4" ht="14.25" x14ac:dyDescent="0.25">
      <c r="A15" s="103" t="s">
        <v>378</v>
      </c>
      <c r="B15" s="7"/>
      <c r="C15" s="7"/>
      <c r="D15" s="107"/>
    </row>
    <row r="16" spans="1:4" ht="14.25" x14ac:dyDescent="0.25">
      <c r="A16" s="104" t="s">
        <v>454</v>
      </c>
      <c r="B16" s="7"/>
      <c r="C16" s="7"/>
      <c r="D16" s="107"/>
    </row>
    <row r="17" spans="1:4" ht="14.25" x14ac:dyDescent="0.25">
      <c r="A17" s="105" t="s">
        <v>455</v>
      </c>
      <c r="B17" s="99"/>
      <c r="C17" s="99"/>
      <c r="D17" s="108"/>
    </row>
    <row r="18" spans="1:4" ht="14.25" x14ac:dyDescent="0.25">
      <c r="A18" s="7"/>
      <c r="B18" s="7"/>
      <c r="C18" s="7"/>
      <c r="D18" s="7"/>
    </row>
    <row r="19" spans="1:4" ht="14.25" x14ac:dyDescent="0.25">
      <c r="A19" s="7"/>
      <c r="B19" s="7"/>
      <c r="C19" s="7"/>
      <c r="D19" s="7"/>
    </row>
    <row r="20" spans="1:4" ht="17.25" x14ac:dyDescent="0.3">
      <c r="A20" s="141" t="s">
        <v>383</v>
      </c>
      <c r="B20" s="98"/>
      <c r="C20" s="98"/>
      <c r="D20" s="106"/>
    </row>
    <row r="21" spans="1:4" ht="14.25" x14ac:dyDescent="0.25">
      <c r="A21" s="100" t="s">
        <v>456</v>
      </c>
      <c r="B21" s="7"/>
      <c r="C21" s="7"/>
      <c r="D21" s="107"/>
    </row>
    <row r="22" spans="1:4" ht="15.75" x14ac:dyDescent="0.3">
      <c r="A22" s="101" t="s">
        <v>384</v>
      </c>
      <c r="B22" s="134">
        <v>3</v>
      </c>
      <c r="C22" s="97" t="s">
        <v>385</v>
      </c>
      <c r="D22" s="107"/>
    </row>
    <row r="23" spans="1:4" ht="14.25" x14ac:dyDescent="0.25">
      <c r="A23" s="102"/>
      <c r="B23" s="7"/>
      <c r="C23" s="7"/>
      <c r="D23" s="107"/>
    </row>
    <row r="24" spans="1:4" ht="14.25" x14ac:dyDescent="0.25">
      <c r="A24" s="142" t="s">
        <v>386</v>
      </c>
      <c r="B24" s="140" t="s">
        <v>387</v>
      </c>
      <c r="C24" s="140" t="s">
        <v>388</v>
      </c>
      <c r="D24" s="143" t="s">
        <v>389</v>
      </c>
    </row>
    <row r="25" spans="1:4" ht="14.25" x14ac:dyDescent="0.25">
      <c r="A25" s="102" t="s">
        <v>390</v>
      </c>
      <c r="B25" s="121">
        <f>MAX(0,INPUTS!$C$10-$B$22/100)</f>
        <v>7.0000000000000007E-2</v>
      </c>
      <c r="C25" s="122">
        <f>SUM('PERIODIC ENGINE'!$W$2:$W$102)+INPUTS!$C$8*(1+B25)^(Horizon_Rows*'PERIODIC ENGINE'!$S$3)</f>
        <v>5498285.2991940379</v>
      </c>
      <c r="D25" s="123">
        <f>C25/(1+INPUTS!$C$11)^Horizon_Years</f>
        <v>448822.95908128814</v>
      </c>
    </row>
    <row r="26" spans="1:4" ht="14.25" x14ac:dyDescent="0.25">
      <c r="A26" s="102" t="s">
        <v>391</v>
      </c>
      <c r="B26" s="121">
        <f>INPUTS!$C$10</f>
        <v>0.1</v>
      </c>
      <c r="C26" s="122">
        <f>SUM('PERIODIC ENGINE'!$Q$2:$Q$102)+INPUTS!$C$8*(1+B26)^(Horizon_Rows*'PERIODIC ENGINE'!$S$3)</f>
        <v>11101633.310212709</v>
      </c>
      <c r="D26" s="123">
        <f>C26/(1+INPUTS!$C$11)^Horizon_Years</f>
        <v>906222.14777677052</v>
      </c>
    </row>
    <row r="27" spans="1:4" ht="14.25" x14ac:dyDescent="0.25">
      <c r="A27" s="109" t="s">
        <v>392</v>
      </c>
      <c r="B27" s="124">
        <f>INPUTS!$C$10+$B$22/100</f>
        <v>0.13</v>
      </c>
      <c r="C27" s="125">
        <f>SUM('PERIODIC ENGINE'!$Y$2:$Y$102)+INPUTS!$C$8*(1+B27)^(Horizon_Rows*'PERIODIC ENGINE'!$S$3)</f>
        <v>24513236.286721926</v>
      </c>
      <c r="D27" s="126">
        <f>C27/(1+INPUTS!$C$11)^Horizon_Years</f>
        <v>2001006.2497990197</v>
      </c>
    </row>
    <row r="28" spans="1:4" ht="14.25" x14ac:dyDescent="0.25">
      <c r="A28" s="7"/>
      <c r="B28" s="7"/>
      <c r="C28" s="7"/>
      <c r="D28" s="7"/>
    </row>
    <row r="29" spans="1:4" ht="14.25" x14ac:dyDescent="0.25">
      <c r="A29" s="7"/>
      <c r="B29" s="7"/>
      <c r="C29" s="7"/>
      <c r="D29" s="7"/>
    </row>
    <row r="30" spans="1:4" ht="17.25" x14ac:dyDescent="0.3">
      <c r="A30" s="141" t="s">
        <v>397</v>
      </c>
      <c r="B30" s="98"/>
      <c r="C30" s="98"/>
      <c r="D30" s="106"/>
    </row>
    <row r="31" spans="1:4" ht="14.25" x14ac:dyDescent="0.25">
      <c r="A31" s="100" t="s">
        <v>457</v>
      </c>
      <c r="B31" s="7"/>
      <c r="C31" s="7"/>
      <c r="D31" s="107"/>
    </row>
    <row r="32" spans="1:4" ht="15.75" x14ac:dyDescent="0.3">
      <c r="A32" s="101" t="s">
        <v>398</v>
      </c>
      <c r="B32" s="134">
        <v>1.5</v>
      </c>
      <c r="C32" s="97" t="s">
        <v>399</v>
      </c>
      <c r="D32" s="107"/>
    </row>
    <row r="33" spans="1:4" ht="14.25" x14ac:dyDescent="0.25">
      <c r="A33" s="102"/>
      <c r="B33" s="7"/>
      <c r="C33" s="7"/>
      <c r="D33" s="107"/>
    </row>
    <row r="34" spans="1:4" ht="14.25" x14ac:dyDescent="0.25">
      <c r="A34" s="142" t="s">
        <v>400</v>
      </c>
      <c r="B34" s="140" t="s">
        <v>401</v>
      </c>
      <c r="C34" s="140" t="s">
        <v>402</v>
      </c>
      <c r="D34" s="107"/>
    </row>
    <row r="35" spans="1:4" ht="14.25" x14ac:dyDescent="0.25">
      <c r="A35" s="102" t="s">
        <v>403</v>
      </c>
      <c r="B35" s="121">
        <f>MAX(0,INPUTS!$C$11-$B$32/100)</f>
        <v>4.4999999999999998E-2</v>
      </c>
      <c r="C35" s="122">
        <f>$C$26/(1+B35)^Horizon_Years</f>
        <v>1672578.0350109816</v>
      </c>
      <c r="D35" s="107"/>
    </row>
    <row r="36" spans="1:4" ht="14.25" x14ac:dyDescent="0.25">
      <c r="A36" s="102" t="s">
        <v>391</v>
      </c>
      <c r="B36" s="121">
        <f>INPUTS!$C$11</f>
        <v>0.06</v>
      </c>
      <c r="C36" s="122">
        <f>$C$26/(1+B36)^Horizon_Years</f>
        <v>906222.14777677052</v>
      </c>
      <c r="D36" s="107"/>
    </row>
    <row r="37" spans="1:4" ht="14.25" x14ac:dyDescent="0.25">
      <c r="A37" s="109" t="s">
        <v>404</v>
      </c>
      <c r="B37" s="124">
        <f>INPUTS!$C$11+$B$32/100</f>
        <v>7.4999999999999997E-2</v>
      </c>
      <c r="C37" s="125">
        <f>$C$26/(1+B37)^Horizon_Years</f>
        <v>495248.21117869247</v>
      </c>
      <c r="D37" s="108"/>
    </row>
    <row r="38" spans="1:4" ht="14.25" x14ac:dyDescent="0.25">
      <c r="A38" s="7"/>
      <c r="B38" s="7"/>
      <c r="C38" s="7"/>
      <c r="D38" s="7"/>
    </row>
    <row r="39" spans="1:4" ht="14.25" x14ac:dyDescent="0.25">
      <c r="A39" s="7"/>
      <c r="B39" s="7"/>
      <c r="C39" s="7"/>
      <c r="D39" s="7"/>
    </row>
    <row r="40" spans="1:4" ht="17.25" x14ac:dyDescent="0.3">
      <c r="A40" s="141" t="s">
        <v>407</v>
      </c>
      <c r="B40" s="98"/>
      <c r="C40" s="98"/>
      <c r="D40" s="106"/>
    </row>
    <row r="41" spans="1:4" ht="15.75" x14ac:dyDescent="0.3">
      <c r="A41" s="101" t="s">
        <v>408</v>
      </c>
      <c r="B41" s="135">
        <v>0</v>
      </c>
      <c r="C41" s="7"/>
      <c r="D41" s="107"/>
    </row>
    <row r="42" spans="1:4" ht="15.75" x14ac:dyDescent="0.3">
      <c r="A42" s="101" t="s">
        <v>409</v>
      </c>
      <c r="B42" s="135">
        <v>0</v>
      </c>
      <c r="C42" s="7"/>
      <c r="D42" s="107"/>
    </row>
    <row r="43" spans="1:4" ht="14.25" x14ac:dyDescent="0.25">
      <c r="A43" s="102"/>
      <c r="B43" s="7"/>
      <c r="C43" s="7"/>
      <c r="D43" s="107"/>
    </row>
    <row r="44" spans="1:4" ht="14.25" x14ac:dyDescent="0.25">
      <c r="A44" s="142" t="s">
        <v>386</v>
      </c>
      <c r="B44" s="140" t="s">
        <v>388</v>
      </c>
      <c r="C44" s="140" t="s">
        <v>410</v>
      </c>
      <c r="D44" s="107"/>
    </row>
    <row r="45" spans="1:4" ht="14.25" x14ac:dyDescent="0.25">
      <c r="A45" s="102" t="s">
        <v>411</v>
      </c>
      <c r="B45" s="122">
        <f>$C$26</f>
        <v>11101633.310212709</v>
      </c>
      <c r="C45" s="118" t="s">
        <v>0</v>
      </c>
      <c r="D45" s="107"/>
    </row>
    <row r="46" spans="1:4" ht="14.25" x14ac:dyDescent="0.25">
      <c r="A46" s="109" t="s">
        <v>412</v>
      </c>
      <c r="B46" s="125">
        <f>SUM('PERIODIC ENGINE'!$AA$2:$AA$102)+INPUTS!$C$8*(1+INPUTS!$C$10)^(Horizon_Rows*'PERIODIC ENGINE'!$S$3)</f>
        <v>11101633.310212709</v>
      </c>
      <c r="C46" s="127">
        <f>B46-B45</f>
        <v>0</v>
      </c>
      <c r="D46" s="108"/>
    </row>
    <row r="47" spans="1:4" ht="14.25" x14ac:dyDescent="0.25">
      <c r="A47" s="7"/>
      <c r="B47" s="7"/>
      <c r="C47" s="7"/>
      <c r="D47" s="7"/>
    </row>
    <row r="48" spans="1:4" ht="17.25" x14ac:dyDescent="0.3">
      <c r="A48" s="141" t="s">
        <v>415</v>
      </c>
      <c r="B48" s="98"/>
      <c r="C48" s="98"/>
      <c r="D48" s="106"/>
    </row>
    <row r="49" spans="1:4" ht="15.75" x14ac:dyDescent="0.3">
      <c r="A49" s="101" t="s">
        <v>418</v>
      </c>
      <c r="B49" s="135">
        <v>45</v>
      </c>
      <c r="C49" s="97" t="s">
        <v>419</v>
      </c>
      <c r="D49" s="107"/>
    </row>
    <row r="50" spans="1:4" ht="14.25" x14ac:dyDescent="0.25">
      <c r="A50" s="102"/>
      <c r="B50" s="7"/>
      <c r="C50" s="7"/>
      <c r="D50" s="107"/>
    </row>
    <row r="51" spans="1:4" ht="14.25" x14ac:dyDescent="0.25">
      <c r="A51" s="142" t="s">
        <v>386</v>
      </c>
      <c r="B51" s="140" t="s">
        <v>388</v>
      </c>
      <c r="C51" s="140" t="s">
        <v>410</v>
      </c>
      <c r="D51" s="107"/>
    </row>
    <row r="52" spans="1:4" ht="14.25" x14ac:dyDescent="0.25">
      <c r="A52" s="102" t="s">
        <v>416</v>
      </c>
      <c r="B52" s="122">
        <f>$C$26</f>
        <v>11101633.310212709</v>
      </c>
      <c r="C52" s="118" t="s">
        <v>0</v>
      </c>
      <c r="D52" s="107"/>
    </row>
    <row r="53" spans="1:4" ht="14.25" x14ac:dyDescent="0.25">
      <c r="A53" s="109" t="s">
        <v>417</v>
      </c>
      <c r="B53" s="125">
        <f>SUM('PERIODIC ENGINE'!$AC$2:$AC$102)+INPUTS!$C$8*(1+INPUTS!$C$10)^(Horizon_Rows*'PERIODIC ENGINE'!$S$3)</f>
        <v>7860628.2677338738</v>
      </c>
      <c r="C53" s="127">
        <f>B53-B52</f>
        <v>-3241005.0424788352</v>
      </c>
      <c r="D53" s="108"/>
    </row>
  </sheetData>
  <conditionalFormatting sqref="B12">
    <cfRule type="cellIs" dxfId="11" priority="1" operator="between">
      <formula>-1</formula>
      <formula>1</formula>
    </cfRule>
    <cfRule type="cellIs" dxfId="10" priority="2" operator="lessThan">
      <formula>-1</formula>
    </cfRule>
    <cfRule type="cellIs" dxfId="9" priority="3" operator="greaterThan">
      <formula>1</formula>
    </cfRule>
  </conditionalFormatting>
  <dataValidations count="1">
    <dataValidation type="list" allowBlank="1" showInputMessage="1" showErrorMessage="1" sqref="B7" xr:uid="{74A56A53-A2E8-46BF-96B1-31B998E9EC48}">
      <formula1>"Nominal,Real"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C1AD-B7C4-41B7-AF9C-AAC6F813392D}">
  <sheetPr>
    <tabColor rgb="FFA24200"/>
  </sheetPr>
  <dimension ref="A1:N64"/>
  <sheetViews>
    <sheetView showGridLines="0" zoomScaleNormal="100" workbookViewId="0">
      <pane ySplit="1" topLeftCell="A44" activePane="bottomLeft" state="frozen"/>
      <selection pane="bottomLeft" activeCell="A60" sqref="A60"/>
    </sheetView>
  </sheetViews>
  <sheetFormatPr defaultColWidth="9.140625" defaultRowHeight="12.75" x14ac:dyDescent="0.2"/>
  <cols>
    <col min="1" max="1" width="255.7109375" style="1" bestFit="1" customWidth="1"/>
    <col min="2" max="2" width="16.85546875" style="1" bestFit="1" customWidth="1"/>
    <col min="3" max="3" width="103.140625" style="1" bestFit="1" customWidth="1"/>
    <col min="4" max="4" width="39" style="1" bestFit="1" customWidth="1"/>
    <col min="5" max="5" width="47.28515625" style="1" bestFit="1" customWidth="1"/>
    <col min="6" max="6" width="41.42578125" style="1" bestFit="1" customWidth="1"/>
    <col min="7" max="7" width="15" style="1" bestFit="1" customWidth="1"/>
    <col min="8" max="8" width="17.5703125" style="1" bestFit="1" customWidth="1"/>
    <col min="9" max="9" width="15.28515625" style="1" bestFit="1" customWidth="1"/>
    <col min="10" max="10" width="55.5703125" style="1" customWidth="1"/>
    <col min="11" max="11" width="17.5703125" style="1" bestFit="1" customWidth="1"/>
    <col min="12" max="12" width="15" style="1" bestFit="1" customWidth="1"/>
    <col min="13" max="13" width="17.5703125" style="1" bestFit="1" customWidth="1"/>
    <col min="14" max="14" width="15.28515625" style="1" bestFit="1" customWidth="1"/>
    <col min="15" max="16384" width="9.140625" style="1"/>
  </cols>
  <sheetData>
    <row r="1" spans="1:14" ht="24.75" thickBot="1" x14ac:dyDescent="0.25">
      <c r="A1" s="219" t="s">
        <v>458</v>
      </c>
      <c r="B1" s="219"/>
      <c r="C1" s="219"/>
      <c r="D1" s="48"/>
      <c r="E1" s="48"/>
      <c r="F1" s="49" t="s">
        <v>287</v>
      </c>
      <c r="G1" s="49"/>
      <c r="H1" s="49"/>
      <c r="I1" s="49"/>
      <c r="J1" s="49"/>
      <c r="K1" s="49"/>
      <c r="L1" s="49"/>
      <c r="M1" s="49"/>
      <c r="N1" s="49"/>
    </row>
    <row r="2" spans="1:14" ht="14.25" x14ac:dyDescent="0.2">
      <c r="A2" s="218" t="s">
        <v>288</v>
      </c>
      <c r="B2" s="218"/>
      <c r="C2" s="50"/>
      <c r="D2" s="50"/>
      <c r="E2" s="51"/>
      <c r="F2" s="50"/>
      <c r="G2" s="50"/>
      <c r="H2" s="50"/>
      <c r="I2" s="50"/>
      <c r="J2" s="51"/>
      <c r="K2" s="50"/>
      <c r="L2" s="50"/>
      <c r="M2" s="50"/>
      <c r="N2" s="50"/>
    </row>
    <row r="3" spans="1:14" ht="14.25" x14ac:dyDescent="0.2">
      <c r="A3" s="217" t="s">
        <v>289</v>
      </c>
      <c r="B3" s="217"/>
      <c r="C3" s="217"/>
      <c r="D3" s="217"/>
      <c r="E3" s="52"/>
      <c r="F3" s="217" t="s">
        <v>290</v>
      </c>
      <c r="G3" s="217"/>
      <c r="H3" s="217"/>
      <c r="I3" s="217"/>
      <c r="J3" s="52"/>
      <c r="K3" s="217" t="s">
        <v>15</v>
      </c>
      <c r="L3" s="217"/>
      <c r="M3" s="217"/>
      <c r="N3" s="217"/>
    </row>
    <row r="4" spans="1:14" ht="28.5" x14ac:dyDescent="0.2">
      <c r="A4" s="53" t="s">
        <v>291</v>
      </c>
      <c r="B4" s="53" t="s">
        <v>292</v>
      </c>
      <c r="C4" s="53" t="s">
        <v>293</v>
      </c>
      <c r="D4" s="53" t="s">
        <v>294</v>
      </c>
      <c r="E4" s="52"/>
      <c r="F4" s="53" t="s">
        <v>291</v>
      </c>
      <c r="G4" s="53" t="s">
        <v>292</v>
      </c>
      <c r="H4" s="53" t="s">
        <v>293</v>
      </c>
      <c r="I4" s="53" t="s">
        <v>294</v>
      </c>
      <c r="J4" s="52"/>
      <c r="K4" s="53" t="s">
        <v>291</v>
      </c>
      <c r="L4" s="53" t="s">
        <v>292</v>
      </c>
      <c r="M4" s="53" t="s">
        <v>293</v>
      </c>
      <c r="N4" s="53" t="s">
        <v>294</v>
      </c>
    </row>
    <row r="5" spans="1:14" ht="18" customHeight="1" x14ac:dyDescent="0.2">
      <c r="A5" s="54">
        <v>0.1</v>
      </c>
      <c r="B5" s="55">
        <v>0</v>
      </c>
      <c r="C5" s="55">
        <v>12400</v>
      </c>
      <c r="D5" s="55">
        <f>A5*(C5-B5)</f>
        <v>1240</v>
      </c>
      <c r="E5" s="52"/>
      <c r="F5" s="54">
        <v>0.1</v>
      </c>
      <c r="G5" s="55">
        <v>0</v>
      </c>
      <c r="H5" s="55">
        <v>24800</v>
      </c>
      <c r="I5" s="55">
        <f>F5*(H5)</f>
        <v>2480</v>
      </c>
      <c r="J5" s="52"/>
      <c r="K5" s="54">
        <v>0.1</v>
      </c>
      <c r="L5" s="55">
        <v>0</v>
      </c>
      <c r="M5" s="55">
        <v>17700</v>
      </c>
      <c r="N5" s="55">
        <f>K5*(M5)</f>
        <v>1770</v>
      </c>
    </row>
    <row r="6" spans="1:14" ht="18" customHeight="1" x14ac:dyDescent="0.2">
      <c r="A6" s="54">
        <v>0.12</v>
      </c>
      <c r="B6" s="55">
        <f>C5+1</f>
        <v>12401</v>
      </c>
      <c r="C6" s="55">
        <v>50400</v>
      </c>
      <c r="D6" s="55">
        <f>A6*(C6-B6+1)</f>
        <v>4560</v>
      </c>
      <c r="E6" s="52"/>
      <c r="F6" s="54">
        <v>0.12</v>
      </c>
      <c r="G6" s="55">
        <f>H5+1</f>
        <v>24801</v>
      </c>
      <c r="H6" s="55">
        <v>100800</v>
      </c>
      <c r="I6" s="55">
        <f>F6*(H6-G6)</f>
        <v>9119.8799999999992</v>
      </c>
      <c r="J6" s="52"/>
      <c r="K6" s="54">
        <v>0.12</v>
      </c>
      <c r="L6" s="55">
        <f>M5+1</f>
        <v>17701</v>
      </c>
      <c r="M6" s="55">
        <v>67450</v>
      </c>
      <c r="N6" s="55">
        <f>K6*(M6-L6)</f>
        <v>5969.88</v>
      </c>
    </row>
    <row r="7" spans="1:14" ht="18" customHeight="1" x14ac:dyDescent="0.2">
      <c r="A7" s="54">
        <v>0.22</v>
      </c>
      <c r="B7" s="55">
        <f>C6+1</f>
        <v>50401</v>
      </c>
      <c r="C7" s="55">
        <v>105700</v>
      </c>
      <c r="D7" s="55">
        <f>A7*(C7-B7+1)</f>
        <v>12166</v>
      </c>
      <c r="E7" s="52"/>
      <c r="F7" s="54">
        <v>0.22</v>
      </c>
      <c r="G7" s="55">
        <f>H6+1</f>
        <v>100801</v>
      </c>
      <c r="H7" s="55">
        <v>211400</v>
      </c>
      <c r="I7" s="55">
        <f>F7*(H7-G7)</f>
        <v>24331.78</v>
      </c>
      <c r="J7" s="52"/>
      <c r="K7" s="54">
        <v>0.22</v>
      </c>
      <c r="L7" s="55">
        <f>M6+1</f>
        <v>67451</v>
      </c>
      <c r="M7" s="55">
        <v>105700</v>
      </c>
      <c r="N7" s="55">
        <f>K7*(M7-L7)</f>
        <v>8414.7800000000007</v>
      </c>
    </row>
    <row r="8" spans="1:14" ht="18" customHeight="1" x14ac:dyDescent="0.2">
      <c r="A8" s="54">
        <v>0.24</v>
      </c>
      <c r="B8" s="55">
        <f>C7+1</f>
        <v>105701</v>
      </c>
      <c r="C8" s="55">
        <v>201775</v>
      </c>
      <c r="D8" s="55">
        <f>A8*(C8-B8+1)</f>
        <v>23058</v>
      </c>
      <c r="E8" s="52"/>
      <c r="F8" s="54">
        <v>0.24</v>
      </c>
      <c r="G8" s="55">
        <f>H7+1</f>
        <v>211401</v>
      </c>
      <c r="H8" s="55">
        <v>403550</v>
      </c>
      <c r="I8" s="55">
        <f>F8*(H8-G8)</f>
        <v>46115.759999999995</v>
      </c>
      <c r="J8" s="52"/>
      <c r="K8" s="54">
        <v>0.24</v>
      </c>
      <c r="L8" s="55">
        <f>M7+1</f>
        <v>105701</v>
      </c>
      <c r="M8" s="55">
        <v>201700</v>
      </c>
      <c r="N8" s="55">
        <f>K8*(M8-L8)</f>
        <v>23039.759999999998</v>
      </c>
    </row>
    <row r="9" spans="1:14" ht="18" customHeight="1" x14ac:dyDescent="0.2">
      <c r="A9" s="54">
        <v>0.32</v>
      </c>
      <c r="B9" s="55">
        <f>C8+1</f>
        <v>201776</v>
      </c>
      <c r="C9" s="55">
        <v>256225</v>
      </c>
      <c r="D9" s="55">
        <f>A9*(C9-B9+1)</f>
        <v>17424</v>
      </c>
      <c r="E9" s="52"/>
      <c r="F9" s="54">
        <v>0.32</v>
      </c>
      <c r="G9" s="55">
        <f>H8+1</f>
        <v>403551</v>
      </c>
      <c r="H9" s="55">
        <v>512450</v>
      </c>
      <c r="I9" s="55">
        <f>F9*(H9-G9)</f>
        <v>34847.68</v>
      </c>
      <c r="J9" s="52"/>
      <c r="K9" s="54">
        <v>0.32</v>
      </c>
      <c r="L9" s="55">
        <f>M8+1</f>
        <v>201701</v>
      </c>
      <c r="M9" s="55">
        <v>256200</v>
      </c>
      <c r="N9" s="55">
        <f>K9*(M9-L9)</f>
        <v>17439.68</v>
      </c>
    </row>
    <row r="10" spans="1:14" ht="18" customHeight="1" x14ac:dyDescent="0.2">
      <c r="A10" s="54">
        <v>0.35</v>
      </c>
      <c r="B10" s="55">
        <f>C9+1</f>
        <v>256226</v>
      </c>
      <c r="C10" s="55">
        <v>646600</v>
      </c>
      <c r="D10" s="55">
        <f>A10*(C10-B10+1)</f>
        <v>136631.25</v>
      </c>
      <c r="E10" s="52"/>
      <c r="F10" s="54">
        <v>0.35</v>
      </c>
      <c r="G10" s="55">
        <f>H9+1</f>
        <v>512451</v>
      </c>
      <c r="H10" s="55">
        <v>768600</v>
      </c>
      <c r="I10" s="55">
        <f>F10*(H10-G10)</f>
        <v>89652.15</v>
      </c>
      <c r="J10" s="52"/>
      <c r="K10" s="54">
        <v>0.35</v>
      </c>
      <c r="L10" s="55">
        <f>M9+1</f>
        <v>256201</v>
      </c>
      <c r="M10" s="55">
        <v>640600</v>
      </c>
      <c r="N10" s="55">
        <f>K10*(M10-L10)</f>
        <v>134539.65</v>
      </c>
    </row>
    <row r="11" spans="1:14" ht="18" customHeight="1" x14ac:dyDescent="0.2">
      <c r="A11" s="54">
        <v>0.37</v>
      </c>
      <c r="B11" s="55">
        <f>C10</f>
        <v>646600</v>
      </c>
      <c r="C11" s="55"/>
      <c r="D11" s="55"/>
      <c r="E11" s="56"/>
      <c r="F11" s="54">
        <v>0.37</v>
      </c>
      <c r="G11" s="55">
        <f>H10</f>
        <v>768600</v>
      </c>
      <c r="H11" s="55"/>
      <c r="I11" s="55"/>
      <c r="J11" s="52"/>
      <c r="K11" s="54">
        <v>0.37</v>
      </c>
      <c r="L11" s="55">
        <f>M10</f>
        <v>640600</v>
      </c>
      <c r="M11" s="55"/>
      <c r="N11" s="55"/>
    </row>
    <row r="12" spans="1:14" ht="18" customHeight="1" x14ac:dyDescent="0.2">
      <c r="A12" s="215" t="s">
        <v>295</v>
      </c>
      <c r="B12" s="216"/>
      <c r="C12" s="57"/>
      <c r="D12" s="57"/>
      <c r="E12" s="52"/>
      <c r="F12" s="215" t="s">
        <v>295</v>
      </c>
      <c r="G12" s="216"/>
      <c r="H12" s="57"/>
      <c r="I12" s="57"/>
      <c r="J12" s="52"/>
      <c r="K12" s="215" t="s">
        <v>295</v>
      </c>
      <c r="L12" s="216"/>
      <c r="M12" s="57"/>
      <c r="N12" s="57"/>
    </row>
    <row r="13" spans="1:14" ht="18" customHeight="1" x14ac:dyDescent="0.2">
      <c r="A13" s="46" t="s">
        <v>3</v>
      </c>
      <c r="B13" s="58">
        <v>16100</v>
      </c>
      <c r="C13" s="47" t="s">
        <v>13</v>
      </c>
      <c r="D13" s="47"/>
      <c r="E13" s="52"/>
      <c r="F13" s="46" t="s">
        <v>11</v>
      </c>
      <c r="G13" s="58">
        <v>32200</v>
      </c>
      <c r="H13" s="47"/>
      <c r="I13" s="47"/>
      <c r="J13" s="52"/>
      <c r="K13" s="46" t="s">
        <v>15</v>
      </c>
      <c r="L13" s="58">
        <v>24150</v>
      </c>
      <c r="M13" s="47"/>
      <c r="N13" s="47"/>
    </row>
    <row r="14" spans="1:14" ht="18" customHeight="1" x14ac:dyDescent="0.2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14" ht="18" customHeight="1" x14ac:dyDescent="0.2">
      <c r="A15" s="59" t="s">
        <v>296</v>
      </c>
      <c r="B15" s="59" t="s">
        <v>12</v>
      </c>
      <c r="C15" s="59" t="s">
        <v>14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4" ht="18" customHeight="1" x14ac:dyDescent="0.2">
      <c r="A16" s="52" t="s">
        <v>327</v>
      </c>
      <c r="B16" s="60">
        <v>50</v>
      </c>
      <c r="C16" s="52" t="s">
        <v>459</v>
      </c>
      <c r="D16" s="52"/>
      <c r="E16" s="56"/>
      <c r="F16" s="52"/>
      <c r="G16" s="52"/>
      <c r="H16" s="52"/>
      <c r="I16" s="52"/>
      <c r="J16" s="52"/>
      <c r="K16" s="52"/>
      <c r="L16" s="52"/>
      <c r="M16" s="52"/>
      <c r="N16" s="52"/>
    </row>
    <row r="17" spans="1:14" ht="18" customHeight="1" x14ac:dyDescent="0.2">
      <c r="A17" s="52" t="s">
        <v>328</v>
      </c>
      <c r="B17" s="60">
        <v>25</v>
      </c>
      <c r="C17" s="52" t="s">
        <v>460</v>
      </c>
      <c r="D17" s="52"/>
      <c r="E17" s="56"/>
      <c r="F17" s="52"/>
      <c r="G17" s="52"/>
      <c r="H17" s="52"/>
      <c r="I17" s="52"/>
      <c r="J17" s="52"/>
      <c r="K17" s="52"/>
      <c r="L17" s="52"/>
      <c r="M17" s="52"/>
      <c r="N17" s="52"/>
    </row>
    <row r="18" spans="1:14" ht="18" customHeight="1" x14ac:dyDescent="0.2">
      <c r="A18" s="52" t="s">
        <v>309</v>
      </c>
      <c r="B18" s="60">
        <v>50</v>
      </c>
      <c r="C18" s="52" t="s">
        <v>310</v>
      </c>
      <c r="D18" s="52"/>
      <c r="E18" s="56"/>
      <c r="F18" s="52"/>
      <c r="G18" s="52"/>
      <c r="H18" s="52"/>
      <c r="I18" s="52"/>
      <c r="J18" s="52"/>
      <c r="K18" s="52"/>
      <c r="L18" s="52"/>
      <c r="M18" s="52"/>
      <c r="N18" s="52"/>
    </row>
    <row r="19" spans="1:14" ht="18" customHeight="1" x14ac:dyDescent="0.2">
      <c r="A19" s="52"/>
      <c r="B19" s="61"/>
      <c r="C19" s="52"/>
      <c r="D19" s="52"/>
      <c r="E19" s="56"/>
      <c r="F19" s="52"/>
      <c r="G19" s="52"/>
      <c r="H19" s="52"/>
      <c r="I19" s="52"/>
      <c r="J19" s="52"/>
      <c r="K19" s="52"/>
      <c r="L19" s="52"/>
      <c r="M19" s="52"/>
      <c r="N19" s="52"/>
    </row>
    <row r="20" spans="1:14" ht="18" customHeight="1" x14ac:dyDescent="0.2">
      <c r="A20" s="62" t="s">
        <v>297</v>
      </c>
      <c r="B20" s="63"/>
      <c r="C20" s="64"/>
      <c r="D20" s="64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8" customHeight="1" x14ac:dyDescent="0.2">
      <c r="A21" s="66" t="s">
        <v>298</v>
      </c>
      <c r="B21" s="67" t="s">
        <v>299</v>
      </c>
      <c r="C21" s="66" t="s">
        <v>300</v>
      </c>
      <c r="D21" s="66" t="s">
        <v>301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 ht="18" customHeight="1" x14ac:dyDescent="0.2">
      <c r="A22" s="56" t="s">
        <v>4</v>
      </c>
      <c r="B22" s="68">
        <v>6.2E-2</v>
      </c>
      <c r="C22" s="69">
        <v>184500</v>
      </c>
      <c r="D22" s="56" t="s">
        <v>5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 ht="18" customHeight="1" x14ac:dyDescent="0.2">
      <c r="A23" s="56" t="s">
        <v>464</v>
      </c>
      <c r="B23" s="68"/>
      <c r="C23" s="69"/>
      <c r="D23" s="56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 ht="18" customHeight="1" x14ac:dyDescent="0.2">
      <c r="A24" s="56" t="s">
        <v>6</v>
      </c>
      <c r="B24" s="68">
        <v>1.4500000000000001E-2</v>
      </c>
      <c r="C24" s="56" t="s">
        <v>7</v>
      </c>
      <c r="D24" s="56" t="s">
        <v>8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 spans="1:14" ht="14.25" x14ac:dyDescent="0.2">
      <c r="A25" s="70" t="s">
        <v>317</v>
      </c>
      <c r="B25" s="68">
        <v>8.9999999999999993E-3</v>
      </c>
      <c r="C25" s="69">
        <v>200000</v>
      </c>
      <c r="D25" s="52" t="s">
        <v>10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 spans="1:14" ht="14.25" x14ac:dyDescent="0.2">
      <c r="A26" s="71" t="s">
        <v>316</v>
      </c>
      <c r="B26" s="68">
        <v>8.9999999999999993E-3</v>
      </c>
      <c r="C26" s="69">
        <v>250000</v>
      </c>
      <c r="D26" s="52" t="s">
        <v>9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 spans="1:14" ht="14.25" x14ac:dyDescent="0.2">
      <c r="A27" s="71" t="s">
        <v>315</v>
      </c>
      <c r="B27" s="68">
        <v>8.9999999999999993E-3</v>
      </c>
      <c r="C27" s="72">
        <v>125000</v>
      </c>
      <c r="D27" s="52" t="s">
        <v>179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</row>
    <row r="28" spans="1:14" ht="14.25" x14ac:dyDescent="0.2">
      <c r="A28" s="71" t="s">
        <v>322</v>
      </c>
      <c r="B28" s="68">
        <v>8.9999999999999993E-3</v>
      </c>
      <c r="C28" s="72">
        <v>200000</v>
      </c>
      <c r="D28" s="52" t="s">
        <v>323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 spans="1:14" ht="18" customHeight="1" x14ac:dyDescent="0.2">
      <c r="A29" s="62" t="s">
        <v>302</v>
      </c>
      <c r="B29" s="63"/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8" customHeight="1" x14ac:dyDescent="0.2">
      <c r="A30" s="66" t="s">
        <v>303</v>
      </c>
      <c r="B30" s="67" t="s">
        <v>304</v>
      </c>
      <c r="C30" s="66" t="s">
        <v>134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 ht="18" customHeight="1" x14ac:dyDescent="0.2">
      <c r="A31" s="52" t="s">
        <v>311</v>
      </c>
      <c r="B31" s="55">
        <v>7500</v>
      </c>
      <c r="C31" s="52" t="s">
        <v>461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 ht="18" customHeight="1" x14ac:dyDescent="0.2">
      <c r="A32" s="52" t="s">
        <v>312</v>
      </c>
      <c r="B32" s="55">
        <v>1100</v>
      </c>
      <c r="C32" s="52" t="s">
        <v>17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1:14" ht="18" customHeight="1" x14ac:dyDescent="0.2">
      <c r="A33" s="52" t="s">
        <v>313</v>
      </c>
      <c r="B33" s="55">
        <v>500</v>
      </c>
      <c r="C33" s="52" t="s">
        <v>18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1:14" ht="18" customHeight="1" x14ac:dyDescent="0.2">
      <c r="A34" s="52" t="s">
        <v>314</v>
      </c>
      <c r="B34" s="55">
        <v>100</v>
      </c>
      <c r="C34" s="52" t="s">
        <v>19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 spans="1:14" ht="18" customHeight="1" x14ac:dyDescent="0.2">
      <c r="A35" s="64" t="s">
        <v>462</v>
      </c>
      <c r="B35" s="64"/>
      <c r="C35" s="64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</row>
    <row r="36" spans="1:14" ht="18" customHeight="1" x14ac:dyDescent="0.2">
      <c r="A36" s="73" t="s">
        <v>305</v>
      </c>
      <c r="B36" s="73"/>
      <c r="C36" s="73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4" ht="14.25" x14ac:dyDescent="0.2">
      <c r="A37" s="74" t="s">
        <v>20</v>
      </c>
      <c r="B37" s="75">
        <v>12400</v>
      </c>
      <c r="C37" s="74" t="s">
        <v>23</v>
      </c>
      <c r="D37" s="74"/>
      <c r="E37" s="74"/>
      <c r="F37" s="46"/>
      <c r="G37" s="46"/>
      <c r="H37" s="46"/>
      <c r="I37" s="46"/>
      <c r="J37" s="46"/>
      <c r="K37" s="46"/>
      <c r="L37" s="46"/>
      <c r="M37" s="46"/>
      <c r="N37" s="46"/>
    </row>
    <row r="38" spans="1:14" ht="14.25" x14ac:dyDescent="0.2">
      <c r="A38" s="74" t="s">
        <v>21</v>
      </c>
      <c r="B38" s="75">
        <v>16100</v>
      </c>
      <c r="C38" s="74" t="s">
        <v>24</v>
      </c>
      <c r="D38" s="74"/>
      <c r="E38" s="74"/>
      <c r="F38" s="46"/>
      <c r="G38" s="46"/>
      <c r="H38" s="46"/>
      <c r="I38" s="46"/>
      <c r="J38" s="46"/>
      <c r="K38" s="46"/>
      <c r="L38" s="46"/>
      <c r="M38" s="46"/>
      <c r="N38" s="46"/>
    </row>
    <row r="39" spans="1:14" ht="14.25" x14ac:dyDescent="0.2">
      <c r="A39" s="74" t="s">
        <v>22</v>
      </c>
      <c r="B39" s="75">
        <f>B37+B38</f>
        <v>28500</v>
      </c>
      <c r="C39" s="74" t="s">
        <v>25</v>
      </c>
      <c r="D39" s="74"/>
      <c r="E39" s="74"/>
      <c r="F39" s="46"/>
      <c r="G39" s="46"/>
      <c r="H39" s="46"/>
      <c r="I39" s="46"/>
      <c r="J39" s="46"/>
      <c r="K39" s="46"/>
      <c r="L39" s="46"/>
      <c r="M39" s="46"/>
      <c r="N39" s="46"/>
    </row>
    <row r="40" spans="1:14" ht="14.25" x14ac:dyDescent="0.2">
      <c r="A40" s="74"/>
      <c r="B40" s="74"/>
      <c r="C40" s="74"/>
      <c r="D40" s="74"/>
      <c r="E40" s="74"/>
      <c r="F40" s="46"/>
      <c r="G40" s="46"/>
      <c r="H40" s="46"/>
      <c r="I40" s="46"/>
      <c r="J40" s="46"/>
      <c r="K40" s="46"/>
      <c r="L40" s="46"/>
      <c r="M40" s="46"/>
      <c r="N40" s="46"/>
    </row>
    <row r="41" spans="1:14" ht="14.25" x14ac:dyDescent="0.2">
      <c r="A41" s="76" t="s">
        <v>463</v>
      </c>
      <c r="B41" s="76"/>
      <c r="C41" s="76"/>
      <c r="D41" s="76" t="s">
        <v>32</v>
      </c>
      <c r="E41" s="76"/>
      <c r="F41" s="46"/>
      <c r="G41" s="46"/>
      <c r="H41" s="46"/>
      <c r="I41" s="46"/>
      <c r="J41" s="46"/>
      <c r="K41" s="46"/>
      <c r="L41" s="46"/>
      <c r="M41" s="46"/>
      <c r="N41" s="46"/>
    </row>
    <row r="42" spans="1:14" ht="28.5" x14ac:dyDescent="0.2">
      <c r="A42" s="77" t="s">
        <v>26</v>
      </c>
      <c r="B42" s="77" t="s">
        <v>27</v>
      </c>
      <c r="C42" s="77" t="s">
        <v>28</v>
      </c>
      <c r="D42" s="77" t="s">
        <v>33</v>
      </c>
      <c r="E42" s="77" t="s">
        <v>54</v>
      </c>
      <c r="F42" s="46"/>
      <c r="G42" s="46"/>
      <c r="H42" s="46"/>
      <c r="I42" s="46"/>
      <c r="J42" s="46"/>
      <c r="K42" s="46"/>
      <c r="L42" s="46"/>
      <c r="M42" s="46"/>
      <c r="N42" s="46"/>
    </row>
    <row r="43" spans="1:14" ht="14.25" x14ac:dyDescent="0.2">
      <c r="A43" s="74" t="s">
        <v>29</v>
      </c>
      <c r="B43" s="75">
        <v>153000</v>
      </c>
      <c r="C43" s="75">
        <v>168000</v>
      </c>
      <c r="D43" s="74" t="s">
        <v>34</v>
      </c>
      <c r="E43" s="74" t="s">
        <v>35</v>
      </c>
      <c r="F43" s="46"/>
      <c r="G43" s="46"/>
      <c r="H43" s="46"/>
      <c r="I43" s="46"/>
      <c r="J43" s="46"/>
      <c r="K43" s="46"/>
      <c r="L43" s="46"/>
      <c r="M43" s="46"/>
      <c r="N43" s="46"/>
    </row>
    <row r="44" spans="1:14" ht="14.25" x14ac:dyDescent="0.2">
      <c r="A44" s="74" t="s">
        <v>30</v>
      </c>
      <c r="B44" s="75">
        <v>242000</v>
      </c>
      <c r="C44" s="75">
        <v>252000</v>
      </c>
      <c r="D44" s="74" t="s">
        <v>36</v>
      </c>
      <c r="E44" s="74" t="s">
        <v>37</v>
      </c>
      <c r="F44" s="46"/>
      <c r="G44" s="46"/>
      <c r="H44" s="46"/>
      <c r="I44" s="46"/>
      <c r="J44" s="46"/>
      <c r="K44" s="46"/>
      <c r="L44" s="46"/>
      <c r="M44" s="46"/>
      <c r="N44" s="46"/>
    </row>
    <row r="45" spans="1:14" ht="14.25" x14ac:dyDescent="0.2">
      <c r="A45" s="74" t="s">
        <v>31</v>
      </c>
      <c r="B45" s="75">
        <v>0</v>
      </c>
      <c r="C45" s="75">
        <v>10000</v>
      </c>
      <c r="D45" s="74" t="s">
        <v>38</v>
      </c>
      <c r="E45" s="74" t="s">
        <v>39</v>
      </c>
      <c r="F45" s="46"/>
      <c r="G45" s="46"/>
      <c r="H45" s="46"/>
      <c r="I45" s="46"/>
      <c r="J45" s="46"/>
      <c r="K45" s="46"/>
      <c r="L45" s="46"/>
      <c r="M45" s="46"/>
      <c r="N45" s="46"/>
    </row>
    <row r="46" spans="1:14" ht="14.25" x14ac:dyDescent="0.2">
      <c r="A46" s="74"/>
      <c r="B46" s="74"/>
      <c r="C46" s="74"/>
      <c r="D46" s="74"/>
      <c r="E46" s="74"/>
      <c r="F46" s="46"/>
      <c r="G46" s="46"/>
      <c r="H46" s="46"/>
      <c r="I46" s="46"/>
      <c r="J46" s="46"/>
      <c r="K46" s="46"/>
      <c r="L46" s="46"/>
      <c r="M46" s="46"/>
      <c r="N46" s="46"/>
    </row>
    <row r="47" spans="1:14" ht="28.5" x14ac:dyDescent="0.2">
      <c r="A47" s="78" t="s">
        <v>306</v>
      </c>
      <c r="B47" s="78"/>
      <c r="C47" s="78"/>
      <c r="D47" s="78" t="s">
        <v>307</v>
      </c>
      <c r="E47" s="78"/>
      <c r="F47" s="46"/>
      <c r="G47" s="46"/>
      <c r="H47" s="46"/>
      <c r="I47" s="46"/>
      <c r="J47" s="46"/>
      <c r="K47" s="46"/>
      <c r="L47" s="46"/>
      <c r="M47" s="46"/>
      <c r="N47" s="46"/>
    </row>
    <row r="48" spans="1:14" ht="14.25" x14ac:dyDescent="0.2">
      <c r="A48" s="74" t="s">
        <v>40</v>
      </c>
      <c r="B48" s="75">
        <v>5000</v>
      </c>
      <c r="C48" s="74" t="s">
        <v>55</v>
      </c>
      <c r="D48" s="74" t="s">
        <v>46</v>
      </c>
      <c r="E48" s="74" t="s">
        <v>47</v>
      </c>
      <c r="F48" s="46"/>
      <c r="G48" s="46"/>
      <c r="H48" s="46"/>
      <c r="I48" s="46"/>
      <c r="J48" s="46"/>
      <c r="K48" s="46"/>
      <c r="L48" s="46"/>
      <c r="M48" s="46"/>
      <c r="N48" s="46"/>
    </row>
    <row r="49" spans="1:14" ht="28.5" x14ac:dyDescent="0.2">
      <c r="A49" s="74" t="s">
        <v>41</v>
      </c>
      <c r="B49" s="75">
        <f>B33</f>
        <v>500</v>
      </c>
      <c r="C49" s="74" t="s">
        <v>56</v>
      </c>
      <c r="D49" s="74" t="s">
        <v>48</v>
      </c>
      <c r="E49" s="74" t="s">
        <v>49</v>
      </c>
      <c r="F49" s="46"/>
      <c r="G49" s="46"/>
      <c r="H49" s="46"/>
      <c r="I49" s="46"/>
      <c r="J49" s="46"/>
      <c r="K49" s="46"/>
      <c r="L49" s="46"/>
      <c r="M49" s="46"/>
      <c r="N49" s="46"/>
    </row>
    <row r="50" spans="1:14" ht="28.5" x14ac:dyDescent="0.2">
      <c r="A50" s="74" t="s">
        <v>42</v>
      </c>
      <c r="B50" s="79">
        <f>B31/B48</f>
        <v>1.5</v>
      </c>
      <c r="C50" s="74" t="s">
        <v>44</v>
      </c>
      <c r="D50" s="74" t="s">
        <v>50</v>
      </c>
      <c r="E50" s="74" t="s">
        <v>51</v>
      </c>
      <c r="F50" s="46"/>
      <c r="G50" s="46"/>
      <c r="H50" s="46"/>
      <c r="I50" s="46"/>
      <c r="J50" s="46"/>
      <c r="K50" s="46"/>
      <c r="L50" s="46"/>
      <c r="M50" s="46"/>
      <c r="N50" s="46"/>
    </row>
    <row r="51" spans="1:14" ht="28.5" x14ac:dyDescent="0.2">
      <c r="A51" s="74" t="s">
        <v>43</v>
      </c>
      <c r="B51" s="79">
        <f>(B31+B49)/B48</f>
        <v>1.6</v>
      </c>
      <c r="C51" s="74" t="s">
        <v>45</v>
      </c>
      <c r="D51" s="74" t="s">
        <v>52</v>
      </c>
      <c r="E51" s="74" t="s">
        <v>53</v>
      </c>
      <c r="F51" s="46"/>
      <c r="G51" s="46"/>
      <c r="H51" s="46"/>
      <c r="I51" s="46"/>
      <c r="J51" s="46"/>
      <c r="K51" s="46"/>
      <c r="L51" s="46"/>
      <c r="M51" s="46"/>
      <c r="N51" s="46"/>
    </row>
    <row r="52" spans="1:14" ht="28.5" x14ac:dyDescent="0.2">
      <c r="A52" s="74" t="s">
        <v>57</v>
      </c>
      <c r="B52" s="74" t="s">
        <v>58</v>
      </c>
      <c r="C52" s="74" t="s">
        <v>59</v>
      </c>
      <c r="D52" s="74"/>
      <c r="E52" s="74"/>
      <c r="F52" s="46"/>
      <c r="G52" s="46"/>
      <c r="H52" s="46"/>
      <c r="I52" s="46"/>
      <c r="J52" s="46"/>
      <c r="K52" s="46"/>
      <c r="L52" s="46"/>
      <c r="M52" s="46"/>
      <c r="N52" s="46"/>
    </row>
    <row r="53" spans="1:14" ht="14.25" x14ac:dyDescent="0.2">
      <c r="A53" s="74" t="s">
        <v>60</v>
      </c>
      <c r="B53" s="75">
        <f>_xlfn.FLOOR.MATH(7560,500)</f>
        <v>7500</v>
      </c>
      <c r="C53" s="74" t="s">
        <v>61</v>
      </c>
      <c r="D53" s="74"/>
      <c r="E53" s="74"/>
      <c r="F53" s="46"/>
      <c r="G53" s="46"/>
      <c r="H53" s="46"/>
      <c r="I53" s="46"/>
      <c r="J53" s="46"/>
      <c r="K53" s="46"/>
      <c r="L53" s="46"/>
      <c r="M53" s="46"/>
      <c r="N53" s="46"/>
    </row>
    <row r="54" spans="1:14" ht="14.25" x14ac:dyDescent="0.2">
      <c r="A54" s="74" t="s">
        <v>62</v>
      </c>
      <c r="B54" s="75">
        <f>_xlfn.FLOOR.MATH(7999,500)</f>
        <v>7500</v>
      </c>
      <c r="C54" s="74" t="s">
        <v>63</v>
      </c>
      <c r="D54" s="74"/>
      <c r="E54" s="74"/>
      <c r="F54" s="46"/>
      <c r="G54" s="46"/>
      <c r="H54" s="46"/>
      <c r="I54" s="46"/>
      <c r="J54" s="46"/>
      <c r="K54" s="46"/>
      <c r="L54" s="46"/>
      <c r="M54" s="46"/>
      <c r="N54" s="46"/>
    </row>
    <row r="55" spans="1:14" ht="14.25" x14ac:dyDescent="0.2">
      <c r="A55" s="74" t="s">
        <v>64</v>
      </c>
      <c r="B55" s="75">
        <f>_xlfn.FLOOR.MATH(8000,500)</f>
        <v>8000</v>
      </c>
      <c r="C55" s="74" t="s">
        <v>65</v>
      </c>
      <c r="D55" s="74"/>
      <c r="E55" s="74"/>
      <c r="F55" s="46"/>
      <c r="G55" s="46"/>
      <c r="H55" s="46"/>
      <c r="I55" s="46"/>
      <c r="J55" s="46"/>
      <c r="K55" s="46"/>
      <c r="L55" s="46"/>
      <c r="M55" s="46"/>
      <c r="N55" s="46"/>
    </row>
    <row r="56" spans="1:14" ht="42.75" x14ac:dyDescent="0.2">
      <c r="A56" s="74" t="s">
        <v>66</v>
      </c>
      <c r="B56" s="80" t="s">
        <v>68</v>
      </c>
      <c r="C56" s="74" t="s">
        <v>67</v>
      </c>
      <c r="D56" s="74"/>
      <c r="E56" s="74"/>
      <c r="F56" s="46"/>
      <c r="G56" s="46"/>
      <c r="H56" s="46"/>
      <c r="I56" s="46"/>
      <c r="J56" s="46"/>
      <c r="K56" s="46"/>
      <c r="L56" s="46"/>
      <c r="M56" s="46"/>
      <c r="N56" s="46"/>
    </row>
    <row r="57" spans="1:14" ht="18" customHeight="1" x14ac:dyDescent="0.2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spans="1:14" ht="14.25" x14ac:dyDescent="0.2">
      <c r="A58" s="64" t="s">
        <v>308</v>
      </c>
      <c r="B58" s="64"/>
      <c r="C58" s="64"/>
      <c r="D58" s="64"/>
      <c r="E58" s="52"/>
      <c r="F58" s="52"/>
      <c r="G58" s="64"/>
      <c r="H58" s="64"/>
      <c r="I58" s="64"/>
      <c r="J58" s="64"/>
      <c r="K58" s="65"/>
      <c r="L58" s="65"/>
      <c r="M58" s="65"/>
      <c r="N58" s="65"/>
    </row>
    <row r="59" spans="1:14" ht="14.25" x14ac:dyDescent="0.2">
      <c r="A59" s="81" t="s">
        <v>88</v>
      </c>
      <c r="B59" s="81" t="s">
        <v>16</v>
      </c>
      <c r="C59" s="81" t="s">
        <v>89</v>
      </c>
      <c r="D59" s="81" t="s">
        <v>90</v>
      </c>
      <c r="E59" s="52"/>
      <c r="F59" s="52"/>
      <c r="G59" s="66"/>
      <c r="H59" s="66"/>
      <c r="I59" s="66"/>
      <c r="J59" s="66"/>
      <c r="K59" s="52"/>
      <c r="L59" s="52"/>
      <c r="M59" s="52"/>
      <c r="N59" s="52"/>
    </row>
    <row r="60" spans="1:14" ht="48" x14ac:dyDescent="0.2">
      <c r="A60" s="82" t="s">
        <v>91</v>
      </c>
      <c r="B60" s="82">
        <v>2026</v>
      </c>
      <c r="C60" s="82" t="s">
        <v>92</v>
      </c>
      <c r="D60" s="83" t="s">
        <v>196</v>
      </c>
      <c r="E60" s="52"/>
      <c r="F60" s="52"/>
      <c r="G60" s="83"/>
      <c r="H60" s="83"/>
      <c r="I60" s="83"/>
      <c r="J60" s="83"/>
      <c r="K60" s="52"/>
      <c r="L60" s="52"/>
      <c r="M60" s="52"/>
      <c r="N60" s="52"/>
    </row>
    <row r="61" spans="1:14" ht="48" x14ac:dyDescent="0.2">
      <c r="A61" s="83" t="s">
        <v>93</v>
      </c>
      <c r="B61" s="83" t="s">
        <v>94</v>
      </c>
      <c r="C61" s="84" t="s">
        <v>0</v>
      </c>
      <c r="D61" s="83" t="s">
        <v>197</v>
      </c>
      <c r="E61" s="52"/>
      <c r="F61" s="52"/>
      <c r="G61" s="83"/>
      <c r="H61" s="83"/>
      <c r="I61" s="83"/>
      <c r="J61" s="83"/>
      <c r="K61" s="52"/>
      <c r="L61" s="52"/>
      <c r="M61" s="52"/>
      <c r="N61" s="52"/>
    </row>
    <row r="62" spans="1:14" ht="18" customHeight="1" x14ac:dyDescent="0.2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8" customHeight="1" x14ac:dyDescent="0.2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8" customHeight="1" x14ac:dyDescent="0.2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</sheetData>
  <mergeCells count="8">
    <mergeCell ref="K12:L12"/>
    <mergeCell ref="K3:N3"/>
    <mergeCell ref="A2:B2"/>
    <mergeCell ref="F3:I3"/>
    <mergeCell ref="A1:C1"/>
    <mergeCell ref="A3:D3"/>
    <mergeCell ref="F12:G12"/>
    <mergeCell ref="A12:B1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A44F-4D1F-4B0A-BB89-BF0C946380E6}">
  <sheetPr>
    <tabColor rgb="FFA24200"/>
  </sheetPr>
  <dimension ref="A1:BC102"/>
  <sheetViews>
    <sheetView topLeftCell="AF1" workbookViewId="0">
      <pane ySplit="1" topLeftCell="A2" activePane="bottomLeft" state="frozen"/>
      <selection activeCell="AF1" sqref="AF1"/>
      <selection pane="bottomLeft" activeCell="AJ10" sqref="AJ10"/>
    </sheetView>
  </sheetViews>
  <sheetFormatPr defaultRowHeight="12.75" outlineLevelCol="3" x14ac:dyDescent="0.2"/>
  <cols>
    <col min="1" max="1" width="5.28515625" bestFit="1" customWidth="1"/>
    <col min="2" max="2" width="4.7109375" bestFit="1" customWidth="1"/>
    <col min="3" max="3" width="18.85546875" bestFit="1" customWidth="1"/>
    <col min="4" max="4" width="28" bestFit="1" customWidth="1"/>
    <col min="5" max="5" width="21.28515625" bestFit="1" customWidth="1"/>
    <col min="6" max="6" width="40.85546875" bestFit="1" customWidth="1"/>
    <col min="7" max="7" width="26.85546875" bestFit="1" customWidth="1"/>
    <col min="8" max="8" width="38.28515625" bestFit="1" customWidth="1"/>
    <col min="9" max="9" width="24.28515625" bestFit="1" customWidth="1"/>
    <col min="10" max="10" width="38.140625" bestFit="1" customWidth="1"/>
    <col min="11" max="11" width="19.42578125" bestFit="1" customWidth="1"/>
    <col min="12" max="12" width="15.7109375" bestFit="1" customWidth="1"/>
    <col min="13" max="13" width="15.140625" bestFit="1" customWidth="1"/>
    <col min="14" max="14" width="23.7109375" bestFit="1" customWidth="1"/>
    <col min="15" max="15" width="25.5703125" bestFit="1" customWidth="1"/>
    <col min="16" max="16" width="31" bestFit="1" customWidth="1"/>
    <col min="17" max="18" width="2.28515625" customWidth="1"/>
    <col min="19" max="19" width="4.7109375" bestFit="1" customWidth="1"/>
    <col min="20" max="20" width="21.28515625" bestFit="1" customWidth="1"/>
    <col min="21" max="21" width="17.28515625" bestFit="1" customWidth="1"/>
    <col min="22" max="22" width="32.5703125" bestFit="1" customWidth="1"/>
    <col min="23" max="23" width="37.28515625" bestFit="1" customWidth="1"/>
    <col min="24" max="24" width="78.28515625" bestFit="1" customWidth="1"/>
    <col min="25" max="25" width="11.7109375" bestFit="1" customWidth="1"/>
    <col min="26" max="26" width="35.140625" bestFit="1" customWidth="1"/>
    <col min="27" max="27" width="27.85546875" bestFit="1" customWidth="1"/>
    <col min="28" max="28" width="22.28515625" bestFit="1" customWidth="1"/>
    <col min="29" max="29" width="18.42578125" bestFit="1" customWidth="1"/>
    <col min="30" max="30" width="30.7109375" bestFit="1" customWidth="1"/>
    <col min="31" max="31" width="17.85546875" bestFit="1" customWidth="1"/>
    <col min="32" max="32" width="12.85546875" bestFit="1" customWidth="1"/>
    <col min="33" max="33" width="17.85546875" bestFit="1" customWidth="1"/>
    <col min="34" max="34" width="11" bestFit="1" customWidth="1"/>
    <col min="35" max="35" width="18.5703125" bestFit="1" customWidth="1"/>
    <col min="36" max="36" width="20.7109375" bestFit="1" customWidth="1"/>
    <col min="37" max="37" width="18.7109375" bestFit="1" customWidth="1"/>
    <col min="38" max="38" width="22.28515625" bestFit="1" customWidth="1"/>
    <col min="39" max="39" width="30.140625" bestFit="1" customWidth="1" outlineLevel="3"/>
    <col min="40" max="40" width="27.85546875" bestFit="1" customWidth="1" outlineLevel="3"/>
    <col min="41" max="41" width="26.140625" bestFit="1" customWidth="1" outlineLevel="3"/>
    <col min="42" max="42" width="23.85546875" bestFit="1" customWidth="1" outlineLevel="3"/>
    <col min="43" max="43" width="26.140625" bestFit="1" customWidth="1" outlineLevel="3"/>
    <col min="44" max="44" width="23.85546875" bestFit="1" customWidth="1" outlineLevel="3"/>
    <col min="45" max="45" width="26.140625" bestFit="1" customWidth="1" outlineLevel="3"/>
    <col min="46" max="46" width="23.85546875" bestFit="1" customWidth="1" outlineLevel="3"/>
    <col min="47" max="47" width="26.140625" bestFit="1" customWidth="1" outlineLevel="3"/>
    <col min="48" max="48" width="23.85546875" bestFit="1" customWidth="1" outlineLevel="3"/>
    <col min="49" max="49" width="26.140625" bestFit="1" customWidth="1" outlineLevel="3"/>
    <col min="50" max="50" width="23.85546875" bestFit="1" customWidth="1" outlineLevel="3"/>
    <col min="51" max="51" width="26.140625" bestFit="1" customWidth="1" outlineLevel="3"/>
    <col min="52" max="52" width="23.85546875" bestFit="1" customWidth="1" outlineLevel="3"/>
    <col min="53" max="53" width="78.28515625" bestFit="1" customWidth="1" outlineLevel="3"/>
    <col min="54" max="54" width="28.140625" bestFit="1" customWidth="1" outlineLevel="3"/>
    <col min="55" max="55" width="26" bestFit="1" customWidth="1" outlineLevel="3"/>
  </cols>
  <sheetData>
    <row r="1" spans="1:55" ht="28.15" customHeight="1" x14ac:dyDescent="0.3">
      <c r="A1" s="8" t="s">
        <v>16</v>
      </c>
      <c r="B1" s="8" t="s">
        <v>1</v>
      </c>
      <c r="C1" s="8" t="s">
        <v>74</v>
      </c>
      <c r="D1" s="8" t="s">
        <v>333</v>
      </c>
      <c r="E1" s="8" t="s">
        <v>329</v>
      </c>
      <c r="F1" s="8" t="s">
        <v>148</v>
      </c>
      <c r="G1" s="8" t="s">
        <v>149</v>
      </c>
      <c r="H1" s="8" t="s">
        <v>150</v>
      </c>
      <c r="I1" s="8" t="s">
        <v>151</v>
      </c>
      <c r="J1" s="8" t="s">
        <v>152</v>
      </c>
      <c r="K1" s="8" t="s">
        <v>75</v>
      </c>
      <c r="L1" s="8" t="s">
        <v>76</v>
      </c>
      <c r="M1" s="8" t="s">
        <v>77</v>
      </c>
      <c r="N1" s="8" t="s">
        <v>78</v>
      </c>
      <c r="O1" s="8" t="s">
        <v>79</v>
      </c>
      <c r="P1" s="8" t="s">
        <v>80</v>
      </c>
      <c r="Q1" s="9"/>
      <c r="R1" s="9"/>
      <c r="S1" s="8" t="s">
        <v>1</v>
      </c>
      <c r="T1" s="8" t="s">
        <v>442</v>
      </c>
      <c r="U1" s="8" t="s">
        <v>443</v>
      </c>
      <c r="V1" s="8" t="s">
        <v>82</v>
      </c>
      <c r="W1" s="8" t="s">
        <v>191</v>
      </c>
      <c r="X1" s="5"/>
      <c r="Y1" s="5" t="s">
        <v>180</v>
      </c>
      <c r="Z1" s="5" t="s">
        <v>344</v>
      </c>
      <c r="AA1" s="5" t="s">
        <v>202</v>
      </c>
      <c r="AB1" s="5" t="s">
        <v>181</v>
      </c>
      <c r="AC1" s="5" t="s">
        <v>182</v>
      </c>
      <c r="AD1" s="5" t="s">
        <v>183</v>
      </c>
      <c r="AE1" s="5" t="s">
        <v>184</v>
      </c>
      <c r="AF1" s="5" t="s">
        <v>185</v>
      </c>
      <c r="AG1" s="5" t="s">
        <v>186</v>
      </c>
      <c r="AH1" s="5" t="s">
        <v>187</v>
      </c>
      <c r="AI1" s="5" t="s">
        <v>188</v>
      </c>
      <c r="AJ1" s="5" t="s">
        <v>189</v>
      </c>
      <c r="AK1" s="5" t="s">
        <v>190</v>
      </c>
      <c r="AL1" s="5" t="s">
        <v>203</v>
      </c>
      <c r="AM1" s="5" t="s">
        <v>204</v>
      </c>
      <c r="AN1" s="5" t="s">
        <v>202</v>
      </c>
      <c r="AO1" s="5" t="s">
        <v>205</v>
      </c>
      <c r="AP1" s="5" t="s">
        <v>206</v>
      </c>
      <c r="AQ1" s="5" t="s">
        <v>207</v>
      </c>
      <c r="AR1" s="5" t="s">
        <v>208</v>
      </c>
      <c r="AS1" s="5" t="s">
        <v>209</v>
      </c>
      <c r="AT1" s="5" t="s">
        <v>210</v>
      </c>
      <c r="AU1" s="5" t="s">
        <v>211</v>
      </c>
      <c r="AV1" s="5" t="s">
        <v>212</v>
      </c>
      <c r="AW1" s="5" t="s">
        <v>213</v>
      </c>
      <c r="AX1" s="5" t="s">
        <v>214</v>
      </c>
      <c r="AY1" s="5" t="s">
        <v>215</v>
      </c>
      <c r="AZ1" s="5" t="s">
        <v>216</v>
      </c>
      <c r="BA1" s="5" t="s">
        <v>217</v>
      </c>
      <c r="BB1" s="5" t="s">
        <v>324</v>
      </c>
      <c r="BC1" s="5" t="s">
        <v>325</v>
      </c>
    </row>
    <row r="2" spans="1:55" ht="18" customHeight="1" x14ac:dyDescent="0.3">
      <c r="A2" s="10">
        <v>0</v>
      </c>
      <c r="B2" s="10">
        <f>INPUTS!$C$6</f>
        <v>22</v>
      </c>
      <c r="C2" s="11">
        <f>INPUTS!$C$8</f>
        <v>0</v>
      </c>
      <c r="D2" s="11">
        <f>IF(A2="","",IF(A2&lt;INPUTS!$C$13,0,J2))</f>
        <v>7500</v>
      </c>
      <c r="E2" s="12" t="str">
        <f>IF(A2="","",IF(D2=0,"—",IF(Y2&lt;IF(AK2="Married Filing Jointly",'CONSTANTS &amp; REFERENCES'!$B$44,IF(AK2="Married Filing Separately",'CONSTANTS &amp; REFERENCES'!$B$45,'CONSTANTS &amp; REFERENCES'!$B$43)),"Direct","Backdoor")))</f>
        <v>Direct</v>
      </c>
      <c r="F2" s="13">
        <f t="shared" ref="F2:F33" si="0">IF(A2="","",$X$2*(1+$X$3)^A2)</f>
        <v>7500</v>
      </c>
      <c r="G2" s="14">
        <f t="shared" ref="G2:G33" si="1">IF(F2="","",_xlfn.FLOOR.MATH(F2,500))</f>
        <v>7500</v>
      </c>
      <c r="H2" s="13">
        <f t="shared" ref="H2:H33" si="2">IF(A2="","",$X$4*(1+$X$3)^A2)</f>
        <v>1100</v>
      </c>
      <c r="I2" s="14">
        <f t="shared" ref="I2:I33" si="3">IF(H2="","",_xlfn.FLOOR.MATH(H2,100))</f>
        <v>1100</v>
      </c>
      <c r="J2" s="14">
        <f t="shared" ref="J2:J33" si="4">IF(A2="","",G2+IF(B2&gt;=50,I2,0))</f>
        <v>7500</v>
      </c>
      <c r="K2" s="11">
        <f>IF(A2="","",IF(INPUTS!$C$12="Beginning",(C2+D2)*INPUTS!$C$10,C2*INPUTS!$C$10))</f>
        <v>750</v>
      </c>
      <c r="L2" s="11">
        <f>IF(A2="","",IF(INPUTS!$C$12="Beginning",(C2+D2)*(1+INPUTS!$C$10),C2*(1+INPUTS!$C$10)+D2))</f>
        <v>8250</v>
      </c>
      <c r="M2" s="15">
        <v>1</v>
      </c>
      <c r="N2" s="11">
        <f>L2/M2</f>
        <v>8250</v>
      </c>
      <c r="O2" s="11">
        <f>IF(A2="","",D2)</f>
        <v>7500</v>
      </c>
      <c r="P2" s="11">
        <f>IF(A2="","",L2-INPUTS!$C$8-O2)</f>
        <v>750</v>
      </c>
      <c r="Q2" s="16"/>
      <c r="R2" s="16"/>
      <c r="S2" s="17">
        <f>B2</f>
        <v>22</v>
      </c>
      <c r="T2" s="18">
        <f>L2</f>
        <v>8250</v>
      </c>
      <c r="U2" s="18">
        <f>N2</f>
        <v>8250</v>
      </c>
      <c r="V2" s="19">
        <f>IF(A2="","",FV(INPUTS!$C$10,INPUTS!$C$7-INPUTS!$C$6-A2+IF(INPUTS!$C$12="Beginning",1,0),0,-D2,0))</f>
        <v>496980.57058024959</v>
      </c>
      <c r="W2" s="7" t="s">
        <v>153</v>
      </c>
      <c r="X2" s="20">
        <v>7500</v>
      </c>
      <c r="Y2" s="21">
        <f>IF(A2="","",IF(INPUTS!$C$17="Yes",MIN(INPUTS!$C$16,INPUTS!$C$18),INPUTS!$C$16))</f>
        <v>70000</v>
      </c>
      <c r="Z2" s="22">
        <f>IF(A2="","",IF(AND(INPUTS!$C$27="Yes",INPUTS!$C$28&lt;&gt;"FSA / FCAS",ISNUMBER(INPUTS!$C$37)),MIN(A2*INPUTS!$C$37,INPUTS!$C$30),0))</f>
        <v>0</v>
      </c>
      <c r="AA2" s="21">
        <f t="shared" ref="AA2:AA33" si="5">IF(A2="","",AN2)</f>
        <v>16100</v>
      </c>
      <c r="AB2" s="21">
        <f t="shared" ref="AB2:AB33" si="6">IF(OR(A2="",AA2=""),"",MAX(0,Y2-AA2))</f>
        <v>53900</v>
      </c>
      <c r="AC2" s="21">
        <f>IF(A2="","",MIN(AB2,AP2)*'CONSTANTS &amp; REFERENCES'!$A$5+MAX(MIN(AB2,AR2)-AP2,0)*'CONSTANTS &amp; REFERENCES'!$A$6+MAX(MIN(AB2,AT2)-AR2,0)*'CONSTANTS &amp; REFERENCES'!$A$7+MAX(MIN(AB2,AV2)-AT2,0)*'CONSTANTS &amp; REFERENCES'!$A$8+MAX(MIN(AB2,AX2)-AV2,0)*'CONSTANTS &amp; REFERENCES'!$A$9+MAX(MIN(AB2,AZ2)-AX2,0)*'CONSTANTS &amp; REFERENCES'!$A$10+MAX(AB2-AZ2,0)*'CONSTANTS &amp; REFERENCES'!$A$11)</f>
        <v>6570</v>
      </c>
      <c r="AD2" s="21">
        <f>IF(AB2="","",IF(INPUTS!$C$20="Yes",AB2*INPUTS!$C$21,0))</f>
        <v>0</v>
      </c>
      <c r="AE2" s="21">
        <f>IF(Y2="","",MIN(Y2,BC2)*'CONSTANTS &amp; REFERENCES'!$B$22)</f>
        <v>4340</v>
      </c>
      <c r="AF2" s="21">
        <f>IF(Y2="","",Y2*'CONSTANTS &amp; REFERENCES'!$B$24+MAX(0,Y2-IF(AK2="Married Filing Jointly",'CONSTANTS &amp; REFERENCES'!$C$26,IF(AK2="Married Filing Separately",'CONSTANTS &amp; REFERENCES'!$C$27,IF(AK2="Head of Household",'CONSTANTS &amp; REFERENCES'!$C$28,'CONSTANTS &amp; REFERENCES'!$C$25))))*'CONSTANTS &amp; REFERENCES'!$B$25)</f>
        <v>1015</v>
      </c>
      <c r="AG2" s="21">
        <f>IF(Y2="","",AE2+AF2)</f>
        <v>5355</v>
      </c>
      <c r="AH2" s="21">
        <f>IF(OR(AC2="",AG2=""),"",AC2+AD2+AG2)</f>
        <v>11925</v>
      </c>
      <c r="AI2" s="21">
        <f>IF(AH2="","",Y2-AH2)</f>
        <v>58075</v>
      </c>
      <c r="AJ2" s="21">
        <f>IF(AI2="","",Y2-AH2-AI2)</f>
        <v>0</v>
      </c>
      <c r="AK2" s="7" t="str">
        <f>IF(A2="","",IF(AND(INPUTS!$C$43="Yes",A2&gt;=INPUTS!$C$45),INPUTS!$C$44,INPUTS!$C$19))</f>
        <v>Single</v>
      </c>
      <c r="AL2" s="23">
        <f t="shared" ref="AL2:AL33" si="7">IF(A2="","",(1+$X$6)^A2)</f>
        <v>1</v>
      </c>
      <c r="AM2" s="24">
        <f>IF(A2="","",(IF(OR(AK2="Single",AK2="Married Filing Separately"),'CONSTANTS &amp; REFERENCES'!$B$13,IF(AK2="Married Filing Jointly",'CONSTANTS &amp; REFERENCES'!$G$13,IF(AK2="Head of Household",'CONSTANTS &amp; REFERENCES'!$L$13,""))))*AL2)</f>
        <v>16100</v>
      </c>
      <c r="AN2" s="21">
        <f>IF(AM2="","",IF(A2=0,IF(OR(AK2="Single",AK2="Married Filing Separately"),'CONSTANTS &amp; REFERENCES'!$B$13,IF(AK2="Married Filing Jointly",'CONSTANTS &amp; REFERENCES'!$G$13,IF(AK2="Head of Household",'CONSTANTS &amp; REFERENCES'!$L$13,""))),_xlfn.FLOOR.MATH(AM2,IF(AK2="Married Filing Separately",Bracket_Round_MFS,Bracket_Round_Standard))))</f>
        <v>16100</v>
      </c>
      <c r="AO2" s="24">
        <f>IF(A2="","",(IF(OR(AK2="Single",AK2="Married Filing Separately"),'CONSTANTS &amp; REFERENCES'!$C$5,IF(AK2="Married Filing Jointly",'CONSTANTS &amp; REFERENCES'!$H$5,IF(AK2="Head of Household",'CONSTANTS &amp; REFERENCES'!$M$5,""))))*AL2)</f>
        <v>12400</v>
      </c>
      <c r="AP2" s="21">
        <f>IF(AO2="","",IF(A2=0,IF(OR(AK2="Single",AK2="Married Filing Separately"),'CONSTANTS &amp; REFERENCES'!$C$5,IF(AK2="Married Filing Jointly",'CONSTANTS &amp; REFERENCES'!$H$5,IF(AK2="Head of Household",'CONSTANTS &amp; REFERENCES'!$M$5,""))),_xlfn.FLOOR.MATH(AO2,IF(AK2="Married Filing Separately",Bracket_Round_MFS,Bracket_Round_Standard))))</f>
        <v>12400</v>
      </c>
      <c r="AQ2" s="24">
        <f>IF(A2="","",(IF(OR(AK2="Single",AK2="Married Filing Separately"),'CONSTANTS &amp; REFERENCES'!$C$6,IF(AK2="Married Filing Jointly",'CONSTANTS &amp; REFERENCES'!$H$6,IF(AK2="Head of Household",'CONSTANTS &amp; REFERENCES'!$M$6,""))))*AL2)</f>
        <v>50400</v>
      </c>
      <c r="AR2" s="21">
        <f>IF(AQ2="","",IF(A2=0,IF(OR(AK2="Single",AK2="Married Filing Separately"),'CONSTANTS &amp; REFERENCES'!$C$6,IF(AK2="Married Filing Jointly",'CONSTANTS &amp; REFERENCES'!$H$6,IF(AK2="Head of Household",'CONSTANTS &amp; REFERENCES'!$M$6,""))),_xlfn.FLOOR.MATH(AQ2,IF(AK2="Married Filing Separately",Bracket_Round_MFS,Bracket_Round_Standard))))</f>
        <v>50400</v>
      </c>
      <c r="AS2" s="24">
        <f>IF(A2="","",(IF(OR(AK2="Single",AK2="Married Filing Separately"),'CONSTANTS &amp; REFERENCES'!$C$7,IF(AK2="Married Filing Jointly",'CONSTANTS &amp; REFERENCES'!$H$7,IF(AK2="Head of Household",'CONSTANTS &amp; REFERENCES'!$M$7,""))))*AL2)</f>
        <v>105700</v>
      </c>
      <c r="AT2" s="21">
        <f>IF(AS2="","",IF(A2=0,IF(OR(AK2="Single",AK2="Married Filing Separately"),'CONSTANTS &amp; REFERENCES'!$C$7,IF(AK2="Married Filing Jointly",'CONSTANTS &amp; REFERENCES'!$H$7,IF(AK2="Head of Household",'CONSTANTS &amp; REFERENCES'!$M$7,""))),_xlfn.FLOOR.MATH(AS2,IF(AK2="Married Filing Separately",Bracket_Round_MFS,Bracket_Round_Standard))))</f>
        <v>105700</v>
      </c>
      <c r="AU2" s="24">
        <f>IF(A2="","",(IF(OR(AK2="Single",AK2="Married Filing Separately"),'CONSTANTS &amp; REFERENCES'!$C$8,IF(AK2="Married Filing Jointly",'CONSTANTS &amp; REFERENCES'!$H$8,IF(AK2="Head of Household",'CONSTANTS &amp; REFERENCES'!$M$8,""))))*AL2)</f>
        <v>201775</v>
      </c>
      <c r="AV2" s="21">
        <f>IF(AU2="","",IF(A2=0,IF(OR(AK2="Single",AK2="Married Filing Separately"),'CONSTANTS &amp; REFERENCES'!$C$8,IF(AK2="Married Filing Jointly",'CONSTANTS &amp; REFERENCES'!$H$8,IF(AK2="Head of Household",'CONSTANTS &amp; REFERENCES'!$M$8,""))),_xlfn.FLOOR.MATH(AU2,IF(AK2="Married Filing Separately",Bracket_Round_MFS,Bracket_Round_Standard))))</f>
        <v>201775</v>
      </c>
      <c r="AW2" s="24">
        <f>IF(A2="","",(IF(OR(AK2="Single",AK2="Married Filing Separately"),'CONSTANTS &amp; REFERENCES'!$C$9,IF(AK2="Married Filing Jointly",'CONSTANTS &amp; REFERENCES'!$H$9,IF(AK2="Head of Household",'CONSTANTS &amp; REFERENCES'!$M$9,""))))*AL2)</f>
        <v>256225</v>
      </c>
      <c r="AX2" s="21">
        <f>IF(AW2="","",IF(A2=0,IF(OR(AK2="Single",AK2="Married Filing Separately"),'CONSTANTS &amp; REFERENCES'!$C$9,IF(AK2="Married Filing Jointly",'CONSTANTS &amp; REFERENCES'!$H$9,IF(AK2="Head of Household",'CONSTANTS &amp; REFERENCES'!$M$9,""))),_xlfn.FLOOR.MATH(AW2,IF(AK2="Married Filing Separately",Bracket_Round_MFS,Bracket_Round_Standard))))</f>
        <v>256225</v>
      </c>
      <c r="AY2" s="24">
        <f>IF(A2="","",(IF(OR(AK2="Single",AK2="Married Filing Separately"),'CONSTANTS &amp; REFERENCES'!$C$10,IF(AK2="Married Filing Jointly",'CONSTANTS &amp; REFERENCES'!$H$10,IF(AK2="Head of Household",'CONSTANTS &amp; REFERENCES'!$M$10,""))))*AL2)</f>
        <v>646600</v>
      </c>
      <c r="AZ2" s="21">
        <f>IF(AY2="","",IF(A2=0,IF(OR(AK2="Single",AK2="Married Filing Separately"),'CONSTANTS &amp; REFERENCES'!$C$10,IF(AK2="Married Filing Jointly",'CONSTANTS &amp; REFERENCES'!$H$10,IF(AK2="Head of Household",'CONSTANTS &amp; REFERENCES'!$M$10,""))),_xlfn.FLOOR.MATH(AY2,IF(AK2="Married Filing Separately",Bracket_Round_MFS,Bracket_Round_Standard))))</f>
        <v>646600</v>
      </c>
      <c r="BA2" s="7" t="str">
        <f t="shared" ref="BA2:BA33" si="8">IF(A2="","",IF(A2=0,"Official 2026 base values","Illustrative future tax assumptions under simplified C-CPI-U indexing; not an IRS forecast."))</f>
        <v>Official 2026 base values</v>
      </c>
      <c r="BB2" s="24">
        <f>IF(A2="","",'CONSTANTS &amp; REFERENCES'!$C$22*AL2)</f>
        <v>184500</v>
      </c>
      <c r="BC2" s="21">
        <f>IF(BB2="","",_xlfn.FLOOR.MATH(BB2,100))</f>
        <v>184500</v>
      </c>
    </row>
    <row r="3" spans="1:55" ht="18" customHeight="1" x14ac:dyDescent="0.3">
      <c r="A3" s="10">
        <f>IF(A2&lt;INPUTS!$C$7-INPUTS!$C$6,A2+1,"")</f>
        <v>1</v>
      </c>
      <c r="B3" s="10">
        <f>IF(A3="","",INPUTS!$C$6+A3)</f>
        <v>23</v>
      </c>
      <c r="C3" s="11">
        <f t="shared" ref="C3:C34" si="9">IF(A3="","",L2)</f>
        <v>8250</v>
      </c>
      <c r="D3" s="11">
        <f>IF(A3="","",IF(A3&lt;INPUTS!$C$13,0,J3))</f>
        <v>7500</v>
      </c>
      <c r="E3" s="12" t="str">
        <f>IF(A3="","",IF(D3=0,"—",IF(Y3&lt;IF(AK3="Married Filing Jointly",'CONSTANTS &amp; REFERENCES'!$B$44,IF(AK3="Married Filing Separately",'CONSTANTS &amp; REFERENCES'!$B$45,'CONSTANTS &amp; REFERENCES'!$B$43)),"Direct","Backdoor")))</f>
        <v>Direct</v>
      </c>
      <c r="F3" s="13">
        <f t="shared" si="0"/>
        <v>7950</v>
      </c>
      <c r="G3" s="14">
        <f t="shared" si="1"/>
        <v>7500</v>
      </c>
      <c r="H3" s="13">
        <f t="shared" si="2"/>
        <v>1166</v>
      </c>
      <c r="I3" s="14">
        <f t="shared" si="3"/>
        <v>1100</v>
      </c>
      <c r="J3" s="14">
        <f t="shared" si="4"/>
        <v>7500</v>
      </c>
      <c r="K3" s="11">
        <f>IF(A3="","",IF(INPUTS!$C$12="Beginning",(C3+D3)*INPUTS!$C$10,C3*INPUTS!$C$10))</f>
        <v>1575</v>
      </c>
      <c r="L3" s="11">
        <f>IF(A3="","",IF(INPUTS!$C$12="Beginning",(C3+D3)*(1+INPUTS!$C$10),C3*(1+INPUTS!$C$10)+D3))</f>
        <v>17325</v>
      </c>
      <c r="M3" s="15">
        <f>IF(A3="","",(1+INPUTS!$C$11)^A3)</f>
        <v>1.06</v>
      </c>
      <c r="N3" s="11">
        <f t="shared" ref="N3:N34" si="10">IF(A3="","",L3/M3)</f>
        <v>16344.339622641508</v>
      </c>
      <c r="O3" s="11">
        <f t="shared" ref="O3:O34" si="11">IF(A3="","",O2+D3)</f>
        <v>15000</v>
      </c>
      <c r="P3" s="11">
        <f>IF(A3="","",L3-INPUTS!$C$8-O3)</f>
        <v>2325</v>
      </c>
      <c r="Q3" s="16"/>
      <c r="R3" s="16"/>
      <c r="S3" s="16">
        <f t="shared" ref="S3:S34" si="12">IF(B3="","",B3)</f>
        <v>23</v>
      </c>
      <c r="T3" s="18">
        <f t="shared" ref="T3:T34" si="13">IF(L3="","",L3)</f>
        <v>17325</v>
      </c>
      <c r="U3" s="18">
        <f t="shared" ref="U3:U34" si="14">IF(N3="","",N3)</f>
        <v>16344.339622641508</v>
      </c>
      <c r="V3" s="19">
        <f>IF(A3="","",FV(INPUTS!$C$10,INPUTS!$C$7-INPUTS!$C$6-A3+IF(INPUTS!$C$12="Beginning",1,0),0,-D3,0))</f>
        <v>451800.51870931778</v>
      </c>
      <c r="W3" s="7" t="s">
        <v>147</v>
      </c>
      <c r="X3" s="25">
        <f>INPUTS!$C$11</f>
        <v>0.06</v>
      </c>
      <c r="Y3" s="21">
        <f>IF(A3="","",IF(INPUTS!$C$17="Yes",MIN(Y2*(1+INPUTS!$C$15)+IF(INPUTS!$C$27="Yes",(Z3-Z2)*INPUTS!$C$31+IF(AND(INPUTS!$C$28="Not yet credentialed",A3=INPUTS!$C$33),INPUTS!$C$32,0)+IF(AND(INPUTS!$C$28&lt;&gt;"FSA / FCAS",A3=INPUTS!$C$35),INPUTS!$C$34,0),0),INPUTS!$C$18),Y2*(1+INPUTS!$C$15)+IF(INPUTS!$C$27="Yes",(Z3-Z2)*INPUTS!$C$31+IF(AND(INPUTS!$C$28="Not yet credentialed",A3=INPUTS!$C$33),INPUTS!$C$32,0)+IF(AND(INPUTS!$C$28&lt;&gt;"FSA / FCAS",A3=INPUTS!$C$35),INPUTS!$C$34,0),0)))</f>
        <v>74350</v>
      </c>
      <c r="Z3" s="22">
        <f>IF(A3="","",IF(AND(INPUTS!$C$27="Yes",INPUTS!$C$28&lt;&gt;"FSA / FCAS",ISNUMBER(INPUTS!$C$37)),MIN(A3*INPUTS!$C$37,INPUTS!$C$30),0))</f>
        <v>0.75</v>
      </c>
      <c r="AA3" s="21">
        <f t="shared" si="5"/>
        <v>16950</v>
      </c>
      <c r="AB3" s="21">
        <f t="shared" si="6"/>
        <v>57400</v>
      </c>
      <c r="AC3" s="21">
        <f>IF(A3="","",MIN(AB3,AP3)*'CONSTANTS &amp; REFERENCES'!$A$5+MAX(MIN(AB3,AR3)-AP3,0)*'CONSTANTS &amp; REFERENCES'!$A$6+MAX(MIN(AB3,AT3)-AR3,0)*'CONSTANTS &amp; REFERENCES'!$A$7+MAX(MIN(AB3,AV3)-AT3,0)*'CONSTANTS &amp; REFERENCES'!$A$8+MAX(MIN(AB3,AX3)-AV3,0)*'CONSTANTS &amp; REFERENCES'!$A$9+MAX(MIN(AB3,AZ3)-AX3,0)*'CONSTANTS &amp; REFERENCES'!$A$10+MAX(AB3-AZ3,0)*'CONSTANTS &amp; REFERENCES'!$A$11)</f>
        <v>7057</v>
      </c>
      <c r="AD3" s="21">
        <f>IF(AB3="","",IF(INPUTS!$C$20="Yes",AB3*INPUTS!$C$21,0))</f>
        <v>0</v>
      </c>
      <c r="AE3" s="21">
        <f>IF(Y3="","",MIN(Y3,BC3)*'CONSTANTS &amp; REFERENCES'!$B$22)</f>
        <v>4609.7</v>
      </c>
      <c r="AF3" s="21">
        <f>IF(Y3="","",Y3*'CONSTANTS &amp; REFERENCES'!$B$24+MAX(0,Y3-IF(AK3="Married Filing Jointly",'CONSTANTS &amp; REFERENCES'!$C$26,IF(AK3="Married Filing Separately",'CONSTANTS &amp; REFERENCES'!$C$27,IF(AK3="Head of Household",'CONSTANTS &amp; REFERENCES'!$C$28,'CONSTANTS &amp; REFERENCES'!$C$25))))*'CONSTANTS &amp; REFERENCES'!$B$25)</f>
        <v>1078.075</v>
      </c>
      <c r="AG3" s="21">
        <f t="shared" ref="AG3:AG66" si="15">IF(Y3="","",AE3+AF3)</f>
        <v>5687.7749999999996</v>
      </c>
      <c r="AH3" s="21">
        <f t="shared" ref="AH3:AH66" si="16">IF(OR(AC3="",AG3=""),"",AC3+AD3+AG3)</f>
        <v>12744.775</v>
      </c>
      <c r="AI3" s="21">
        <f t="shared" ref="AI3:AI66" si="17">IF(AH3="","",Y3-AH3)</f>
        <v>61605.224999999999</v>
      </c>
      <c r="AJ3" s="21">
        <f t="shared" ref="AJ3:AJ66" si="18">IF(AI3="","",Y3-AH3-AI3)</f>
        <v>0</v>
      </c>
      <c r="AK3" s="7" t="str">
        <f>IF(A3="","",IF(AND(INPUTS!$C$43="Yes",A3&gt;=INPUTS!$C$45),INPUTS!$C$44,INPUTS!$C$19))</f>
        <v>Single</v>
      </c>
      <c r="AL3" s="23">
        <f t="shared" si="7"/>
        <v>1.05406</v>
      </c>
      <c r="AM3" s="24">
        <f>IF(A3="","",(IF(OR(AK3="Single",AK3="Married Filing Separately"),'CONSTANTS &amp; REFERENCES'!$B$13,IF(AK3="Married Filing Jointly",'CONSTANTS &amp; REFERENCES'!$G$13,IF(AK3="Head of Household",'CONSTANTS &amp; REFERENCES'!$L$13,""))))*AL3)</f>
        <v>16970.365999999998</v>
      </c>
      <c r="AN3" s="21">
        <f>IF(AM3="","",IF(A3=0,IF(OR(AK3="Single",AK3="Married Filing Separately"),'CONSTANTS &amp; REFERENCES'!$B$13,IF(AK3="Married Filing Jointly",'CONSTANTS &amp; REFERENCES'!$G$13,IF(AK3="Head of Household",'CONSTANTS &amp; REFERENCES'!$L$13,""))),_xlfn.FLOOR.MATH(AM3,IF(AK3="Married Filing Separately",Bracket_Round_MFS,Bracket_Round_Standard))))</f>
        <v>16950</v>
      </c>
      <c r="AO3" s="24">
        <f>IF(A3="","",(IF(OR(AK3="Single",AK3="Married Filing Separately"),'CONSTANTS &amp; REFERENCES'!$C$5,IF(AK3="Married Filing Jointly",'CONSTANTS &amp; REFERENCES'!$H$5,IF(AK3="Head of Household",'CONSTANTS &amp; REFERENCES'!$M$5,""))))*AL3)</f>
        <v>13070.343999999999</v>
      </c>
      <c r="AP3" s="21">
        <f>IF(AO3="","",IF(A3=0,IF(OR(AK3="Single",AK3="Married Filing Separately"),'CONSTANTS &amp; REFERENCES'!$C$5,IF(AK3="Married Filing Jointly",'CONSTANTS &amp; REFERENCES'!$H$5,IF(AK3="Head of Household",'CONSTANTS &amp; REFERENCES'!$M$5,""))),_xlfn.FLOOR.MATH(AO3,IF(AK3="Married Filing Separately",Bracket_Round_MFS,Bracket_Round_Standard))))</f>
        <v>13050</v>
      </c>
      <c r="AQ3" s="24">
        <f>IF(A3="","",(IF(OR(AK3="Single",AK3="Married Filing Separately"),'CONSTANTS &amp; REFERENCES'!$C$6,IF(AK3="Married Filing Jointly",'CONSTANTS &amp; REFERENCES'!$H$6,IF(AK3="Head of Household",'CONSTANTS &amp; REFERENCES'!$M$6,""))))*AL3)</f>
        <v>53124.624000000003</v>
      </c>
      <c r="AR3" s="21">
        <f>IF(AQ3="","",IF(A3=0,IF(OR(AK3="Single",AK3="Married Filing Separately"),'CONSTANTS &amp; REFERENCES'!$C$6,IF(AK3="Married Filing Jointly",'CONSTANTS &amp; REFERENCES'!$H$6,IF(AK3="Head of Household",'CONSTANTS &amp; REFERENCES'!$M$6,""))),_xlfn.FLOOR.MATH(AQ3,IF(AK3="Married Filing Separately",Bracket_Round_MFS,Bracket_Round_Standard))))</f>
        <v>53100</v>
      </c>
      <c r="AS3" s="24">
        <f>IF(A3="","",(IF(OR(AK3="Single",AK3="Married Filing Separately"),'CONSTANTS &amp; REFERENCES'!$C$7,IF(AK3="Married Filing Jointly",'CONSTANTS &amp; REFERENCES'!$H$7,IF(AK3="Head of Household",'CONSTANTS &amp; REFERENCES'!$M$7,""))))*AL3)</f>
        <v>111414.14199999999</v>
      </c>
      <c r="AT3" s="21">
        <f>IF(AS3="","",IF(A3=0,IF(OR(AK3="Single",AK3="Married Filing Separately"),'CONSTANTS &amp; REFERENCES'!$C$7,IF(AK3="Married Filing Jointly",'CONSTANTS &amp; REFERENCES'!$H$7,IF(AK3="Head of Household",'CONSTANTS &amp; REFERENCES'!$M$7,""))),_xlfn.FLOOR.MATH(AS3,IF(AK3="Married Filing Separately",Bracket_Round_MFS,Bracket_Round_Standard))))</f>
        <v>111400</v>
      </c>
      <c r="AU3" s="24">
        <f>IF(A3="","",(IF(OR(AK3="Single",AK3="Married Filing Separately"),'CONSTANTS &amp; REFERENCES'!$C$8,IF(AK3="Married Filing Jointly",'CONSTANTS &amp; REFERENCES'!$H$8,IF(AK3="Head of Household",'CONSTANTS &amp; REFERENCES'!$M$8,""))))*AL3)</f>
        <v>212682.9565</v>
      </c>
      <c r="AV3" s="21">
        <f>IF(AU3="","",IF(A3=0,IF(OR(AK3="Single",AK3="Married Filing Separately"),'CONSTANTS &amp; REFERENCES'!$C$8,IF(AK3="Married Filing Jointly",'CONSTANTS &amp; REFERENCES'!$H$8,IF(AK3="Head of Household",'CONSTANTS &amp; REFERENCES'!$M$8,""))),_xlfn.FLOOR.MATH(AU3,IF(AK3="Married Filing Separately",Bracket_Round_MFS,Bracket_Round_Standard))))</f>
        <v>212650</v>
      </c>
      <c r="AW3" s="24">
        <f>IF(A3="","",(IF(OR(AK3="Single",AK3="Married Filing Separately"),'CONSTANTS &amp; REFERENCES'!$C$9,IF(AK3="Married Filing Jointly",'CONSTANTS &amp; REFERENCES'!$H$9,IF(AK3="Head of Household",'CONSTANTS &amp; REFERENCES'!$M$9,""))))*AL3)</f>
        <v>270076.52350000001</v>
      </c>
      <c r="AX3" s="21">
        <f>IF(AW3="","",IF(A3=0,IF(OR(AK3="Single",AK3="Married Filing Separately"),'CONSTANTS &amp; REFERENCES'!$C$9,IF(AK3="Married Filing Jointly",'CONSTANTS &amp; REFERENCES'!$H$9,IF(AK3="Head of Household",'CONSTANTS &amp; REFERENCES'!$M$9,""))),_xlfn.FLOOR.MATH(AW3,IF(AK3="Married Filing Separately",Bracket_Round_MFS,Bracket_Round_Standard))))</f>
        <v>270050</v>
      </c>
      <c r="AY3" s="24">
        <f>IF(A3="","",(IF(OR(AK3="Single",AK3="Married Filing Separately"),'CONSTANTS &amp; REFERENCES'!$C$10,IF(AK3="Married Filing Jointly",'CONSTANTS &amp; REFERENCES'!$H$10,IF(AK3="Head of Household",'CONSTANTS &amp; REFERENCES'!$M$10,""))))*AL3)</f>
        <v>681555.196</v>
      </c>
      <c r="AZ3" s="21">
        <f>IF(AY3="","",IF(A3=0,IF(OR(AK3="Single",AK3="Married Filing Separately"),'CONSTANTS &amp; REFERENCES'!$C$10,IF(AK3="Married Filing Jointly",'CONSTANTS &amp; REFERENCES'!$H$10,IF(AK3="Head of Household",'CONSTANTS &amp; REFERENCES'!$M$10,""))),_xlfn.FLOOR.MATH(AY3,IF(AK3="Married Filing Separately",Bracket_Round_MFS,Bracket_Round_Standard))))</f>
        <v>681550</v>
      </c>
      <c r="BA3" s="7" t="str">
        <f t="shared" si="8"/>
        <v>Illustrative future tax assumptions under simplified C-CPI-U indexing; not an IRS forecast.</v>
      </c>
      <c r="BB3" s="7">
        <f>IF(A3="","",'CONSTANTS &amp; REFERENCES'!$C$22*AL3)</f>
        <v>194474.07</v>
      </c>
      <c r="BC3" s="21">
        <f t="shared" ref="BC3:BC66" si="19">IF(BB3="","",_xlfn.FLOOR.MATH(BB3,100))</f>
        <v>194400</v>
      </c>
    </row>
    <row r="4" spans="1:55" ht="18" customHeight="1" x14ac:dyDescent="0.3">
      <c r="A4" s="10">
        <f>IF(A3&lt;INPUTS!$C$7-INPUTS!$C$6,A3+1,"")</f>
        <v>2</v>
      </c>
      <c r="B4" s="10">
        <f>IF(A4="","",INPUTS!$C$6+A4)</f>
        <v>24</v>
      </c>
      <c r="C4" s="11">
        <f t="shared" si="9"/>
        <v>17325</v>
      </c>
      <c r="D4" s="11">
        <f>IF(A4="","",IF(A4&lt;INPUTS!$C$13,0,J4))</f>
        <v>8000</v>
      </c>
      <c r="E4" s="12" t="str">
        <f>IF(A4="","",IF(D4=0,"—",IF(Y4&lt;IF(AK4="Married Filing Jointly",'CONSTANTS &amp; REFERENCES'!$B$44,IF(AK4="Married Filing Separately",'CONSTANTS &amp; REFERENCES'!$B$45,'CONSTANTS &amp; REFERENCES'!$B$43)),"Direct","Backdoor")))</f>
        <v>Direct</v>
      </c>
      <c r="F4" s="13">
        <f t="shared" si="0"/>
        <v>8427.0000000000018</v>
      </c>
      <c r="G4" s="14">
        <f t="shared" si="1"/>
        <v>8000</v>
      </c>
      <c r="H4" s="13">
        <f t="shared" si="2"/>
        <v>1235.9600000000003</v>
      </c>
      <c r="I4" s="14">
        <f t="shared" si="3"/>
        <v>1200</v>
      </c>
      <c r="J4" s="14">
        <f t="shared" si="4"/>
        <v>8000</v>
      </c>
      <c r="K4" s="11">
        <f>IF(A4="","",IF(INPUTS!$C$12="Beginning",(C4+D4)*INPUTS!$C$10,C4*INPUTS!$C$10))</f>
        <v>2532.5</v>
      </c>
      <c r="L4" s="11">
        <f>IF(A4="","",IF(INPUTS!$C$12="Beginning",(C4+D4)*(1+INPUTS!$C$10),C4*(1+INPUTS!$C$10)+D4))</f>
        <v>27857.500000000004</v>
      </c>
      <c r="M4" s="15">
        <f>IF(A4="","",(1+INPUTS!$C$11)^A4)</f>
        <v>1.1236000000000002</v>
      </c>
      <c r="N4" s="11">
        <f t="shared" si="10"/>
        <v>24793.075827696688</v>
      </c>
      <c r="O4" s="11">
        <f t="shared" si="11"/>
        <v>23000</v>
      </c>
      <c r="P4" s="11">
        <f>IF(A4="","",L4-INPUTS!$C$8-O4)</f>
        <v>4857.5000000000036</v>
      </c>
      <c r="Q4" s="16"/>
      <c r="R4" s="16"/>
      <c r="S4" s="16">
        <f t="shared" si="12"/>
        <v>24</v>
      </c>
      <c r="T4" s="18">
        <f t="shared" si="13"/>
        <v>27857.500000000004</v>
      </c>
      <c r="U4" s="18">
        <f t="shared" si="14"/>
        <v>24793.075827696688</v>
      </c>
      <c r="V4" s="19">
        <f>IF(A4="","",FV(INPUTS!$C$10,INPUTS!$C$7-INPUTS!$C$6-A4+IF(INPUTS!$C$12="Beginning",1,0),0,-D4,0))</f>
        <v>438109.59389994445</v>
      </c>
      <c r="W4" s="7" t="s">
        <v>154</v>
      </c>
      <c r="X4" s="20">
        <v>1100</v>
      </c>
      <c r="Y4" s="21">
        <f>IF(A4="","",IF(INPUTS!$C$17="Yes",MIN(Y3*(1+INPUTS!$C$15)+IF(INPUTS!$C$27="Yes",(Z4-Z3)*INPUTS!$C$31+IF(AND(INPUTS!$C$28="Not yet credentialed",A4=INPUTS!$C$33),INPUTS!$C$32,0)+IF(AND(INPUTS!$C$28&lt;&gt;"FSA / FCAS",A4=INPUTS!$C$35),INPUTS!$C$34,0),0),INPUTS!$C$18),Y3*(1+INPUTS!$C$15)+IF(INPUTS!$C$27="Yes",(Z4-Z3)*INPUTS!$C$31+IF(AND(INPUTS!$C$28="Not yet credentialed",A4=INPUTS!$C$33),INPUTS!$C$32,0)+IF(AND(INPUTS!$C$28&lt;&gt;"FSA / FCAS",A4=INPUTS!$C$35),INPUTS!$C$34,0),0)))</f>
        <v>78830.5</v>
      </c>
      <c r="Z4" s="22">
        <f>IF(A4="","",IF(AND(INPUTS!$C$27="Yes",INPUTS!$C$28&lt;&gt;"FSA / FCAS",ISNUMBER(INPUTS!$C$37)),MIN(A4*INPUTS!$C$37,INPUTS!$C$30),0))</f>
        <v>1.5</v>
      </c>
      <c r="AA4" s="21">
        <f t="shared" si="5"/>
        <v>17850</v>
      </c>
      <c r="AB4" s="21">
        <f t="shared" si="6"/>
        <v>60980.5</v>
      </c>
      <c r="AC4" s="21">
        <f>IF(A4="","",MIN(AB4,AP4)*'CONSTANTS &amp; REFERENCES'!$A$5+MAX(MIN(AB4,AR4)-AP4,0)*'CONSTANTS &amp; REFERENCES'!$A$6+MAX(MIN(AB4,AT4)-AR4,0)*'CONSTANTS &amp; REFERENCES'!$A$7+MAX(MIN(AB4,AV4)-AT4,0)*'CONSTANTS &amp; REFERENCES'!$A$8+MAX(MIN(AB4,AX4)-AV4,0)*'CONSTANTS &amp; REFERENCES'!$A$9+MAX(MIN(AB4,AZ4)-AX4,0)*'CONSTANTS &amp; REFERENCES'!$A$10+MAX(AB4-AZ4,0)*'CONSTANTS &amp; REFERENCES'!$A$11)</f>
        <v>7545.71</v>
      </c>
      <c r="AD4" s="21">
        <f>IF(AB4="","",IF(INPUTS!$C$20="Yes",AB4*INPUTS!$C$21,0))</f>
        <v>0</v>
      </c>
      <c r="AE4" s="21">
        <f>IF(Y4="","",MIN(Y4,BC4)*'CONSTANTS &amp; REFERENCES'!$B$22)</f>
        <v>4887.491</v>
      </c>
      <c r="AF4" s="21">
        <f>IF(Y4="","",Y4*'CONSTANTS &amp; REFERENCES'!$B$24+MAX(0,Y4-IF(AK4="Married Filing Jointly",'CONSTANTS &amp; REFERENCES'!$C$26,IF(AK4="Married Filing Separately",'CONSTANTS &amp; REFERENCES'!$C$27,IF(AK4="Head of Household",'CONSTANTS &amp; REFERENCES'!$C$28,'CONSTANTS &amp; REFERENCES'!$C$25))))*'CONSTANTS &amp; REFERENCES'!$B$25)</f>
        <v>1143.04225</v>
      </c>
      <c r="AG4" s="21">
        <f t="shared" si="15"/>
        <v>6030.5332500000004</v>
      </c>
      <c r="AH4" s="21">
        <f t="shared" si="16"/>
        <v>13576.24325</v>
      </c>
      <c r="AI4" s="21">
        <f t="shared" si="17"/>
        <v>65254.25675</v>
      </c>
      <c r="AJ4" s="21">
        <f t="shared" si="18"/>
        <v>0</v>
      </c>
      <c r="AK4" s="7" t="str">
        <f>IF(A4="","",IF(AND(INPUTS!$C$43="Yes",A4&gt;=INPUTS!$C$45),INPUTS!$C$44,INPUTS!$C$19))</f>
        <v>Single</v>
      </c>
      <c r="AL4" s="23">
        <f t="shared" si="7"/>
        <v>1.1110424835999999</v>
      </c>
      <c r="AM4" s="24">
        <f>IF(A4="","",(IF(OR(AK4="Single",AK4="Married Filing Separately"),'CONSTANTS &amp; REFERENCES'!$B$13,IF(AK4="Married Filing Jointly",'CONSTANTS &amp; REFERENCES'!$G$13,IF(AK4="Head of Household",'CONSTANTS &amp; REFERENCES'!$L$13,""))))*AL4)</f>
        <v>17887.783985959999</v>
      </c>
      <c r="AN4" s="21">
        <f>IF(AM4="","",IF(A4=0,IF(OR(AK4="Single",AK4="Married Filing Separately"),'CONSTANTS &amp; REFERENCES'!$B$13,IF(AK4="Married Filing Jointly",'CONSTANTS &amp; REFERENCES'!$G$13,IF(AK4="Head of Household",'CONSTANTS &amp; REFERENCES'!$L$13,""))),_xlfn.FLOOR.MATH(AM4,IF(AK4="Married Filing Separately",Bracket_Round_MFS,Bracket_Round_Standard))))</f>
        <v>17850</v>
      </c>
      <c r="AO4" s="24">
        <f>IF(A4="","",(IF(OR(AK4="Single",AK4="Married Filing Separately"),'CONSTANTS &amp; REFERENCES'!$C$5,IF(AK4="Married Filing Jointly",'CONSTANTS &amp; REFERENCES'!$H$5,IF(AK4="Head of Household",'CONSTANTS &amp; REFERENCES'!$M$5,""))))*AL4)</f>
        <v>13776.926796639998</v>
      </c>
      <c r="AP4" s="21">
        <f>IF(AO4="","",IF(A4=0,IF(OR(AK4="Single",AK4="Married Filing Separately"),'CONSTANTS &amp; REFERENCES'!$C$5,IF(AK4="Married Filing Jointly",'CONSTANTS &amp; REFERENCES'!$H$5,IF(AK4="Head of Household",'CONSTANTS &amp; REFERENCES'!$M$5,""))),_xlfn.FLOOR.MATH(AO4,IF(AK4="Married Filing Separately",Bracket_Round_MFS,Bracket_Round_Standard))))</f>
        <v>13750</v>
      </c>
      <c r="AQ4" s="24">
        <f>IF(A4="","",(IF(OR(AK4="Single",AK4="Married Filing Separately"),'CONSTANTS &amp; REFERENCES'!$C$6,IF(AK4="Married Filing Jointly",'CONSTANTS &amp; REFERENCES'!$H$6,IF(AK4="Head of Household",'CONSTANTS &amp; REFERENCES'!$M$6,""))))*AL4)</f>
        <v>55996.541173439997</v>
      </c>
      <c r="AR4" s="21">
        <f>IF(AQ4="","",IF(A4=0,IF(OR(AK4="Single",AK4="Married Filing Separately"),'CONSTANTS &amp; REFERENCES'!$C$6,IF(AK4="Married Filing Jointly",'CONSTANTS &amp; REFERENCES'!$H$6,IF(AK4="Head of Household",'CONSTANTS &amp; REFERENCES'!$M$6,""))),_xlfn.FLOOR.MATH(AQ4,IF(AK4="Married Filing Separately",Bracket_Round_MFS,Bracket_Round_Standard))))</f>
        <v>55950</v>
      </c>
      <c r="AS4" s="24">
        <f>IF(A4="","",(IF(OR(AK4="Single",AK4="Married Filing Separately"),'CONSTANTS &amp; REFERENCES'!$C$7,IF(AK4="Married Filing Jointly",'CONSTANTS &amp; REFERENCES'!$H$7,IF(AK4="Head of Household",'CONSTANTS &amp; REFERENCES'!$M$7,""))))*AL4)</f>
        <v>117437.19051651999</v>
      </c>
      <c r="AT4" s="21">
        <f>IF(AS4="","",IF(A4=0,IF(OR(AK4="Single",AK4="Married Filing Separately"),'CONSTANTS &amp; REFERENCES'!$C$7,IF(AK4="Married Filing Jointly",'CONSTANTS &amp; REFERENCES'!$H$7,IF(AK4="Head of Household",'CONSTANTS &amp; REFERENCES'!$M$7,""))),_xlfn.FLOOR.MATH(AS4,IF(AK4="Married Filing Separately",Bracket_Round_MFS,Bracket_Round_Standard))))</f>
        <v>117400</v>
      </c>
      <c r="AU4" s="24">
        <f>IF(A4="","",(IF(OR(AK4="Single",AK4="Married Filing Separately"),'CONSTANTS &amp; REFERENCES'!$C$8,IF(AK4="Married Filing Jointly",'CONSTANTS &amp; REFERENCES'!$H$8,IF(AK4="Head of Household",'CONSTANTS &amp; REFERENCES'!$M$8,""))))*AL4)</f>
        <v>224180.59712838999</v>
      </c>
      <c r="AV4" s="21">
        <f>IF(AU4="","",IF(A4=0,IF(OR(AK4="Single",AK4="Married Filing Separately"),'CONSTANTS &amp; REFERENCES'!$C$8,IF(AK4="Married Filing Jointly",'CONSTANTS &amp; REFERENCES'!$H$8,IF(AK4="Head of Household",'CONSTANTS &amp; REFERENCES'!$M$8,""))),_xlfn.FLOOR.MATH(AU4,IF(AK4="Married Filing Separately",Bracket_Round_MFS,Bracket_Round_Standard))))</f>
        <v>224150</v>
      </c>
      <c r="AW4" s="24">
        <f>IF(A4="","",(IF(OR(AK4="Single",AK4="Married Filing Separately"),'CONSTANTS &amp; REFERENCES'!$C$9,IF(AK4="Married Filing Jointly",'CONSTANTS &amp; REFERENCES'!$H$9,IF(AK4="Head of Household",'CONSTANTS &amp; REFERENCES'!$M$9,""))))*AL4)</f>
        <v>284676.86036040995</v>
      </c>
      <c r="AX4" s="21">
        <f>IF(AW4="","",IF(A4=0,IF(OR(AK4="Single",AK4="Married Filing Separately"),'CONSTANTS &amp; REFERENCES'!$C$9,IF(AK4="Married Filing Jointly",'CONSTANTS &amp; REFERENCES'!$H$9,IF(AK4="Head of Household",'CONSTANTS &amp; REFERENCES'!$M$9,""))),_xlfn.FLOOR.MATH(AW4,IF(AK4="Married Filing Separately",Bracket_Round_MFS,Bracket_Round_Standard))))</f>
        <v>284650</v>
      </c>
      <c r="AY4" s="24">
        <f>IF(A4="","",(IF(OR(AK4="Single",AK4="Married Filing Separately"),'CONSTANTS &amp; REFERENCES'!$C$10,IF(AK4="Married Filing Jointly",'CONSTANTS &amp; REFERENCES'!$H$10,IF(AK4="Head of Household",'CONSTANTS &amp; REFERENCES'!$M$10,""))))*AL4)</f>
        <v>718400.06989575992</v>
      </c>
      <c r="AZ4" s="21">
        <f>IF(AY4="","",IF(A4=0,IF(OR(AK4="Single",AK4="Married Filing Separately"),'CONSTANTS &amp; REFERENCES'!$C$10,IF(AK4="Married Filing Jointly",'CONSTANTS &amp; REFERENCES'!$H$10,IF(AK4="Head of Household",'CONSTANTS &amp; REFERENCES'!$M$10,""))),_xlfn.FLOOR.MATH(AY4,IF(AK4="Married Filing Separately",Bracket_Round_MFS,Bracket_Round_Standard))))</f>
        <v>718400</v>
      </c>
      <c r="BA4" s="7" t="str">
        <f t="shared" si="8"/>
        <v>Illustrative future tax assumptions under simplified C-CPI-U indexing; not an IRS forecast.</v>
      </c>
      <c r="BB4" s="7">
        <f>IF(A4="","",'CONSTANTS &amp; REFERENCES'!$C$22*AL4)</f>
        <v>204987.33822419998</v>
      </c>
      <c r="BC4" s="21">
        <f t="shared" si="19"/>
        <v>204900</v>
      </c>
    </row>
    <row r="5" spans="1:55" ht="18" customHeight="1" x14ac:dyDescent="0.3">
      <c r="A5" s="10">
        <f>IF(A4&lt;INPUTS!$C$7-INPUTS!$C$6,A4+1,"")</f>
        <v>3</v>
      </c>
      <c r="B5" s="10">
        <f>IF(A5="","",INPUTS!$C$6+A5)</f>
        <v>25</v>
      </c>
      <c r="C5" s="11">
        <f t="shared" si="9"/>
        <v>27857.500000000004</v>
      </c>
      <c r="D5" s="11">
        <f>IF(A5="","",IF(A5&lt;INPUTS!$C$13,0,J5))</f>
        <v>8500</v>
      </c>
      <c r="E5" s="12" t="str">
        <f>IF(A5="","",IF(D5=0,"—",IF(Y5&lt;IF(AK5="Married Filing Jointly",'CONSTANTS &amp; REFERENCES'!$B$44,IF(AK5="Married Filing Separately",'CONSTANTS &amp; REFERENCES'!$B$45,'CONSTANTS &amp; REFERENCES'!$B$43)),"Direct","Backdoor")))</f>
        <v>Direct</v>
      </c>
      <c r="F5" s="13">
        <f t="shared" si="0"/>
        <v>8932.6200000000026</v>
      </c>
      <c r="G5" s="14">
        <f t="shared" si="1"/>
        <v>8500</v>
      </c>
      <c r="H5" s="13">
        <f t="shared" si="2"/>
        <v>1310.1176000000003</v>
      </c>
      <c r="I5" s="14">
        <f t="shared" si="3"/>
        <v>1300</v>
      </c>
      <c r="J5" s="14">
        <f t="shared" si="4"/>
        <v>8500</v>
      </c>
      <c r="K5" s="11">
        <f>IF(A5="","",IF(INPUTS!$C$12="Beginning",(C5+D5)*INPUTS!$C$10,C5*INPUTS!$C$10))</f>
        <v>3635.75</v>
      </c>
      <c r="L5" s="11">
        <f>IF(A5="","",IF(INPUTS!$C$12="Beginning",(C5+D5)*(1+INPUTS!$C$10),C5*(1+INPUTS!$C$10)+D5))</f>
        <v>39993.25</v>
      </c>
      <c r="M5" s="15">
        <f>IF(A5="","",(1+INPUTS!$C$11)^A5)</f>
        <v>1.1910160000000003</v>
      </c>
      <c r="N5" s="11">
        <f t="shared" si="10"/>
        <v>33579.103891131599</v>
      </c>
      <c r="O5" s="11">
        <f t="shared" si="11"/>
        <v>31500</v>
      </c>
      <c r="P5" s="11">
        <f>IF(A5="","",L5-INPUTS!$C$8-O5)</f>
        <v>8493.25</v>
      </c>
      <c r="Q5" s="16"/>
      <c r="R5" s="16"/>
      <c r="S5" s="16">
        <f t="shared" si="12"/>
        <v>25</v>
      </c>
      <c r="T5" s="18">
        <f t="shared" si="13"/>
        <v>39993.25</v>
      </c>
      <c r="U5" s="18">
        <f t="shared" si="14"/>
        <v>33579.103891131599</v>
      </c>
      <c r="V5" s="19">
        <f>IF(A5="","",FV(INPUTS!$C$10,INPUTS!$C$7-INPUTS!$C$6-A5+IF(INPUTS!$C$12="Beginning",1,0),0,-D5,0))</f>
        <v>423174.0395624463</v>
      </c>
      <c r="W5" s="7" t="s">
        <v>198</v>
      </c>
      <c r="X5" s="25">
        <v>0.90100000000000002</v>
      </c>
      <c r="Y5" s="21">
        <f>IF(A5="","",IF(INPUTS!$C$17="Yes",MIN(Y4*(1+INPUTS!$C$15)+IF(INPUTS!$C$27="Yes",(Z5-Z4)*INPUTS!$C$31+IF(AND(INPUTS!$C$28="Not yet credentialed",A5=INPUTS!$C$33),INPUTS!$C$32,0)+IF(AND(INPUTS!$C$28&lt;&gt;"FSA / FCAS",A5=INPUTS!$C$35),INPUTS!$C$34,0),0),INPUTS!$C$18),Y4*(1+INPUTS!$C$15)+IF(INPUTS!$C$27="Yes",(Z5-Z4)*INPUTS!$C$31+IF(AND(INPUTS!$C$28="Not yet credentialed",A5=INPUTS!$C$33),INPUTS!$C$32,0)+IF(AND(INPUTS!$C$28&lt;&gt;"FSA / FCAS",A5=INPUTS!$C$35),INPUTS!$C$34,0),0)))</f>
        <v>83445.415000000008</v>
      </c>
      <c r="Z5" s="22">
        <f>IF(A5="","",IF(AND(INPUTS!$C$27="Yes",INPUTS!$C$28&lt;&gt;"FSA / FCAS",ISNUMBER(INPUTS!$C$37)),MIN(A5*INPUTS!$C$37,INPUTS!$C$30),0))</f>
        <v>2.25</v>
      </c>
      <c r="AA5" s="21">
        <f t="shared" si="5"/>
        <v>18850</v>
      </c>
      <c r="AB5" s="21">
        <f t="shared" si="6"/>
        <v>64595.415000000008</v>
      </c>
      <c r="AC5" s="21">
        <f>IF(A5="","",MIN(AB5,AP5)*'CONSTANTS &amp; REFERENCES'!$A$5+MAX(MIN(AB5,AR5)-AP5,0)*'CONSTANTS &amp; REFERENCES'!$A$6+MAX(MIN(AB5,AT5)-AR5,0)*'CONSTANTS &amp; REFERENCES'!$A$7+MAX(MIN(AB5,AV5)-AT5,0)*'CONSTANTS &amp; REFERENCES'!$A$8+MAX(MIN(AB5,AX5)-AV5,0)*'CONSTANTS &amp; REFERENCES'!$A$9+MAX(MIN(AB5,AZ5)-AX5,0)*'CONSTANTS &amp; REFERENCES'!$A$10+MAX(AB5-AZ5,0)*'CONSTANTS &amp; REFERENCES'!$A$11)</f>
        <v>8020.9913000000015</v>
      </c>
      <c r="AD5" s="21">
        <f>IF(AB5="","",IF(INPUTS!$C$20="Yes",AB5*INPUTS!$C$21,0))</f>
        <v>0</v>
      </c>
      <c r="AE5" s="21">
        <f>IF(Y5="","",MIN(Y5,BC5)*'CONSTANTS &amp; REFERENCES'!$B$22)</f>
        <v>5173.6157300000004</v>
      </c>
      <c r="AF5" s="21">
        <f>IF(Y5="","",Y5*'CONSTANTS &amp; REFERENCES'!$B$24+MAX(0,Y5-IF(AK5="Married Filing Jointly",'CONSTANTS &amp; REFERENCES'!$C$26,IF(AK5="Married Filing Separately",'CONSTANTS &amp; REFERENCES'!$C$27,IF(AK5="Head of Household",'CONSTANTS &amp; REFERENCES'!$C$28,'CONSTANTS &amp; REFERENCES'!$C$25))))*'CONSTANTS &amp; REFERENCES'!$B$25)</f>
        <v>1209.9585175000002</v>
      </c>
      <c r="AG5" s="21">
        <f t="shared" si="15"/>
        <v>6383.5742475000006</v>
      </c>
      <c r="AH5" s="21">
        <f t="shared" si="16"/>
        <v>14404.565547500002</v>
      </c>
      <c r="AI5" s="21">
        <f t="shared" si="17"/>
        <v>69040.849452499999</v>
      </c>
      <c r="AJ5" s="21">
        <f t="shared" si="18"/>
        <v>0</v>
      </c>
      <c r="AK5" s="7" t="str">
        <f>IF(A5="","",IF(AND(INPUTS!$C$43="Yes",A5&gt;=INPUTS!$C$45),INPUTS!$C$44,INPUTS!$C$19))</f>
        <v>Single</v>
      </c>
      <c r="AL5" s="23">
        <f t="shared" si="7"/>
        <v>1.171105440263416</v>
      </c>
      <c r="AM5" s="24">
        <f>IF(A5="","",(IF(OR(AK5="Single",AK5="Married Filing Separately"),'CONSTANTS &amp; REFERENCES'!$B$13,IF(AK5="Married Filing Jointly",'CONSTANTS &amp; REFERENCES'!$G$13,IF(AK5="Head of Household",'CONSTANTS &amp; REFERENCES'!$L$13,""))))*AL5)</f>
        <v>18854.797588240999</v>
      </c>
      <c r="AN5" s="21">
        <f>IF(AM5="","",IF(A5=0,IF(OR(AK5="Single",AK5="Married Filing Separately"),'CONSTANTS &amp; REFERENCES'!$B$13,IF(AK5="Married Filing Jointly",'CONSTANTS &amp; REFERENCES'!$G$13,IF(AK5="Head of Household",'CONSTANTS &amp; REFERENCES'!$L$13,""))),_xlfn.FLOOR.MATH(AM5,IF(AK5="Married Filing Separately",Bracket_Round_MFS,Bracket_Round_Standard))))</f>
        <v>18850</v>
      </c>
      <c r="AO5" s="24">
        <f>IF(A5="","",(IF(OR(AK5="Single",AK5="Married Filing Separately"),'CONSTANTS &amp; REFERENCES'!$C$5,IF(AK5="Married Filing Jointly",'CONSTANTS &amp; REFERENCES'!$H$5,IF(AK5="Head of Household",'CONSTANTS &amp; REFERENCES'!$M$5,""))))*AL5)</f>
        <v>14521.707459266359</v>
      </c>
      <c r="AP5" s="21">
        <f>IF(AO5="","",IF(A5=0,IF(OR(AK5="Single",AK5="Married Filing Separately"),'CONSTANTS &amp; REFERENCES'!$C$5,IF(AK5="Married Filing Jointly",'CONSTANTS &amp; REFERENCES'!$H$5,IF(AK5="Head of Household",'CONSTANTS &amp; REFERENCES'!$M$5,""))),_xlfn.FLOOR.MATH(AO5,IF(AK5="Married Filing Separately",Bracket_Round_MFS,Bracket_Round_Standard))))</f>
        <v>14500</v>
      </c>
      <c r="AQ5" s="24">
        <f>IF(A5="","",(IF(OR(AK5="Single",AK5="Married Filing Separately"),'CONSTANTS &amp; REFERENCES'!$C$6,IF(AK5="Married Filing Jointly",'CONSTANTS &amp; REFERENCES'!$H$6,IF(AK5="Head of Household",'CONSTANTS &amp; REFERENCES'!$M$6,""))))*AL5)</f>
        <v>59023.714189276165</v>
      </c>
      <c r="AR5" s="21">
        <f>IF(AQ5="","",IF(A5=0,IF(OR(AK5="Single",AK5="Married Filing Separately"),'CONSTANTS &amp; REFERENCES'!$C$6,IF(AK5="Married Filing Jointly",'CONSTANTS &amp; REFERENCES'!$H$6,IF(AK5="Head of Household",'CONSTANTS &amp; REFERENCES'!$M$6,""))),_xlfn.FLOOR.MATH(AQ5,IF(AK5="Married Filing Separately",Bracket_Round_MFS,Bracket_Round_Standard))))</f>
        <v>59000</v>
      </c>
      <c r="AS5" s="24">
        <f>IF(A5="","",(IF(OR(AK5="Single",AK5="Married Filing Separately"),'CONSTANTS &amp; REFERENCES'!$C$7,IF(AK5="Married Filing Jointly",'CONSTANTS &amp; REFERENCES'!$H$7,IF(AK5="Head of Household",'CONSTANTS &amp; REFERENCES'!$M$7,""))))*AL5)</f>
        <v>123785.84503584307</v>
      </c>
      <c r="AT5" s="21">
        <f>IF(AS5="","",IF(A5=0,IF(OR(AK5="Single",AK5="Married Filing Separately"),'CONSTANTS &amp; REFERENCES'!$C$7,IF(AK5="Married Filing Jointly",'CONSTANTS &amp; REFERENCES'!$H$7,IF(AK5="Head of Household",'CONSTANTS &amp; REFERENCES'!$M$7,""))),_xlfn.FLOOR.MATH(AS5,IF(AK5="Married Filing Separately",Bracket_Round_MFS,Bracket_Round_Standard))))</f>
        <v>123750</v>
      </c>
      <c r="AU5" s="24">
        <f>IF(A5="","",(IF(OR(AK5="Single",AK5="Married Filing Separately"),'CONSTANTS &amp; REFERENCES'!$C$8,IF(AK5="Married Filing Jointly",'CONSTANTS &amp; REFERENCES'!$H$8,IF(AK5="Head of Household",'CONSTANTS &amp; REFERENCES'!$M$8,""))))*AL5)</f>
        <v>236299.80020915077</v>
      </c>
      <c r="AV5" s="21">
        <f>IF(AU5="","",IF(A5=0,IF(OR(AK5="Single",AK5="Married Filing Separately"),'CONSTANTS &amp; REFERENCES'!$C$8,IF(AK5="Married Filing Jointly",'CONSTANTS &amp; REFERENCES'!$H$8,IF(AK5="Head of Household",'CONSTANTS &amp; REFERENCES'!$M$8,""))),_xlfn.FLOOR.MATH(AU5,IF(AK5="Married Filing Separately",Bracket_Round_MFS,Bracket_Round_Standard))))</f>
        <v>236250</v>
      </c>
      <c r="AW5" s="24">
        <f>IF(A5="","",(IF(OR(AK5="Single",AK5="Married Filing Separately"),'CONSTANTS &amp; REFERENCES'!$C$9,IF(AK5="Married Filing Jointly",'CONSTANTS &amp; REFERENCES'!$H$9,IF(AK5="Head of Household",'CONSTANTS &amp; REFERENCES'!$M$9,""))))*AL5)</f>
        <v>300066.49143149378</v>
      </c>
      <c r="AX5" s="21">
        <f>IF(AW5="","",IF(A5=0,IF(OR(AK5="Single",AK5="Married Filing Separately"),'CONSTANTS &amp; REFERENCES'!$C$9,IF(AK5="Married Filing Jointly",'CONSTANTS &amp; REFERENCES'!$H$9,IF(AK5="Head of Household",'CONSTANTS &amp; REFERENCES'!$M$9,""))),_xlfn.FLOOR.MATH(AW5,IF(AK5="Married Filing Separately",Bracket_Round_MFS,Bracket_Round_Standard))))</f>
        <v>300050</v>
      </c>
      <c r="AY5" s="24">
        <f>IF(A5="","",(IF(OR(AK5="Single",AK5="Married Filing Separately"),'CONSTANTS &amp; REFERENCES'!$C$10,IF(AK5="Married Filing Jointly",'CONSTANTS &amp; REFERENCES'!$H$10,IF(AK5="Head of Household",'CONSTANTS &amp; REFERENCES'!$M$10,""))))*AL5)</f>
        <v>757236.77767432481</v>
      </c>
      <c r="AZ5" s="21">
        <f>IF(AY5="","",IF(A5=0,IF(OR(AK5="Single",AK5="Married Filing Separately"),'CONSTANTS &amp; REFERENCES'!$C$10,IF(AK5="Married Filing Jointly",'CONSTANTS &amp; REFERENCES'!$H$10,IF(AK5="Head of Household",'CONSTANTS &amp; REFERENCES'!$M$10,""))),_xlfn.FLOOR.MATH(AY5,IF(AK5="Married Filing Separately",Bracket_Round_MFS,Bracket_Round_Standard))))</f>
        <v>757200</v>
      </c>
      <c r="BA5" s="7" t="str">
        <f t="shared" si="8"/>
        <v>Illustrative future tax assumptions under simplified C-CPI-U indexing; not an IRS forecast.</v>
      </c>
      <c r="BB5" s="7">
        <f>IF(A5="","",'CONSTANTS &amp; REFERENCES'!$C$22*AL5)</f>
        <v>216068.95372860026</v>
      </c>
      <c r="BC5" s="21">
        <f t="shared" si="19"/>
        <v>216000</v>
      </c>
    </row>
    <row r="6" spans="1:55" ht="18" customHeight="1" x14ac:dyDescent="0.3">
      <c r="A6" s="10">
        <f>IF(A5&lt;INPUTS!$C$7-INPUTS!$C$6,A5+1,"")</f>
        <v>4</v>
      </c>
      <c r="B6" s="10">
        <f>IF(A6="","",INPUTS!$C$6+A6)</f>
        <v>26</v>
      </c>
      <c r="C6" s="11">
        <f t="shared" si="9"/>
        <v>39993.25</v>
      </c>
      <c r="D6" s="11">
        <f>IF(A6="","",IF(A6&lt;INPUTS!$C$13,0,J6))</f>
        <v>9000</v>
      </c>
      <c r="E6" s="12" t="str">
        <f>IF(A6="","",IF(D6=0,"—",IF(Y6&lt;IF(AK6="Married Filing Jointly",'CONSTANTS &amp; REFERENCES'!$B$44,IF(AK6="Married Filing Separately",'CONSTANTS &amp; REFERENCES'!$B$45,'CONSTANTS &amp; REFERENCES'!$B$43)),"Direct","Backdoor")))</f>
        <v>Direct</v>
      </c>
      <c r="F6" s="13">
        <f t="shared" si="0"/>
        <v>9468.5772000000015</v>
      </c>
      <c r="G6" s="14">
        <f t="shared" si="1"/>
        <v>9000</v>
      </c>
      <c r="H6" s="13">
        <f t="shared" si="2"/>
        <v>1388.7246560000003</v>
      </c>
      <c r="I6" s="14">
        <f t="shared" si="3"/>
        <v>1300</v>
      </c>
      <c r="J6" s="14">
        <f t="shared" si="4"/>
        <v>9000</v>
      </c>
      <c r="K6" s="11">
        <f>IF(A6="","",IF(INPUTS!$C$12="Beginning",(C6+D6)*INPUTS!$C$10,C6*INPUTS!$C$10))</f>
        <v>4899.3249999999998</v>
      </c>
      <c r="L6" s="11">
        <f>IF(A6="","",IF(INPUTS!$C$12="Beginning",(C6+D6)*(1+INPUTS!$C$10),C6*(1+INPUTS!$C$10)+D6))</f>
        <v>53892.575000000004</v>
      </c>
      <c r="M6" s="15">
        <f>IF(A6="","",(1+INPUTS!$C$11)^A6)</f>
        <v>1.2624769600000003</v>
      </c>
      <c r="N6" s="11">
        <f t="shared" si="10"/>
        <v>42687.967153079764</v>
      </c>
      <c r="O6" s="11">
        <f t="shared" si="11"/>
        <v>40500</v>
      </c>
      <c r="P6" s="11">
        <f>IF(A6="","",L6-INPUTS!$C$8-O6)</f>
        <v>13392.575000000004</v>
      </c>
      <c r="Q6" s="16"/>
      <c r="R6" s="16"/>
      <c r="S6" s="16">
        <f t="shared" si="12"/>
        <v>26</v>
      </c>
      <c r="T6" s="18">
        <f t="shared" si="13"/>
        <v>53892.575000000004</v>
      </c>
      <c r="U6" s="18">
        <f t="shared" si="14"/>
        <v>42687.967153079764</v>
      </c>
      <c r="V6" s="19">
        <f>IF(A6="","",FV(INPUTS!$C$10,INPUTS!$C$7-INPUTS!$C$6-A6+IF(INPUTS!$C$12="Beginning",1,0),0,-D6,0))</f>
        <v>407333.30011358467</v>
      </c>
      <c r="W6" s="7" t="s">
        <v>199</v>
      </c>
      <c r="X6" s="28">
        <f>X3*X5</f>
        <v>5.4059999999999997E-2</v>
      </c>
      <c r="Y6" s="21">
        <f>IF(A6="","",IF(INPUTS!$C$17="Yes",MIN(Y5*(1+INPUTS!$C$15)+IF(INPUTS!$C$27="Yes",(Z6-Z5)*INPUTS!$C$31+IF(AND(INPUTS!$C$28="Not yet credentialed",A6=INPUTS!$C$33),INPUTS!$C$32,0)+IF(AND(INPUTS!$C$28&lt;&gt;"FSA / FCAS",A6=INPUTS!$C$35),INPUTS!$C$34,0),0),INPUTS!$C$18),Y5*(1+INPUTS!$C$15)+IF(INPUTS!$C$27="Yes",(Z6-Z5)*INPUTS!$C$31+IF(AND(INPUTS!$C$28="Not yet credentialed",A6=INPUTS!$C$33),INPUTS!$C$32,0)+IF(AND(INPUTS!$C$28&lt;&gt;"FSA / FCAS",A6=INPUTS!$C$35),INPUTS!$C$34,0),0)))</f>
        <v>103198.77745000001</v>
      </c>
      <c r="Z6" s="22">
        <f>IF(A6="","",IF(AND(INPUTS!$C$27="Yes",INPUTS!$C$28&lt;&gt;"FSA / FCAS",ISNUMBER(INPUTS!$C$37)),MIN(A6*INPUTS!$C$37,INPUTS!$C$30),0))</f>
        <v>3</v>
      </c>
      <c r="AA6" s="21">
        <f t="shared" si="5"/>
        <v>19850</v>
      </c>
      <c r="AB6" s="21">
        <f t="shared" si="6"/>
        <v>83348.777450000009</v>
      </c>
      <c r="AC6" s="21">
        <f>IF(A6="","",MIN(AB6,AP6)*'CONSTANTS &amp; REFERENCES'!$A$5+MAX(MIN(AB6,AR6)-AP6,0)*'CONSTANTS &amp; REFERENCES'!$A$6+MAX(MIN(AB6,AT6)-AR6,0)*'CONSTANTS &amp; REFERENCES'!$A$7+MAX(MIN(AB6,AV6)-AT6,0)*'CONSTANTS &amp; REFERENCES'!$A$8+MAX(MIN(AB6,AX6)-AV6,0)*'CONSTANTS &amp; REFERENCES'!$A$9+MAX(MIN(AB6,AZ6)-AX6,0)*'CONSTANTS &amp; REFERENCES'!$A$10+MAX(AB6-AZ6,0)*'CONSTANTS &amp; REFERENCES'!$A$11)</f>
        <v>11810.731039000002</v>
      </c>
      <c r="AD6" s="21">
        <f>IF(AB6="","",IF(INPUTS!$C$20="Yes",AB6*INPUTS!$C$21,0))</f>
        <v>0</v>
      </c>
      <c r="AE6" s="21">
        <f>IF(Y6="","",MIN(Y6,BC6)*'CONSTANTS &amp; REFERENCES'!$B$22)</f>
        <v>6398.3242019000008</v>
      </c>
      <c r="AF6" s="21">
        <f>IF(Y6="","",Y6*'CONSTANTS &amp; REFERENCES'!$B$24+MAX(0,Y6-IF(AK6="Married Filing Jointly",'CONSTANTS &amp; REFERENCES'!$C$26,IF(AK6="Married Filing Separately",'CONSTANTS &amp; REFERENCES'!$C$27,IF(AK6="Head of Household",'CONSTANTS &amp; REFERENCES'!$C$28,'CONSTANTS &amp; REFERENCES'!$C$25))))*'CONSTANTS &amp; REFERENCES'!$B$25)</f>
        <v>1496.3822730250001</v>
      </c>
      <c r="AG6" s="21">
        <f t="shared" si="15"/>
        <v>7894.7064749250012</v>
      </c>
      <c r="AH6" s="21">
        <f t="shared" si="16"/>
        <v>19705.437513925004</v>
      </c>
      <c r="AI6" s="21">
        <f t="shared" si="17"/>
        <v>83493.339936075005</v>
      </c>
      <c r="AJ6" s="21">
        <f t="shared" si="18"/>
        <v>0</v>
      </c>
      <c r="AK6" s="7" t="str">
        <f>IF(A6="","",IF(AND(INPUTS!$C$43="Yes",A6&gt;=INPUTS!$C$45),INPUTS!$C$44,INPUTS!$C$19))</f>
        <v>Single</v>
      </c>
      <c r="AL6" s="23">
        <f t="shared" si="7"/>
        <v>1.2344154003640562</v>
      </c>
      <c r="AM6" s="24">
        <f>IF(A6="","",(IF(OR(AK6="Single",AK6="Married Filing Separately"),'CONSTANTS &amp; REFERENCES'!$B$13,IF(AK6="Married Filing Jointly",'CONSTANTS &amp; REFERENCES'!$G$13,IF(AK6="Head of Household",'CONSTANTS &amp; REFERENCES'!$L$13,""))))*AL6)</f>
        <v>19874.087945861305</v>
      </c>
      <c r="AN6" s="21">
        <f>IF(AM6="","",IF(A6=0,IF(OR(AK6="Single",AK6="Married Filing Separately"),'CONSTANTS &amp; REFERENCES'!$B$13,IF(AK6="Married Filing Jointly",'CONSTANTS &amp; REFERENCES'!$G$13,IF(AK6="Head of Household",'CONSTANTS &amp; REFERENCES'!$L$13,""))),_xlfn.FLOOR.MATH(AM6,IF(AK6="Married Filing Separately",Bracket_Round_MFS,Bracket_Round_Standard))))</f>
        <v>19850</v>
      </c>
      <c r="AO6" s="24">
        <f>IF(A6="","",(IF(OR(AK6="Single",AK6="Married Filing Separately"),'CONSTANTS &amp; REFERENCES'!$C$5,IF(AK6="Married Filing Jointly",'CONSTANTS &amp; REFERENCES'!$H$5,IF(AK6="Head of Household",'CONSTANTS &amp; REFERENCES'!$M$5,""))))*AL6)</f>
        <v>15306.750964514296</v>
      </c>
      <c r="AP6" s="21">
        <f>IF(AO6="","",IF(A6=0,IF(OR(AK6="Single",AK6="Married Filing Separately"),'CONSTANTS &amp; REFERENCES'!$C$5,IF(AK6="Married Filing Jointly",'CONSTANTS &amp; REFERENCES'!$H$5,IF(AK6="Head of Household",'CONSTANTS &amp; REFERENCES'!$M$5,""))),_xlfn.FLOOR.MATH(AO6,IF(AK6="Married Filing Separately",Bracket_Round_MFS,Bracket_Round_Standard))))</f>
        <v>15300</v>
      </c>
      <c r="AQ6" s="24">
        <f>IF(A6="","",(IF(OR(AK6="Single",AK6="Married Filing Separately"),'CONSTANTS &amp; REFERENCES'!$C$6,IF(AK6="Married Filing Jointly",'CONSTANTS &amp; REFERENCES'!$H$6,IF(AK6="Head of Household",'CONSTANTS &amp; REFERENCES'!$M$6,""))))*AL6)</f>
        <v>62214.536178348433</v>
      </c>
      <c r="AR6" s="21">
        <f>IF(AQ6="","",IF(A6=0,IF(OR(AK6="Single",AK6="Married Filing Separately"),'CONSTANTS &amp; REFERENCES'!$C$6,IF(AK6="Married Filing Jointly",'CONSTANTS &amp; REFERENCES'!$H$6,IF(AK6="Head of Household",'CONSTANTS &amp; REFERENCES'!$M$6,""))),_xlfn.FLOOR.MATH(AQ6,IF(AK6="Married Filing Separately",Bracket_Round_MFS,Bracket_Round_Standard))))</f>
        <v>62200</v>
      </c>
      <c r="AS6" s="24">
        <f>IF(A6="","",(IF(OR(AK6="Single",AK6="Married Filing Separately"),'CONSTANTS &amp; REFERENCES'!$C$7,IF(AK6="Married Filing Jointly",'CONSTANTS &amp; REFERENCES'!$H$7,IF(AK6="Head of Household",'CONSTANTS &amp; REFERENCES'!$M$7,""))))*AL6)</f>
        <v>130477.70781848073</v>
      </c>
      <c r="AT6" s="21">
        <f>IF(AS6="","",IF(A6=0,IF(OR(AK6="Single",AK6="Married Filing Separately"),'CONSTANTS &amp; REFERENCES'!$C$7,IF(AK6="Married Filing Jointly",'CONSTANTS &amp; REFERENCES'!$H$7,IF(AK6="Head of Household",'CONSTANTS &amp; REFERENCES'!$M$7,""))),_xlfn.FLOOR.MATH(AS6,IF(AK6="Married Filing Separately",Bracket_Round_MFS,Bracket_Round_Standard))))</f>
        <v>130450</v>
      </c>
      <c r="AU6" s="24">
        <f>IF(A6="","",(IF(OR(AK6="Single",AK6="Married Filing Separately"),'CONSTANTS &amp; REFERENCES'!$C$8,IF(AK6="Married Filing Jointly",'CONSTANTS &amp; REFERENCES'!$H$8,IF(AK6="Head of Household",'CONSTANTS &amp; REFERENCES'!$M$8,""))))*AL6)</f>
        <v>249074.16740845743</v>
      </c>
      <c r="AV6" s="21">
        <f>IF(AU6="","",IF(A6=0,IF(OR(AK6="Single",AK6="Married Filing Separately"),'CONSTANTS &amp; REFERENCES'!$C$8,IF(AK6="Married Filing Jointly",'CONSTANTS &amp; REFERENCES'!$H$8,IF(AK6="Head of Household",'CONSTANTS &amp; REFERENCES'!$M$8,""))),_xlfn.FLOOR.MATH(AU6,IF(AK6="Married Filing Separately",Bracket_Round_MFS,Bracket_Round_Standard))))</f>
        <v>249050</v>
      </c>
      <c r="AW6" s="24">
        <f>IF(A6="","",(IF(OR(AK6="Single",AK6="Married Filing Separately"),'CONSTANTS &amp; REFERENCES'!$C$9,IF(AK6="Married Filing Jointly",'CONSTANTS &amp; REFERENCES'!$H$9,IF(AK6="Head of Household",'CONSTANTS &amp; REFERENCES'!$M$9,""))))*AL6)</f>
        <v>316288.08595828031</v>
      </c>
      <c r="AX6" s="21">
        <f>IF(AW6="","",IF(A6=0,IF(OR(AK6="Single",AK6="Married Filing Separately"),'CONSTANTS &amp; REFERENCES'!$C$9,IF(AK6="Married Filing Jointly",'CONSTANTS &amp; REFERENCES'!$H$9,IF(AK6="Head of Household",'CONSTANTS &amp; REFERENCES'!$M$9,""))),_xlfn.FLOOR.MATH(AW6,IF(AK6="Married Filing Separately",Bracket_Round_MFS,Bracket_Round_Standard))))</f>
        <v>316250</v>
      </c>
      <c r="AY6" s="24">
        <f>IF(A6="","",(IF(OR(AK6="Single",AK6="Married Filing Separately"),'CONSTANTS &amp; REFERENCES'!$C$10,IF(AK6="Married Filing Jointly",'CONSTANTS &amp; REFERENCES'!$H$10,IF(AK6="Head of Household",'CONSTANTS &amp; REFERENCES'!$M$10,""))))*AL6)</f>
        <v>798172.99787539872</v>
      </c>
      <c r="AZ6" s="21">
        <f>IF(AY6="","",IF(A6=0,IF(OR(AK6="Single",AK6="Married Filing Separately"),'CONSTANTS &amp; REFERENCES'!$C$10,IF(AK6="Married Filing Jointly",'CONSTANTS &amp; REFERENCES'!$H$10,IF(AK6="Head of Household",'CONSTANTS &amp; REFERENCES'!$M$10,""))),_xlfn.FLOOR.MATH(AY6,IF(AK6="Married Filing Separately",Bracket_Round_MFS,Bracket_Round_Standard))))</f>
        <v>798150</v>
      </c>
      <c r="BA6" s="7" t="str">
        <f t="shared" si="8"/>
        <v>Illustrative future tax assumptions under simplified C-CPI-U indexing; not an IRS forecast.</v>
      </c>
      <c r="BB6" s="7">
        <f>IF(A6="","",'CONSTANTS &amp; REFERENCES'!$C$22*AL6)</f>
        <v>227749.64136716837</v>
      </c>
      <c r="BC6" s="21">
        <f t="shared" si="19"/>
        <v>227700</v>
      </c>
    </row>
    <row r="7" spans="1:55" ht="18" customHeight="1" x14ac:dyDescent="0.3">
      <c r="A7" s="10">
        <f>IF(A6&lt;INPUTS!$C$7-INPUTS!$C$6,A6+1,"")</f>
        <v>5</v>
      </c>
      <c r="B7" s="10">
        <f>IF(A7="","",INPUTS!$C$6+A7)</f>
        <v>27</v>
      </c>
      <c r="C7" s="11">
        <f t="shared" si="9"/>
        <v>53892.575000000004</v>
      </c>
      <c r="D7" s="11">
        <f>IF(A7="","",IF(A7&lt;INPUTS!$C$13,0,J7))</f>
        <v>10000</v>
      </c>
      <c r="E7" s="12" t="str">
        <f>IF(A7="","",IF(D7=0,"—",IF(Y7&lt;IF(AK7="Married Filing Jointly",'CONSTANTS &amp; REFERENCES'!$B$44,IF(AK7="Married Filing Separately",'CONSTANTS &amp; REFERENCES'!$B$45,'CONSTANTS &amp; REFERENCES'!$B$43)),"Direct","Backdoor")))</f>
        <v>Direct</v>
      </c>
      <c r="F7" s="13">
        <f t="shared" si="0"/>
        <v>10036.691832000004</v>
      </c>
      <c r="G7" s="14">
        <f t="shared" si="1"/>
        <v>10000</v>
      </c>
      <c r="H7" s="13">
        <f t="shared" si="2"/>
        <v>1472.0481353600005</v>
      </c>
      <c r="I7" s="14">
        <f t="shared" si="3"/>
        <v>1400</v>
      </c>
      <c r="J7" s="14">
        <f t="shared" si="4"/>
        <v>10000</v>
      </c>
      <c r="K7" s="11">
        <f>IF(A7="","",IF(INPUTS!$C$12="Beginning",(C7+D7)*INPUTS!$C$10,C7*INPUTS!$C$10))</f>
        <v>6389.2575000000006</v>
      </c>
      <c r="L7" s="11">
        <f>IF(A7="","",IF(INPUTS!$C$12="Beginning",(C7+D7)*(1+INPUTS!$C$10),C7*(1+INPUTS!$C$10)+D7))</f>
        <v>70281.832500000004</v>
      </c>
      <c r="M7" s="15">
        <f>IF(A7="","",(1+INPUTS!$C$11)^A7)</f>
        <v>1.3382255776000005</v>
      </c>
      <c r="N7" s="11">
        <f t="shared" si="10"/>
        <v>52518.673739628255</v>
      </c>
      <c r="O7" s="11">
        <f t="shared" si="11"/>
        <v>50500</v>
      </c>
      <c r="P7" s="11">
        <f>IF(A7="","",L7-INPUTS!$C$8-O7)</f>
        <v>19781.832500000004</v>
      </c>
      <c r="Q7" s="16"/>
      <c r="R7" s="16"/>
      <c r="S7" s="16">
        <f t="shared" si="12"/>
        <v>27</v>
      </c>
      <c r="T7" s="18">
        <f t="shared" si="13"/>
        <v>70281.832500000004</v>
      </c>
      <c r="U7" s="18">
        <f t="shared" si="14"/>
        <v>52518.673739628255</v>
      </c>
      <c r="V7" s="19">
        <f>IF(A7="","",FV(INPUTS!$C$10,INPUTS!$C$7-INPUTS!$C$6-A7+IF(INPUTS!$C$12="Beginning",1,0),0,-D7,0))</f>
        <v>411447.77789250982</v>
      </c>
      <c r="W7" s="7" t="s">
        <v>200</v>
      </c>
      <c r="X7" s="7" t="s">
        <v>201</v>
      </c>
      <c r="Y7" s="21">
        <f>IF(A7="","",IF(INPUTS!$C$17="Yes",MIN(Y6*(1+INPUTS!$C$15)+IF(INPUTS!$C$27="Yes",(Z7-Z6)*INPUTS!$C$31+IF(AND(INPUTS!$C$28="Not yet credentialed",A7=INPUTS!$C$33),INPUTS!$C$32,0)+IF(AND(INPUTS!$C$28&lt;&gt;"FSA / FCAS",A7=INPUTS!$C$35),INPUTS!$C$34,0),0),INPUTS!$C$18),Y6*(1+INPUTS!$C$15)+IF(INPUTS!$C$27="Yes",(Z7-Z6)*INPUTS!$C$31+IF(AND(INPUTS!$C$28="Not yet credentialed",A7=INPUTS!$C$33),INPUTS!$C$32,0)+IF(AND(INPUTS!$C$28&lt;&gt;"FSA / FCAS",A7=INPUTS!$C$35),INPUTS!$C$34,0),0)))</f>
        <v>106294.74077350002</v>
      </c>
      <c r="Z7" s="22">
        <f>IF(A7="","",IF(AND(INPUTS!$C$27="Yes",INPUTS!$C$28&lt;&gt;"FSA / FCAS",ISNUMBER(INPUTS!$C$37)),MIN(A7*INPUTS!$C$37,INPUTS!$C$30),0))</f>
        <v>3</v>
      </c>
      <c r="AA7" s="21">
        <f t="shared" si="5"/>
        <v>41850</v>
      </c>
      <c r="AB7" s="21">
        <f t="shared" si="6"/>
        <v>64444.740773500016</v>
      </c>
      <c r="AC7" s="21">
        <f>IF(A7="","",MIN(AB7,AP7)*'CONSTANTS &amp; REFERENCES'!$A$5+MAX(MIN(AB7,AR7)-AP7,0)*'CONSTANTS &amp; REFERENCES'!$A$6+MAX(MIN(AB7,AT7)-AR7,0)*'CONSTANTS &amp; REFERENCES'!$A$7+MAX(MIN(AB7,AV7)-AT7,0)*'CONSTANTS &amp; REFERENCES'!$A$8+MAX(MIN(AB7,AX7)-AV7,0)*'CONSTANTS &amp; REFERENCES'!$A$9+MAX(MIN(AB7,AZ7)-AX7,0)*'CONSTANTS &amp; REFERENCES'!$A$10+MAX(AB7-AZ7,0)*'CONSTANTS &amp; REFERENCES'!$A$11)</f>
        <v>7088.3688928200017</v>
      </c>
      <c r="AD7" s="21">
        <f>IF(AB7="","",IF(INPUTS!$C$20="Yes",AB7*INPUTS!$C$21,0))</f>
        <v>0</v>
      </c>
      <c r="AE7" s="21">
        <f>IF(Y7="","",MIN(Y7,BC7)*'CONSTANTS &amp; REFERENCES'!$B$22)</f>
        <v>6590.2739279570005</v>
      </c>
      <c r="AF7" s="21">
        <f>IF(Y7="","",Y7*'CONSTANTS &amp; REFERENCES'!$B$24+MAX(0,Y7-IF(AK7="Married Filing Jointly",'CONSTANTS &amp; REFERENCES'!$C$26,IF(AK7="Married Filing Separately",'CONSTANTS &amp; REFERENCES'!$C$27,IF(AK7="Head of Household",'CONSTANTS &amp; REFERENCES'!$C$28,'CONSTANTS &amp; REFERENCES'!$C$25))))*'CONSTANTS &amp; REFERENCES'!$B$25)</f>
        <v>1541.2737412157503</v>
      </c>
      <c r="AG7" s="21">
        <f t="shared" si="15"/>
        <v>8131.5476691727508</v>
      </c>
      <c r="AH7" s="21">
        <f t="shared" si="16"/>
        <v>15219.916561992752</v>
      </c>
      <c r="AI7" s="21">
        <f t="shared" si="17"/>
        <v>91074.824211507264</v>
      </c>
      <c r="AJ7" s="21">
        <f t="shared" si="18"/>
        <v>0</v>
      </c>
      <c r="AK7" s="7" t="str">
        <f>IF(A7="","",IF(AND(INPUTS!$C$43="Yes",A7&gt;=INPUTS!$C$45),INPUTS!$C$44,INPUTS!$C$19))</f>
        <v>Married Filing Jointly</v>
      </c>
      <c r="AL7" s="23">
        <f t="shared" si="7"/>
        <v>1.301147896907737</v>
      </c>
      <c r="AM7" s="24">
        <f>IF(A7="","",(IF(OR(AK7="Single",AK7="Married Filing Separately"),'CONSTANTS &amp; REFERENCES'!$B$13,IF(AK7="Married Filing Jointly",'CONSTANTS &amp; REFERENCES'!$G$13,IF(AK7="Head of Household",'CONSTANTS &amp; REFERENCES'!$L$13,""))))*AL7)</f>
        <v>41896.962280429136</v>
      </c>
      <c r="AN7" s="21">
        <f>IF(AM7="","",IF(A7=0,IF(OR(AK7="Single",AK7="Married Filing Separately"),'CONSTANTS &amp; REFERENCES'!$B$13,IF(AK7="Married Filing Jointly",'CONSTANTS &amp; REFERENCES'!$G$13,IF(AK7="Head of Household",'CONSTANTS &amp; REFERENCES'!$L$13,""))),_xlfn.FLOOR.MATH(AM7,IF(AK7="Married Filing Separately",Bracket_Round_MFS,Bracket_Round_Standard))))</f>
        <v>41850</v>
      </c>
      <c r="AO7" s="24">
        <f>IF(A7="","",(IF(OR(AK7="Single",AK7="Married Filing Separately"),'CONSTANTS &amp; REFERENCES'!$C$5,IF(AK7="Married Filing Jointly",'CONSTANTS &amp; REFERENCES'!$H$5,IF(AK7="Head of Household",'CONSTANTS &amp; REFERENCES'!$M$5,""))))*AL7)</f>
        <v>32268.467843311879</v>
      </c>
      <c r="AP7" s="21">
        <f>IF(AO7="","",IF(A7=0,IF(OR(AK7="Single",AK7="Married Filing Separately"),'CONSTANTS &amp; REFERENCES'!$C$5,IF(AK7="Married Filing Jointly",'CONSTANTS &amp; REFERENCES'!$H$5,IF(AK7="Head of Household",'CONSTANTS &amp; REFERENCES'!$M$5,""))),_xlfn.FLOOR.MATH(AO7,IF(AK7="Married Filing Separately",Bracket_Round_MFS,Bracket_Round_Standard))))</f>
        <v>32250</v>
      </c>
      <c r="AQ7" s="24">
        <f>IF(A7="","",(IF(OR(AK7="Single",AK7="Married Filing Separately"),'CONSTANTS &amp; REFERENCES'!$C$6,IF(AK7="Married Filing Jointly",'CONSTANTS &amp; REFERENCES'!$H$6,IF(AK7="Head of Household",'CONSTANTS &amp; REFERENCES'!$M$6,""))))*AL7)</f>
        <v>131155.7080082999</v>
      </c>
      <c r="AR7" s="21">
        <f>IF(AQ7="","",IF(A7=0,IF(OR(AK7="Single",AK7="Married Filing Separately"),'CONSTANTS &amp; REFERENCES'!$C$6,IF(AK7="Married Filing Jointly",'CONSTANTS &amp; REFERENCES'!$H$6,IF(AK7="Head of Household",'CONSTANTS &amp; REFERENCES'!$M$6,""))),_xlfn.FLOOR.MATH(AQ7,IF(AK7="Married Filing Separately",Bracket_Round_MFS,Bracket_Round_Standard))))</f>
        <v>131150</v>
      </c>
      <c r="AS7" s="24">
        <f>IF(A7="","",(IF(OR(AK7="Single",AK7="Married Filing Separately"),'CONSTANTS &amp; REFERENCES'!$C$7,IF(AK7="Married Filing Jointly",'CONSTANTS &amp; REFERENCES'!$H$7,IF(AK7="Head of Household",'CONSTANTS &amp; REFERENCES'!$M$7,""))))*AL7)</f>
        <v>275062.66540629562</v>
      </c>
      <c r="AT7" s="21">
        <f>IF(AS7="","",IF(A7=0,IF(OR(AK7="Single",AK7="Married Filing Separately"),'CONSTANTS &amp; REFERENCES'!$C$7,IF(AK7="Married Filing Jointly",'CONSTANTS &amp; REFERENCES'!$H$7,IF(AK7="Head of Household",'CONSTANTS &amp; REFERENCES'!$M$7,""))),_xlfn.FLOOR.MATH(AS7,IF(AK7="Married Filing Separately",Bracket_Round_MFS,Bracket_Round_Standard))))</f>
        <v>275050</v>
      </c>
      <c r="AU7" s="24">
        <f>IF(A7="","",(IF(OR(AK7="Single",AK7="Married Filing Separately"),'CONSTANTS &amp; REFERENCES'!$C$8,IF(AK7="Married Filing Jointly",'CONSTANTS &amp; REFERENCES'!$H$8,IF(AK7="Head of Household",'CONSTANTS &amp; REFERENCES'!$M$8,""))))*AL7)</f>
        <v>525078.23379711725</v>
      </c>
      <c r="AV7" s="21">
        <f>IF(AU7="","",IF(A7=0,IF(OR(AK7="Single",AK7="Married Filing Separately"),'CONSTANTS &amp; REFERENCES'!$C$8,IF(AK7="Married Filing Jointly",'CONSTANTS &amp; REFERENCES'!$H$8,IF(AK7="Head of Household",'CONSTANTS &amp; REFERENCES'!$M$8,""))),_xlfn.FLOOR.MATH(AU7,IF(AK7="Married Filing Separately",Bracket_Round_MFS,Bracket_Round_Standard))))</f>
        <v>525050</v>
      </c>
      <c r="AW7" s="24">
        <f>IF(A7="","",(IF(OR(AK7="Single",AK7="Married Filing Separately"),'CONSTANTS &amp; REFERENCES'!$C$9,IF(AK7="Married Filing Jointly",'CONSTANTS &amp; REFERENCES'!$H$9,IF(AK7="Head of Household",'CONSTANTS &amp; REFERENCES'!$M$9,""))))*AL7)</f>
        <v>666773.23977036984</v>
      </c>
      <c r="AX7" s="21">
        <f>IF(AW7="","",IF(A7=0,IF(OR(AK7="Single",AK7="Married Filing Separately"),'CONSTANTS &amp; REFERENCES'!$C$9,IF(AK7="Married Filing Jointly",'CONSTANTS &amp; REFERENCES'!$H$9,IF(AK7="Head of Household",'CONSTANTS &amp; REFERENCES'!$M$9,""))),_xlfn.FLOOR.MATH(AW7,IF(AK7="Married Filing Separately",Bracket_Round_MFS,Bracket_Round_Standard))))</f>
        <v>666750</v>
      </c>
      <c r="AY7" s="24">
        <f>IF(A7="","",(IF(OR(AK7="Single",AK7="Married Filing Separately"),'CONSTANTS &amp; REFERENCES'!$C$10,IF(AK7="Married Filing Jointly",'CONSTANTS &amp; REFERENCES'!$H$10,IF(AK7="Head of Household",'CONSTANTS &amp; REFERENCES'!$M$10,""))))*AL7)</f>
        <v>1000062.2735632866</v>
      </c>
      <c r="AZ7" s="21">
        <f>IF(AY7="","",IF(A7=0,IF(OR(AK7="Single",AK7="Married Filing Separately"),'CONSTANTS &amp; REFERENCES'!$C$10,IF(AK7="Married Filing Jointly",'CONSTANTS &amp; REFERENCES'!$H$10,IF(AK7="Head of Household",'CONSTANTS &amp; REFERENCES'!$M$10,""))),_xlfn.FLOOR.MATH(AY7,IF(AK7="Married Filing Separately",Bracket_Round_MFS,Bracket_Round_Standard))))</f>
        <v>1000050</v>
      </c>
      <c r="BA7" s="7" t="str">
        <f t="shared" si="8"/>
        <v>Illustrative future tax assumptions under simplified C-CPI-U indexing; not an IRS forecast.</v>
      </c>
      <c r="BB7" s="7">
        <f>IF(A7="","",'CONSTANTS &amp; REFERENCES'!$C$22*AL7)</f>
        <v>240061.78697947747</v>
      </c>
      <c r="BC7" s="21">
        <f t="shared" si="19"/>
        <v>240000</v>
      </c>
    </row>
    <row r="8" spans="1:55" ht="18" customHeight="1" x14ac:dyDescent="0.3">
      <c r="A8" s="10">
        <f>IF(A7&lt;INPUTS!$C$7-INPUTS!$C$6,A7+1,"")</f>
        <v>6</v>
      </c>
      <c r="B8" s="10">
        <f>IF(A8="","",INPUTS!$C$6+A8)</f>
        <v>28</v>
      </c>
      <c r="C8" s="11">
        <f t="shared" si="9"/>
        <v>70281.832500000004</v>
      </c>
      <c r="D8" s="11">
        <f>IF(A8="","",IF(A8&lt;INPUTS!$C$13,0,J8))</f>
        <v>10500</v>
      </c>
      <c r="E8" s="12" t="str">
        <f>IF(A8="","",IF(D8=0,"—",IF(Y8&lt;IF(AK8="Married Filing Jointly",'CONSTANTS &amp; REFERENCES'!$B$44,IF(AK8="Married Filing Separately",'CONSTANTS &amp; REFERENCES'!$B$45,'CONSTANTS &amp; REFERENCES'!$B$43)),"Direct","Backdoor")))</f>
        <v>Direct</v>
      </c>
      <c r="F8" s="13">
        <f t="shared" si="0"/>
        <v>10638.893341920004</v>
      </c>
      <c r="G8" s="14">
        <f t="shared" si="1"/>
        <v>10500</v>
      </c>
      <c r="H8" s="13">
        <f t="shared" si="2"/>
        <v>1560.3710234816006</v>
      </c>
      <c r="I8" s="14">
        <f t="shared" si="3"/>
        <v>1500</v>
      </c>
      <c r="J8" s="14">
        <f t="shared" si="4"/>
        <v>10500</v>
      </c>
      <c r="K8" s="11">
        <f>IF(A8="","",IF(INPUTS!$C$12="Beginning",(C8+D8)*INPUTS!$C$10,C8*INPUTS!$C$10))</f>
        <v>8078.183250000001</v>
      </c>
      <c r="L8" s="11">
        <f>IF(A8="","",IF(INPUTS!$C$12="Beginning",(C8+D8)*(1+INPUTS!$C$10),C8*(1+INPUTS!$C$10)+D8))</f>
        <v>88860.015750000006</v>
      </c>
      <c r="M8" s="15">
        <f>IF(A8="","",(1+INPUTS!$C$11)^A8)</f>
        <v>1.4185191122560006</v>
      </c>
      <c r="N8" s="11">
        <f t="shared" si="10"/>
        <v>62642.804726598151</v>
      </c>
      <c r="O8" s="11">
        <f t="shared" si="11"/>
        <v>61000</v>
      </c>
      <c r="P8" s="11">
        <f>IF(A8="","",L8-INPUTS!$C$8-O8)</f>
        <v>27860.015750000006</v>
      </c>
      <c r="Q8" s="16"/>
      <c r="R8" s="16"/>
      <c r="S8" s="16">
        <f t="shared" si="12"/>
        <v>28</v>
      </c>
      <c r="T8" s="18">
        <f t="shared" si="13"/>
        <v>88860.015750000006</v>
      </c>
      <c r="U8" s="18">
        <f t="shared" si="14"/>
        <v>62642.804726598151</v>
      </c>
      <c r="V8" s="19">
        <f>IF(A8="","",FV(INPUTS!$C$10,INPUTS!$C$7-INPUTS!$C$6-A8+IF(INPUTS!$C$12="Beginning",1,0),0,-D8,0))</f>
        <v>392745.60617012298</v>
      </c>
      <c r="W8" s="7"/>
      <c r="X8" s="7"/>
      <c r="Y8" s="21">
        <f>IF(A8="","",IF(INPUTS!$C$17="Yes",MIN(Y7*(1+INPUTS!$C$15)+IF(INPUTS!$C$27="Yes",(Z8-Z7)*INPUTS!$C$31+IF(AND(INPUTS!$C$28="Not yet credentialed",A8=INPUTS!$C$33),INPUTS!$C$32,0)+IF(AND(INPUTS!$C$28&lt;&gt;"FSA / FCAS",A8=INPUTS!$C$35),INPUTS!$C$34,0),0),INPUTS!$C$18),Y7*(1+INPUTS!$C$15)+IF(INPUTS!$C$27="Yes",(Z8-Z7)*INPUTS!$C$31+IF(AND(INPUTS!$C$28="Not yet credentialed",A8=INPUTS!$C$33),INPUTS!$C$32,0)+IF(AND(INPUTS!$C$28&lt;&gt;"FSA / FCAS",A8=INPUTS!$C$35),INPUTS!$C$34,0),0)))</f>
        <v>109483.58299670502</v>
      </c>
      <c r="Z8" s="22">
        <f>IF(A8="","",IF(AND(INPUTS!$C$27="Yes",INPUTS!$C$28&lt;&gt;"FSA / FCAS",ISNUMBER(INPUTS!$C$37)),MIN(A8*INPUTS!$C$37,INPUTS!$C$30),0))</f>
        <v>3</v>
      </c>
      <c r="AA8" s="21">
        <f t="shared" si="5"/>
        <v>44150</v>
      </c>
      <c r="AB8" s="21">
        <f t="shared" si="6"/>
        <v>65333.582996705023</v>
      </c>
      <c r="AC8" s="21">
        <f>IF(A8="","",MIN(AB8,AP8)*'CONSTANTS &amp; REFERENCES'!$A$5+MAX(MIN(AB8,AR8)-AP8,0)*'CONSTANTS &amp; REFERENCES'!$A$6+MAX(MIN(AB8,AT8)-AR8,0)*'CONSTANTS &amp; REFERENCES'!$A$7+MAX(MIN(AB8,AV8)-AT8,0)*'CONSTANTS &amp; REFERENCES'!$A$8+MAX(MIN(AB8,AX8)-AV8,0)*'CONSTANTS &amp; REFERENCES'!$A$9+MAX(MIN(AB8,AZ8)-AX8,0)*'CONSTANTS &amp; REFERENCES'!$A$10+MAX(AB8-AZ8,0)*'CONSTANTS &amp; REFERENCES'!$A$11)</f>
        <v>7160.0299596046025</v>
      </c>
      <c r="AD8" s="21">
        <f>IF(AB8="","",IF(INPUTS!$C$20="Yes",AB8*INPUTS!$C$21,0))</f>
        <v>0</v>
      </c>
      <c r="AE8" s="21">
        <f>IF(Y8="","",MIN(Y8,BC8)*'CONSTANTS &amp; REFERENCES'!$B$22)</f>
        <v>6787.9821457957114</v>
      </c>
      <c r="AF8" s="21">
        <f>IF(Y8="","",Y8*'CONSTANTS &amp; REFERENCES'!$B$24+MAX(0,Y8-IF(AK8="Married Filing Jointly",'CONSTANTS &amp; REFERENCES'!$C$26,IF(AK8="Married Filing Separately",'CONSTANTS &amp; REFERENCES'!$C$27,IF(AK8="Head of Household",'CONSTANTS &amp; REFERENCES'!$C$28,'CONSTANTS &amp; REFERENCES'!$C$25))))*'CONSTANTS &amp; REFERENCES'!$B$25)</f>
        <v>1587.511953452223</v>
      </c>
      <c r="AG8" s="21">
        <f t="shared" si="15"/>
        <v>8375.4940992479351</v>
      </c>
      <c r="AH8" s="21">
        <f t="shared" si="16"/>
        <v>15535.524058852538</v>
      </c>
      <c r="AI8" s="21">
        <f t="shared" si="17"/>
        <v>93948.058937852489</v>
      </c>
      <c r="AJ8" s="21">
        <f t="shared" si="18"/>
        <v>0</v>
      </c>
      <c r="AK8" s="7" t="str">
        <f>IF(A8="","",IF(AND(INPUTS!$C$43="Yes",A8&gt;=INPUTS!$C$45),INPUTS!$C$44,INPUTS!$C$19))</f>
        <v>Married Filing Jointly</v>
      </c>
      <c r="AL8" s="23">
        <f t="shared" si="7"/>
        <v>1.3714879522145691</v>
      </c>
      <c r="AM8" s="24">
        <f>IF(A8="","",(IF(OR(AK8="Single",AK8="Married Filing Separately"),'CONSTANTS &amp; REFERENCES'!$B$13,IF(AK8="Married Filing Jointly",'CONSTANTS &amp; REFERENCES'!$G$13,IF(AK8="Head of Household",'CONSTANTS &amp; REFERENCES'!$L$13,""))))*AL8)</f>
        <v>44161.912061309122</v>
      </c>
      <c r="AN8" s="21">
        <f>IF(AM8="","",IF(A8=0,IF(OR(AK8="Single",AK8="Married Filing Separately"),'CONSTANTS &amp; REFERENCES'!$B$13,IF(AK8="Married Filing Jointly",'CONSTANTS &amp; REFERENCES'!$G$13,IF(AK8="Head of Household",'CONSTANTS &amp; REFERENCES'!$L$13,""))),_xlfn.FLOOR.MATH(AM8,IF(AK8="Married Filing Separately",Bracket_Round_MFS,Bracket_Round_Standard))))</f>
        <v>44150</v>
      </c>
      <c r="AO8" s="24">
        <f>IF(A8="","",(IF(OR(AK8="Single",AK8="Married Filing Separately"),'CONSTANTS &amp; REFERENCES'!$C$5,IF(AK8="Married Filing Jointly",'CONSTANTS &amp; REFERENCES'!$H$5,IF(AK8="Head of Household",'CONSTANTS &amp; REFERENCES'!$M$5,""))))*AL8)</f>
        <v>34012.901214921316</v>
      </c>
      <c r="AP8" s="21">
        <f>IF(AO8="","",IF(A8=0,IF(OR(AK8="Single",AK8="Married Filing Separately"),'CONSTANTS &amp; REFERENCES'!$C$5,IF(AK8="Married Filing Jointly",'CONSTANTS &amp; REFERENCES'!$H$5,IF(AK8="Head of Household",'CONSTANTS &amp; REFERENCES'!$M$5,""))),_xlfn.FLOOR.MATH(AO8,IF(AK8="Married Filing Separately",Bracket_Round_MFS,Bracket_Round_Standard))))</f>
        <v>34000</v>
      </c>
      <c r="AQ8" s="24">
        <f>IF(A8="","",(IF(OR(AK8="Single",AK8="Married Filing Separately"),'CONSTANTS &amp; REFERENCES'!$C$6,IF(AK8="Married Filing Jointly",'CONSTANTS &amp; REFERENCES'!$H$6,IF(AK8="Head of Household",'CONSTANTS &amp; REFERENCES'!$M$6,""))))*AL8)</f>
        <v>138245.98558322855</v>
      </c>
      <c r="AR8" s="21">
        <f>IF(AQ8="","",IF(A8=0,IF(OR(AK8="Single",AK8="Married Filing Separately"),'CONSTANTS &amp; REFERENCES'!$C$6,IF(AK8="Married Filing Jointly",'CONSTANTS &amp; REFERENCES'!$H$6,IF(AK8="Head of Household",'CONSTANTS &amp; REFERENCES'!$M$6,""))),_xlfn.FLOOR.MATH(AQ8,IF(AK8="Married Filing Separately",Bracket_Round_MFS,Bracket_Round_Standard))))</f>
        <v>138200</v>
      </c>
      <c r="AS8" s="24">
        <f>IF(A8="","",(IF(OR(AK8="Single",AK8="Married Filing Separately"),'CONSTANTS &amp; REFERENCES'!$C$7,IF(AK8="Married Filing Jointly",'CONSTANTS &amp; REFERENCES'!$H$7,IF(AK8="Head of Household",'CONSTANTS &amp; REFERENCES'!$M$7,""))))*AL8)</f>
        <v>289932.5530981599</v>
      </c>
      <c r="AT8" s="21">
        <f>IF(AS8="","",IF(A8=0,IF(OR(AK8="Single",AK8="Married Filing Separately"),'CONSTANTS &amp; REFERENCES'!$C$7,IF(AK8="Married Filing Jointly",'CONSTANTS &amp; REFERENCES'!$H$7,IF(AK8="Head of Household",'CONSTANTS &amp; REFERENCES'!$M$7,""))),_xlfn.FLOOR.MATH(AS8,IF(AK8="Married Filing Separately",Bracket_Round_MFS,Bracket_Round_Standard))))</f>
        <v>289900</v>
      </c>
      <c r="AU8" s="24">
        <f>IF(A8="","",(IF(OR(AK8="Single",AK8="Married Filing Separately"),'CONSTANTS &amp; REFERENCES'!$C$8,IF(AK8="Married Filing Jointly",'CONSTANTS &amp; REFERENCES'!$H$8,IF(AK8="Head of Household",'CONSTANTS &amp; REFERENCES'!$M$8,""))))*AL8)</f>
        <v>553463.96311618935</v>
      </c>
      <c r="AV8" s="21">
        <f>IF(AU8="","",IF(A8=0,IF(OR(AK8="Single",AK8="Married Filing Separately"),'CONSTANTS &amp; REFERENCES'!$C$8,IF(AK8="Married Filing Jointly",'CONSTANTS &amp; REFERENCES'!$H$8,IF(AK8="Head of Household",'CONSTANTS &amp; REFERENCES'!$M$8,""))),_xlfn.FLOOR.MATH(AU8,IF(AK8="Married Filing Separately",Bracket_Round_MFS,Bracket_Round_Standard))))</f>
        <v>553450</v>
      </c>
      <c r="AW8" s="24">
        <f>IF(A8="","",(IF(OR(AK8="Single",AK8="Married Filing Separately"),'CONSTANTS &amp; REFERENCES'!$C$9,IF(AK8="Married Filing Jointly",'CONSTANTS &amp; REFERENCES'!$H$9,IF(AK8="Head of Household",'CONSTANTS &amp; REFERENCES'!$M$9,""))))*AL8)</f>
        <v>702819.00111235597</v>
      </c>
      <c r="AX8" s="21">
        <f>IF(AW8="","",IF(A8=0,IF(OR(AK8="Single",AK8="Married Filing Separately"),'CONSTANTS &amp; REFERENCES'!$C$9,IF(AK8="Married Filing Jointly",'CONSTANTS &amp; REFERENCES'!$H$9,IF(AK8="Head of Household",'CONSTANTS &amp; REFERENCES'!$M$9,""))),_xlfn.FLOOR.MATH(AW8,IF(AK8="Married Filing Separately",Bracket_Round_MFS,Bracket_Round_Standard))))</f>
        <v>702800</v>
      </c>
      <c r="AY8" s="24">
        <f>IF(A8="","",(IF(OR(AK8="Single",AK8="Married Filing Separately"),'CONSTANTS &amp; REFERENCES'!$C$10,IF(AK8="Married Filing Jointly",'CONSTANTS &amp; REFERENCES'!$H$10,IF(AK8="Head of Household",'CONSTANTS &amp; REFERENCES'!$M$10,""))))*AL8)</f>
        <v>1054125.6400721178</v>
      </c>
      <c r="AZ8" s="21">
        <f>IF(AY8="","",IF(A8=0,IF(OR(AK8="Single",AK8="Married Filing Separately"),'CONSTANTS &amp; REFERENCES'!$C$10,IF(AK8="Married Filing Jointly",'CONSTANTS &amp; REFERENCES'!$H$10,IF(AK8="Head of Household",'CONSTANTS &amp; REFERENCES'!$M$10,""))),_xlfn.FLOOR.MATH(AY8,IF(AK8="Married Filing Separately",Bracket_Round_MFS,Bracket_Round_Standard))))</f>
        <v>1054100</v>
      </c>
      <c r="BA8" s="7" t="str">
        <f t="shared" si="8"/>
        <v>Illustrative future tax assumptions under simplified C-CPI-U indexing; not an IRS forecast.</v>
      </c>
      <c r="BB8" s="7">
        <f>IF(A8="","",'CONSTANTS &amp; REFERENCES'!$C$22*AL8)</f>
        <v>253039.52718358801</v>
      </c>
      <c r="BC8" s="21">
        <f t="shared" si="19"/>
        <v>253000</v>
      </c>
    </row>
    <row r="9" spans="1:55" ht="18" customHeight="1" x14ac:dyDescent="0.3">
      <c r="A9" s="10">
        <f>IF(A8&lt;INPUTS!$C$7-INPUTS!$C$6,A8+1,"")</f>
        <v>7</v>
      </c>
      <c r="B9" s="10">
        <f>IF(A9="","",INPUTS!$C$6+A9)</f>
        <v>29</v>
      </c>
      <c r="C9" s="11">
        <f t="shared" si="9"/>
        <v>88860.015750000006</v>
      </c>
      <c r="D9" s="11">
        <f>IF(A9="","",IF(A9&lt;INPUTS!$C$13,0,J9))</f>
        <v>11000</v>
      </c>
      <c r="E9" s="12" t="str">
        <f>IF(A9="","",IF(D9=0,"—",IF(Y9&lt;IF(AK9="Married Filing Jointly",'CONSTANTS &amp; REFERENCES'!$B$44,IF(AK9="Married Filing Separately",'CONSTANTS &amp; REFERENCES'!$B$45,'CONSTANTS &amp; REFERENCES'!$B$43)),"Direct","Backdoor")))</f>
        <v>Direct</v>
      </c>
      <c r="F9" s="13">
        <f t="shared" si="0"/>
        <v>11277.226942435205</v>
      </c>
      <c r="G9" s="14">
        <f t="shared" si="1"/>
        <v>11000</v>
      </c>
      <c r="H9" s="13">
        <f t="shared" si="2"/>
        <v>1653.9932848904969</v>
      </c>
      <c r="I9" s="14">
        <f t="shared" si="3"/>
        <v>1600</v>
      </c>
      <c r="J9" s="14">
        <f t="shared" si="4"/>
        <v>11000</v>
      </c>
      <c r="K9" s="11">
        <f>IF(A9="","",IF(INPUTS!$C$12="Beginning",(C9+D9)*INPUTS!$C$10,C9*INPUTS!$C$10))</f>
        <v>9986.001575000002</v>
      </c>
      <c r="L9" s="11">
        <f>IF(A9="","",IF(INPUTS!$C$12="Beginning",(C9+D9)*(1+INPUTS!$C$10),C9*(1+INPUTS!$C$10)+D9))</f>
        <v>109846.01732500002</v>
      </c>
      <c r="M9" s="15">
        <f>IF(A9="","",(1+INPUTS!$C$11)^A9)</f>
        <v>1.5036302589913608</v>
      </c>
      <c r="N9" s="11">
        <f t="shared" si="10"/>
        <v>73053.875225073629</v>
      </c>
      <c r="O9" s="11">
        <f t="shared" si="11"/>
        <v>72000</v>
      </c>
      <c r="P9" s="11">
        <f>IF(A9="","",L9-INPUTS!$C$8-O9)</f>
        <v>37846.017325000023</v>
      </c>
      <c r="Q9" s="16"/>
      <c r="R9" s="16"/>
      <c r="S9" s="16">
        <f t="shared" si="12"/>
        <v>29</v>
      </c>
      <c r="T9" s="18">
        <f t="shared" si="13"/>
        <v>109846.01732500002</v>
      </c>
      <c r="U9" s="18">
        <f t="shared" si="14"/>
        <v>73053.875225073629</v>
      </c>
      <c r="V9" s="19">
        <f>IF(A9="","",FV(INPUTS!$C$10,INPUTS!$C$7-INPUTS!$C$6-A9+IF(INPUTS!$C$12="Beginning",1,0),0,-D9,0))</f>
        <v>374043.43444773607</v>
      </c>
      <c r="W9" s="7"/>
      <c r="X9" s="7"/>
      <c r="Y9" s="21">
        <f>IF(A9="","",IF(INPUTS!$C$17="Yes",MIN(Y8*(1+INPUTS!$C$15)+IF(INPUTS!$C$27="Yes",(Z9-Z8)*INPUTS!$C$31+IF(AND(INPUTS!$C$28="Not yet credentialed",A9=INPUTS!$C$33),INPUTS!$C$32,0)+IF(AND(INPUTS!$C$28&lt;&gt;"FSA / FCAS",A9=INPUTS!$C$35),INPUTS!$C$34,0),0),INPUTS!$C$18),Y8*(1+INPUTS!$C$15)+IF(INPUTS!$C$27="Yes",(Z9-Z8)*INPUTS!$C$31+IF(AND(INPUTS!$C$28="Not yet credentialed",A9=INPUTS!$C$33),INPUTS!$C$32,0)+IF(AND(INPUTS!$C$28&lt;&gt;"FSA / FCAS",A9=INPUTS!$C$35),INPUTS!$C$34,0),0)))</f>
        <v>112768.09048660618</v>
      </c>
      <c r="Z9" s="22">
        <f>IF(A9="","",IF(AND(INPUTS!$C$27="Yes",INPUTS!$C$28&lt;&gt;"FSA / FCAS",ISNUMBER(INPUTS!$C$37)),MIN(A9*INPUTS!$C$37,INPUTS!$C$30),0))</f>
        <v>3</v>
      </c>
      <c r="AA9" s="21">
        <f t="shared" si="5"/>
        <v>46500</v>
      </c>
      <c r="AB9" s="21">
        <f t="shared" si="6"/>
        <v>66268.090486606176</v>
      </c>
      <c r="AC9" s="21">
        <f>IF(A9="","",MIN(AB9,AP9)*'CONSTANTS &amp; REFERENCES'!$A$5+MAX(MIN(AB9,AR9)-AP9,0)*'CONSTANTS &amp; REFERENCES'!$A$6+MAX(MIN(AB9,AT9)-AR9,0)*'CONSTANTS &amp; REFERENCES'!$A$7+MAX(MIN(AB9,AV9)-AT9,0)*'CONSTANTS &amp; REFERENCES'!$A$8+MAX(MIN(AB9,AX9)-AV9,0)*'CONSTANTS &amp; REFERENCES'!$A$9+MAX(MIN(AB9,AZ9)-AX9,0)*'CONSTANTS &amp; REFERENCES'!$A$10+MAX(AB9-AZ9,0)*'CONSTANTS &amp; REFERENCES'!$A$11)</f>
        <v>7235.1708583927411</v>
      </c>
      <c r="AD9" s="21">
        <f>IF(AB9="","",IF(INPUTS!$C$20="Yes",AB9*INPUTS!$C$21,0))</f>
        <v>0</v>
      </c>
      <c r="AE9" s="21">
        <f>IF(Y9="","",MIN(Y9,BC9)*'CONSTANTS &amp; REFERENCES'!$B$22)</f>
        <v>6991.6216101695827</v>
      </c>
      <c r="AF9" s="21">
        <f>IF(Y9="","",Y9*'CONSTANTS &amp; REFERENCES'!$B$24+MAX(0,Y9-IF(AK9="Married Filing Jointly",'CONSTANTS &amp; REFERENCES'!$C$26,IF(AK9="Married Filing Separately",'CONSTANTS &amp; REFERENCES'!$C$27,IF(AK9="Head of Household",'CONSTANTS &amp; REFERENCES'!$C$28,'CONSTANTS &amp; REFERENCES'!$C$25))))*'CONSTANTS &amp; REFERENCES'!$B$25)</f>
        <v>1635.1373120557896</v>
      </c>
      <c r="AG9" s="21">
        <f t="shared" si="15"/>
        <v>8626.7589222253719</v>
      </c>
      <c r="AH9" s="21">
        <f t="shared" si="16"/>
        <v>15861.929780618113</v>
      </c>
      <c r="AI9" s="21">
        <f t="shared" si="17"/>
        <v>96906.160705988063</v>
      </c>
      <c r="AJ9" s="21">
        <f t="shared" si="18"/>
        <v>0</v>
      </c>
      <c r="AK9" s="7" t="str">
        <f>IF(A9="","",IF(AND(INPUTS!$C$43="Yes",A9&gt;=INPUTS!$C$45),INPUTS!$C$44,INPUTS!$C$19))</f>
        <v>Married Filing Jointly</v>
      </c>
      <c r="AL9" s="23">
        <f t="shared" si="7"/>
        <v>1.445630590911289</v>
      </c>
      <c r="AM9" s="24">
        <f>IF(A9="","",(IF(OR(AK9="Single",AK9="Married Filing Separately"),'CONSTANTS &amp; REFERENCES'!$B$13,IF(AK9="Married Filing Jointly",'CONSTANTS &amp; REFERENCES'!$G$13,IF(AK9="Head of Household",'CONSTANTS &amp; REFERENCES'!$L$13,""))))*AL9)</f>
        <v>46549.305027343507</v>
      </c>
      <c r="AN9" s="21">
        <f>IF(AM9="","",IF(A9=0,IF(OR(AK9="Single",AK9="Married Filing Separately"),'CONSTANTS &amp; REFERENCES'!$B$13,IF(AK9="Married Filing Jointly",'CONSTANTS &amp; REFERENCES'!$G$13,IF(AK9="Head of Household",'CONSTANTS &amp; REFERENCES'!$L$13,""))),_xlfn.FLOOR.MATH(AM9,IF(AK9="Married Filing Separately",Bracket_Round_MFS,Bracket_Round_Standard))))</f>
        <v>46500</v>
      </c>
      <c r="AO9" s="24">
        <f>IF(A9="","",(IF(OR(AK9="Single",AK9="Married Filing Separately"),'CONSTANTS &amp; REFERENCES'!$C$5,IF(AK9="Married Filing Jointly",'CONSTANTS &amp; REFERENCES'!$H$5,IF(AK9="Head of Household",'CONSTANTS &amp; REFERENCES'!$M$5,""))))*AL9)</f>
        <v>35851.63865459997</v>
      </c>
      <c r="AP9" s="21">
        <f>IF(AO9="","",IF(A9=0,IF(OR(AK9="Single",AK9="Married Filing Separately"),'CONSTANTS &amp; REFERENCES'!$C$5,IF(AK9="Married Filing Jointly",'CONSTANTS &amp; REFERENCES'!$H$5,IF(AK9="Head of Household",'CONSTANTS &amp; REFERENCES'!$M$5,""))),_xlfn.FLOOR.MATH(AO9,IF(AK9="Married Filing Separately",Bracket_Round_MFS,Bracket_Round_Standard))))</f>
        <v>35850</v>
      </c>
      <c r="AQ9" s="24">
        <f>IF(A9="","",(IF(OR(AK9="Single",AK9="Married Filing Separately"),'CONSTANTS &amp; REFERENCES'!$C$6,IF(AK9="Married Filing Jointly",'CONSTANTS &amp; REFERENCES'!$H$6,IF(AK9="Head of Household",'CONSTANTS &amp; REFERENCES'!$M$6,""))))*AL9)</f>
        <v>145719.56356385793</v>
      </c>
      <c r="AR9" s="21">
        <f>IF(AQ9="","",IF(A9=0,IF(OR(AK9="Single",AK9="Married Filing Separately"),'CONSTANTS &amp; REFERENCES'!$C$6,IF(AK9="Married Filing Jointly",'CONSTANTS &amp; REFERENCES'!$H$6,IF(AK9="Head of Household",'CONSTANTS &amp; REFERENCES'!$M$6,""))),_xlfn.FLOOR.MATH(AQ9,IF(AK9="Married Filing Separately",Bracket_Round_MFS,Bracket_Round_Standard))))</f>
        <v>145700</v>
      </c>
      <c r="AS9" s="24">
        <f>IF(A9="","",(IF(OR(AK9="Single",AK9="Married Filing Separately"),'CONSTANTS &amp; REFERENCES'!$C$7,IF(AK9="Married Filing Jointly",'CONSTANTS &amp; REFERENCES'!$H$7,IF(AK9="Head of Household",'CONSTANTS &amp; REFERENCES'!$M$7,""))))*AL9)</f>
        <v>305606.3069186465</v>
      </c>
      <c r="AT9" s="21">
        <f>IF(AS9="","",IF(A9=0,IF(OR(AK9="Single",AK9="Married Filing Separately"),'CONSTANTS &amp; REFERENCES'!$C$7,IF(AK9="Married Filing Jointly",'CONSTANTS &amp; REFERENCES'!$H$7,IF(AK9="Head of Household",'CONSTANTS &amp; REFERENCES'!$M$7,""))),_xlfn.FLOOR.MATH(AS9,IF(AK9="Married Filing Separately",Bracket_Round_MFS,Bracket_Round_Standard))))</f>
        <v>305600</v>
      </c>
      <c r="AU9" s="24">
        <f>IF(A9="","",(IF(OR(AK9="Single",AK9="Married Filing Separately"),'CONSTANTS &amp; REFERENCES'!$C$8,IF(AK9="Married Filing Jointly",'CONSTANTS &amp; REFERENCES'!$H$8,IF(AK9="Head of Household",'CONSTANTS &amp; REFERENCES'!$M$8,""))))*AL9)</f>
        <v>583384.22496225068</v>
      </c>
      <c r="AV9" s="21">
        <f>IF(AU9="","",IF(A9=0,IF(OR(AK9="Single",AK9="Married Filing Separately"),'CONSTANTS &amp; REFERENCES'!$C$8,IF(AK9="Married Filing Jointly",'CONSTANTS &amp; REFERENCES'!$H$8,IF(AK9="Head of Household",'CONSTANTS &amp; REFERENCES'!$M$8,""))),_xlfn.FLOOR.MATH(AU9,IF(AK9="Married Filing Separately",Bracket_Round_MFS,Bracket_Round_Standard))))</f>
        <v>583350</v>
      </c>
      <c r="AW9" s="24">
        <f>IF(A9="","",(IF(OR(AK9="Single",AK9="Married Filing Separately"),'CONSTANTS &amp; REFERENCES'!$C$9,IF(AK9="Married Filing Jointly",'CONSTANTS &amp; REFERENCES'!$H$9,IF(AK9="Head of Household",'CONSTANTS &amp; REFERENCES'!$M$9,""))))*AL9)</f>
        <v>740813.39631248999</v>
      </c>
      <c r="AX9" s="21">
        <f>IF(AW9="","",IF(A9=0,IF(OR(AK9="Single",AK9="Married Filing Separately"),'CONSTANTS &amp; REFERENCES'!$C$9,IF(AK9="Married Filing Jointly",'CONSTANTS &amp; REFERENCES'!$H$9,IF(AK9="Head of Household",'CONSTANTS &amp; REFERENCES'!$M$9,""))),_xlfn.FLOOR.MATH(AW9,IF(AK9="Married Filing Separately",Bracket_Round_MFS,Bracket_Round_Standard))))</f>
        <v>740800</v>
      </c>
      <c r="AY9" s="24">
        <f>IF(A9="","",(IF(OR(AK9="Single",AK9="Married Filing Separately"),'CONSTANTS &amp; REFERENCES'!$C$10,IF(AK9="Married Filing Jointly",'CONSTANTS &amp; REFERENCES'!$H$10,IF(AK9="Head of Household",'CONSTANTS &amp; REFERENCES'!$M$10,""))))*AL9)</f>
        <v>1111111.6721744167</v>
      </c>
      <c r="AZ9" s="21">
        <f>IF(AY9="","",IF(A9=0,IF(OR(AK9="Single",AK9="Married Filing Separately"),'CONSTANTS &amp; REFERENCES'!$C$10,IF(AK9="Married Filing Jointly",'CONSTANTS &amp; REFERENCES'!$H$10,IF(AK9="Head of Household",'CONSTANTS &amp; REFERENCES'!$M$10,""))),_xlfn.FLOOR.MATH(AY9,IF(AK9="Married Filing Separately",Bracket_Round_MFS,Bracket_Round_Standard))))</f>
        <v>1111100</v>
      </c>
      <c r="BA9" s="7" t="str">
        <f t="shared" si="8"/>
        <v>Illustrative future tax assumptions under simplified C-CPI-U indexing; not an IRS forecast.</v>
      </c>
      <c r="BB9" s="7">
        <f>IF(A9="","",'CONSTANTS &amp; REFERENCES'!$C$22*AL9)</f>
        <v>266718.84402313281</v>
      </c>
      <c r="BC9" s="21">
        <f t="shared" si="19"/>
        <v>266700</v>
      </c>
    </row>
    <row r="10" spans="1:55" ht="18" customHeight="1" x14ac:dyDescent="0.3">
      <c r="A10" s="10">
        <f>IF(A9&lt;INPUTS!$C$7-INPUTS!$C$6,A9+1,"")</f>
        <v>8</v>
      </c>
      <c r="B10" s="10">
        <f>IF(A10="","",INPUTS!$C$6+A10)</f>
        <v>30</v>
      </c>
      <c r="C10" s="11">
        <f t="shared" si="9"/>
        <v>109846.01732500002</v>
      </c>
      <c r="D10" s="11">
        <f>IF(A10="","",IF(A10&lt;INPUTS!$C$13,0,J10))</f>
        <v>11500</v>
      </c>
      <c r="E10" s="12" t="str">
        <f>IF(A10="","",IF(D10=0,"—",IF(Y10&lt;IF(AK10="Married Filing Jointly",'CONSTANTS &amp; REFERENCES'!$B$44,IF(AK10="Married Filing Separately",'CONSTANTS &amp; REFERENCES'!$B$45,'CONSTANTS &amp; REFERENCES'!$B$43)),"Direct","Backdoor")))</f>
        <v>Direct</v>
      </c>
      <c r="F10" s="13">
        <f t="shared" si="0"/>
        <v>11953.860558981318</v>
      </c>
      <c r="G10" s="14">
        <f t="shared" si="1"/>
        <v>11500</v>
      </c>
      <c r="H10" s="13">
        <f t="shared" si="2"/>
        <v>1753.2328819839265</v>
      </c>
      <c r="I10" s="14">
        <f t="shared" si="3"/>
        <v>1700</v>
      </c>
      <c r="J10" s="14">
        <f t="shared" si="4"/>
        <v>11500</v>
      </c>
      <c r="K10" s="11">
        <f>IF(A10="","",IF(INPUTS!$C$12="Beginning",(C10+D10)*INPUTS!$C$10,C10*INPUTS!$C$10))</f>
        <v>12134.601732500003</v>
      </c>
      <c r="L10" s="11">
        <f>IF(A10="","",IF(INPUTS!$C$12="Beginning",(C10+D10)*(1+INPUTS!$C$10),C10*(1+INPUTS!$C$10)+D10))</f>
        <v>133480.61905750004</v>
      </c>
      <c r="M10" s="15">
        <f>IF(A10="","",(1+INPUTS!$C$11)^A10)</f>
        <v>1.5938480745308423</v>
      </c>
      <c r="N10" s="11">
        <f t="shared" si="10"/>
        <v>83747.391731041091</v>
      </c>
      <c r="O10" s="11">
        <f t="shared" si="11"/>
        <v>83500</v>
      </c>
      <c r="P10" s="11">
        <f>IF(A10="","",L10-INPUTS!$C$8-O10)</f>
        <v>49980.619057500036</v>
      </c>
      <c r="Q10" s="16"/>
      <c r="R10" s="16"/>
      <c r="S10" s="16">
        <f t="shared" si="12"/>
        <v>30</v>
      </c>
      <c r="T10" s="18">
        <f t="shared" si="13"/>
        <v>133480.61905750004</v>
      </c>
      <c r="U10" s="18">
        <f t="shared" si="14"/>
        <v>83747.391731041091</v>
      </c>
      <c r="V10" s="19">
        <f>IF(A10="","",FV(INPUTS!$C$10,INPUTS!$C$7-INPUTS!$C$6-A10+IF(INPUTS!$C$12="Beginning",1,0),0,-D10,0))</f>
        <v>355495.82612801361</v>
      </c>
      <c r="W10" s="7"/>
      <c r="X10" s="7"/>
      <c r="Y10" s="21">
        <f>IF(A10="","",IF(INPUTS!$C$17="Yes",MIN(Y9*(1+INPUTS!$C$15)+IF(INPUTS!$C$27="Yes",(Z10-Z9)*INPUTS!$C$31+IF(AND(INPUTS!$C$28="Not yet credentialed",A10=INPUTS!$C$33),INPUTS!$C$32,0)+IF(AND(INPUTS!$C$28&lt;&gt;"FSA / FCAS",A10=INPUTS!$C$35),INPUTS!$C$34,0),0),INPUTS!$C$18),Y9*(1+INPUTS!$C$15)+IF(INPUTS!$C$27="Yes",(Z10-Z9)*INPUTS!$C$31+IF(AND(INPUTS!$C$28="Not yet credentialed",A10=INPUTS!$C$33),INPUTS!$C$32,0)+IF(AND(INPUTS!$C$28&lt;&gt;"FSA / FCAS",A10=INPUTS!$C$35),INPUTS!$C$34,0),0)))</f>
        <v>116151.13320120436</v>
      </c>
      <c r="Z10" s="22">
        <f>IF(A10="","",IF(AND(INPUTS!$C$27="Yes",INPUTS!$C$28&lt;&gt;"FSA / FCAS",ISNUMBER(INPUTS!$C$37)),MIN(A10*INPUTS!$C$37,INPUTS!$C$30),0))</f>
        <v>3</v>
      </c>
      <c r="AA10" s="21">
        <f t="shared" si="5"/>
        <v>49050</v>
      </c>
      <c r="AB10" s="21">
        <f t="shared" si="6"/>
        <v>67101.133201204357</v>
      </c>
      <c r="AC10" s="21">
        <f>IF(A10="","",MIN(AB10,AP10)*'CONSTANTS &amp; REFERENCES'!$A$5+MAX(MIN(AB10,AR10)-AP10,0)*'CONSTANTS &amp; REFERENCES'!$A$6+MAX(MIN(AB10,AT10)-AR10,0)*'CONSTANTS &amp; REFERENCES'!$A$7+MAX(MIN(AB10,AV10)-AT10,0)*'CONSTANTS &amp; REFERENCES'!$A$8+MAX(MIN(AB10,AX10)-AV10,0)*'CONSTANTS &amp; REFERENCES'!$A$9+MAX(MIN(AB10,AZ10)-AX10,0)*'CONSTANTS &amp; REFERENCES'!$A$10+MAX(AB10-AZ10,0)*'CONSTANTS &amp; REFERENCES'!$A$11)</f>
        <v>7297.1359841445228</v>
      </c>
      <c r="AD10" s="21">
        <f>IF(AB10="","",IF(INPUTS!$C$20="Yes",AB10*INPUTS!$C$21,0))</f>
        <v>0</v>
      </c>
      <c r="AE10" s="21">
        <f>IF(Y10="","",MIN(Y10,BC10)*'CONSTANTS &amp; REFERENCES'!$B$22)</f>
        <v>7201.3702584746698</v>
      </c>
      <c r="AF10" s="21">
        <f>IF(Y10="","",Y10*'CONSTANTS &amp; REFERENCES'!$B$24+MAX(0,Y10-IF(AK10="Married Filing Jointly",'CONSTANTS &amp; REFERENCES'!$C$26,IF(AK10="Married Filing Separately",'CONSTANTS &amp; REFERENCES'!$C$27,IF(AK10="Head of Household",'CONSTANTS &amp; REFERENCES'!$C$28,'CONSTANTS &amp; REFERENCES'!$C$25))))*'CONSTANTS &amp; REFERENCES'!$B$25)</f>
        <v>1684.1914314174633</v>
      </c>
      <c r="AG10" s="21">
        <f t="shared" si="15"/>
        <v>8885.5616898921326</v>
      </c>
      <c r="AH10" s="21">
        <f t="shared" si="16"/>
        <v>16182.697674036655</v>
      </c>
      <c r="AI10" s="21">
        <f t="shared" si="17"/>
        <v>99968.435527167705</v>
      </c>
      <c r="AJ10" s="21">
        <f t="shared" si="18"/>
        <v>0</v>
      </c>
      <c r="AK10" s="7" t="str">
        <f>IF(A10="","",IF(AND(INPUTS!$C$43="Yes",A10&gt;=INPUTS!$C$45),INPUTS!$C$44,INPUTS!$C$19))</f>
        <v>Married Filing Jointly</v>
      </c>
      <c r="AL10" s="23">
        <f t="shared" si="7"/>
        <v>1.523781380655953</v>
      </c>
      <c r="AM10" s="24">
        <f>IF(A10="","",(IF(OR(AK10="Single",AK10="Married Filing Separately"),'CONSTANTS &amp; REFERENCES'!$B$13,IF(AK10="Married Filing Jointly",'CONSTANTS &amp; REFERENCES'!$G$13,IF(AK10="Head of Household",'CONSTANTS &amp; REFERENCES'!$L$13,""))))*AL10)</f>
        <v>49065.760457121687</v>
      </c>
      <c r="AN10" s="21">
        <f>IF(AM10="","",IF(A10=0,IF(OR(AK10="Single",AK10="Married Filing Separately"),'CONSTANTS &amp; REFERENCES'!$B$13,IF(AK10="Married Filing Jointly",'CONSTANTS &amp; REFERENCES'!$G$13,IF(AK10="Head of Household",'CONSTANTS &amp; REFERENCES'!$L$13,""))),_xlfn.FLOOR.MATH(AM10,IF(AK10="Married Filing Separately",Bracket_Round_MFS,Bracket_Round_Standard))))</f>
        <v>49050</v>
      </c>
      <c r="AO10" s="24">
        <f>IF(A10="","",(IF(OR(AK10="Single",AK10="Married Filing Separately"),'CONSTANTS &amp; REFERENCES'!$C$5,IF(AK10="Married Filing Jointly",'CONSTANTS &amp; REFERENCES'!$H$5,IF(AK10="Head of Household",'CONSTANTS &amp; REFERENCES'!$M$5,""))))*AL10)</f>
        <v>37789.778240267638</v>
      </c>
      <c r="AP10" s="21">
        <f>IF(AO10="","",IF(A10=0,IF(OR(AK10="Single",AK10="Married Filing Separately"),'CONSTANTS &amp; REFERENCES'!$C$5,IF(AK10="Married Filing Jointly",'CONSTANTS &amp; REFERENCES'!$H$5,IF(AK10="Head of Household",'CONSTANTS &amp; REFERENCES'!$M$5,""))),_xlfn.FLOOR.MATH(AO10,IF(AK10="Married Filing Separately",Bracket_Round_MFS,Bracket_Round_Standard))))</f>
        <v>37750</v>
      </c>
      <c r="AQ10" s="24">
        <f>IF(A10="","",(IF(OR(AK10="Single",AK10="Married Filing Separately"),'CONSTANTS &amp; REFERENCES'!$C$6,IF(AK10="Married Filing Jointly",'CONSTANTS &amp; REFERENCES'!$H$6,IF(AK10="Head of Household",'CONSTANTS &amp; REFERENCES'!$M$6,""))))*AL10)</f>
        <v>153597.16317012007</v>
      </c>
      <c r="AR10" s="21">
        <f>IF(AQ10="","",IF(A10=0,IF(OR(AK10="Single",AK10="Married Filing Separately"),'CONSTANTS &amp; REFERENCES'!$C$6,IF(AK10="Married Filing Jointly",'CONSTANTS &amp; REFERENCES'!$H$6,IF(AK10="Head of Household",'CONSTANTS &amp; REFERENCES'!$M$6,""))),_xlfn.FLOOR.MATH(AQ10,IF(AK10="Married Filing Separately",Bracket_Round_MFS,Bracket_Round_Standard))))</f>
        <v>153550</v>
      </c>
      <c r="AS10" s="24">
        <f>IF(A10="","",(IF(OR(AK10="Single",AK10="Married Filing Separately"),'CONSTANTS &amp; REFERENCES'!$C$7,IF(AK10="Married Filing Jointly",'CONSTANTS &amp; REFERENCES'!$H$7,IF(AK10="Head of Household",'CONSTANTS &amp; REFERENCES'!$M$7,""))))*AL10)</f>
        <v>322127.38387066848</v>
      </c>
      <c r="AT10" s="21">
        <f>IF(AS10="","",IF(A10=0,IF(OR(AK10="Single",AK10="Married Filing Separately"),'CONSTANTS &amp; REFERENCES'!$C$7,IF(AK10="Married Filing Jointly",'CONSTANTS &amp; REFERENCES'!$H$7,IF(AK10="Head of Household",'CONSTANTS &amp; REFERENCES'!$M$7,""))),_xlfn.FLOOR.MATH(AS10,IF(AK10="Married Filing Separately",Bracket_Round_MFS,Bracket_Round_Standard))))</f>
        <v>322100</v>
      </c>
      <c r="AU10" s="24">
        <f>IF(A10="","",(IF(OR(AK10="Single",AK10="Married Filing Separately"),'CONSTANTS &amp; REFERENCES'!$C$8,IF(AK10="Married Filing Jointly",'CONSTANTS &amp; REFERENCES'!$H$8,IF(AK10="Head of Household",'CONSTANTS &amp; REFERENCES'!$M$8,""))))*AL10)</f>
        <v>614921.97616370989</v>
      </c>
      <c r="AV10" s="21">
        <f>IF(AU10="","",IF(A10=0,IF(OR(AK10="Single",AK10="Married Filing Separately"),'CONSTANTS &amp; REFERENCES'!$C$8,IF(AK10="Married Filing Jointly",'CONSTANTS &amp; REFERENCES'!$H$8,IF(AK10="Head of Household",'CONSTANTS &amp; REFERENCES'!$M$8,""))),_xlfn.FLOOR.MATH(AU10,IF(AK10="Married Filing Separately",Bracket_Round_MFS,Bracket_Round_Standard))))</f>
        <v>614900</v>
      </c>
      <c r="AW10" s="24">
        <f>IF(A10="","",(IF(OR(AK10="Single",AK10="Married Filing Separately"),'CONSTANTS &amp; REFERENCES'!$C$9,IF(AK10="Married Filing Jointly",'CONSTANTS &amp; REFERENCES'!$H$9,IF(AK10="Head of Household",'CONSTANTS &amp; REFERENCES'!$M$9,""))))*AL10)</f>
        <v>780861.76851714309</v>
      </c>
      <c r="AX10" s="21">
        <f>IF(AW10="","",IF(A10=0,IF(OR(AK10="Single",AK10="Married Filing Separately"),'CONSTANTS &amp; REFERENCES'!$C$9,IF(AK10="Married Filing Jointly",'CONSTANTS &amp; REFERENCES'!$H$9,IF(AK10="Head of Household",'CONSTANTS &amp; REFERENCES'!$M$9,""))),_xlfn.FLOOR.MATH(AW10,IF(AK10="Married Filing Separately",Bracket_Round_MFS,Bracket_Round_Standard))))</f>
        <v>780850</v>
      </c>
      <c r="AY10" s="24">
        <f>IF(A10="","",(IF(OR(AK10="Single",AK10="Married Filing Separately"),'CONSTANTS &amp; REFERENCES'!$C$10,IF(AK10="Married Filing Jointly",'CONSTANTS &amp; REFERENCES'!$H$10,IF(AK10="Head of Household",'CONSTANTS &amp; REFERENCES'!$M$10,""))))*AL10)</f>
        <v>1171178.3691721654</v>
      </c>
      <c r="AZ10" s="21">
        <f>IF(AY10="","",IF(A10=0,IF(OR(AK10="Single",AK10="Married Filing Separately"),'CONSTANTS &amp; REFERENCES'!$C$10,IF(AK10="Married Filing Jointly",'CONSTANTS &amp; REFERENCES'!$H$10,IF(AK10="Head of Household",'CONSTANTS &amp; REFERENCES'!$M$10,""))),_xlfn.FLOOR.MATH(AY10,IF(AK10="Married Filing Separately",Bracket_Round_MFS,Bracket_Round_Standard))))</f>
        <v>1171150</v>
      </c>
      <c r="BA10" s="7" t="str">
        <f t="shared" si="8"/>
        <v>Illustrative future tax assumptions under simplified C-CPI-U indexing; not an IRS forecast.</v>
      </c>
      <c r="BB10" s="7">
        <f>IF(A10="","",'CONSTANTS &amp; REFERENCES'!$C$22*AL10)</f>
        <v>281137.66473102331</v>
      </c>
      <c r="BC10" s="21">
        <f t="shared" si="19"/>
        <v>281100</v>
      </c>
    </row>
    <row r="11" spans="1:55" ht="18" customHeight="1" x14ac:dyDescent="0.3">
      <c r="A11" s="10">
        <f>IF(A10&lt;INPUTS!$C$7-INPUTS!$C$6,A10+1,"")</f>
        <v>9</v>
      </c>
      <c r="B11" s="10">
        <f>IF(A11="","",INPUTS!$C$6+A11)</f>
        <v>31</v>
      </c>
      <c r="C11" s="11">
        <f t="shared" si="9"/>
        <v>133480.61905750004</v>
      </c>
      <c r="D11" s="11">
        <f>IF(A11="","",IF(A11&lt;INPUTS!$C$13,0,J11))</f>
        <v>12500</v>
      </c>
      <c r="E11" s="12" t="str">
        <f>IF(A11="","",IF(D11=0,"—",IF(Y11&lt;IF(AK11="Married Filing Jointly",'CONSTANTS &amp; REFERENCES'!$B$44,IF(AK11="Married Filing Separately",'CONSTANTS &amp; REFERENCES'!$B$45,'CONSTANTS &amp; REFERENCES'!$B$43)),"Direct","Backdoor")))</f>
        <v>Direct</v>
      </c>
      <c r="F11" s="13">
        <f t="shared" si="0"/>
        <v>12671.092192520196</v>
      </c>
      <c r="G11" s="14">
        <f t="shared" si="1"/>
        <v>12500</v>
      </c>
      <c r="H11" s="13">
        <f t="shared" si="2"/>
        <v>1858.4268549029621</v>
      </c>
      <c r="I11" s="14">
        <f t="shared" si="3"/>
        <v>1800</v>
      </c>
      <c r="J11" s="14">
        <f t="shared" si="4"/>
        <v>12500</v>
      </c>
      <c r="K11" s="11">
        <f>IF(A11="","",IF(INPUTS!$C$12="Beginning",(C11+D11)*INPUTS!$C$10,C11*INPUTS!$C$10))</f>
        <v>14598.061905750004</v>
      </c>
      <c r="L11" s="11">
        <f>IF(A11="","",IF(INPUTS!$C$12="Beginning",(C11+D11)*(1+INPUTS!$C$10),C11*(1+INPUTS!$C$10)+D11))</f>
        <v>160578.68096325005</v>
      </c>
      <c r="M11" s="15">
        <f>IF(A11="","",(1+INPUTS!$C$11)^A11)</f>
        <v>1.6894789590026928</v>
      </c>
      <c r="N11" s="11">
        <f t="shared" si="10"/>
        <v>95046.274537825782</v>
      </c>
      <c r="O11" s="11">
        <f t="shared" si="11"/>
        <v>96000</v>
      </c>
      <c r="P11" s="11">
        <f>IF(A11="","",L11-INPUTS!$C$8-O11)</f>
        <v>64578.680963250052</v>
      </c>
      <c r="Q11" s="16"/>
      <c r="R11" s="16"/>
      <c r="S11" s="16">
        <f t="shared" si="12"/>
        <v>31</v>
      </c>
      <c r="T11" s="18">
        <f t="shared" si="13"/>
        <v>160578.68096325005</v>
      </c>
      <c r="U11" s="18">
        <f t="shared" si="14"/>
        <v>95046.274537825782</v>
      </c>
      <c r="V11" s="19">
        <f>IF(A11="","",FV(INPUTS!$C$10,INPUTS!$C$7-INPUTS!$C$6-A11+IF(INPUTS!$C$12="Beginning",1,0),0,-D11,0))</f>
        <v>351280.46060080396</v>
      </c>
      <c r="W11" s="7"/>
      <c r="X11" s="7"/>
      <c r="Y11" s="21">
        <f>IF(A11="","",IF(INPUTS!$C$17="Yes",MIN(Y10*(1+INPUTS!$C$15)+IF(INPUTS!$C$27="Yes",(Z11-Z10)*INPUTS!$C$31+IF(AND(INPUTS!$C$28="Not yet credentialed",A11=INPUTS!$C$33),INPUTS!$C$32,0)+IF(AND(INPUTS!$C$28&lt;&gt;"FSA / FCAS",A11=INPUTS!$C$35),INPUTS!$C$34,0),0),INPUTS!$C$18),Y10*(1+INPUTS!$C$15)+IF(INPUTS!$C$27="Yes",(Z11-Z10)*INPUTS!$C$31+IF(AND(INPUTS!$C$28="Not yet credentialed",A11=INPUTS!$C$33),INPUTS!$C$32,0)+IF(AND(INPUTS!$C$28&lt;&gt;"FSA / FCAS",A11=INPUTS!$C$35),INPUTS!$C$34,0),0)))</f>
        <v>119635.66719724049</v>
      </c>
      <c r="Z11" s="22">
        <f>IF(A11="","",IF(AND(INPUTS!$C$27="Yes",INPUTS!$C$28&lt;&gt;"FSA / FCAS",ISNUMBER(INPUTS!$C$37)),MIN(A11*INPUTS!$C$37,INPUTS!$C$30),0))</f>
        <v>3</v>
      </c>
      <c r="AA11" s="21">
        <f t="shared" si="5"/>
        <v>51700</v>
      </c>
      <c r="AB11" s="21">
        <f t="shared" si="6"/>
        <v>67935.667197240487</v>
      </c>
      <c r="AC11" s="21">
        <f>IF(A11="","",MIN(AB11,AP11)*'CONSTANTS &amp; REFERENCES'!$A$5+MAX(MIN(AB11,AR11)-AP11,0)*'CONSTANTS &amp; REFERENCES'!$A$6+MAX(MIN(AB11,AT11)-AR11,0)*'CONSTANTS &amp; REFERENCES'!$A$7+MAX(MIN(AB11,AV11)-AT11,0)*'CONSTANTS &amp; REFERENCES'!$A$8+MAX(MIN(AB11,AX11)-AV11,0)*'CONSTANTS &amp; REFERENCES'!$A$9+MAX(MIN(AB11,AZ11)-AX11,0)*'CONSTANTS &amp; REFERENCES'!$A$10+MAX(AB11-AZ11,0)*'CONSTANTS &amp; REFERENCES'!$A$11)</f>
        <v>7356.2800636688589</v>
      </c>
      <c r="AD11" s="21">
        <f>IF(AB11="","",IF(INPUTS!$C$20="Yes",AB11*INPUTS!$C$21,0))</f>
        <v>0</v>
      </c>
      <c r="AE11" s="21">
        <f>IF(Y11="","",MIN(Y11,BC11)*'CONSTANTS &amp; REFERENCES'!$B$22)</f>
        <v>7417.4113662289101</v>
      </c>
      <c r="AF11" s="21">
        <f>IF(Y11="","",Y11*'CONSTANTS &amp; REFERENCES'!$B$24+MAX(0,Y11-IF(AK11="Married Filing Jointly",'CONSTANTS &amp; REFERENCES'!$C$26,IF(AK11="Married Filing Separately",'CONSTANTS &amp; REFERENCES'!$C$27,IF(AK11="Head of Household",'CONSTANTS &amp; REFERENCES'!$C$28,'CONSTANTS &amp; REFERENCES'!$C$25))))*'CONSTANTS &amp; REFERENCES'!$B$25)</f>
        <v>1734.7171743599872</v>
      </c>
      <c r="AG11" s="21">
        <f t="shared" si="15"/>
        <v>9152.1285405888975</v>
      </c>
      <c r="AH11" s="21">
        <f t="shared" si="16"/>
        <v>16508.408604257755</v>
      </c>
      <c r="AI11" s="21">
        <f t="shared" si="17"/>
        <v>103127.25859298273</v>
      </c>
      <c r="AJ11" s="21">
        <f t="shared" si="18"/>
        <v>0</v>
      </c>
      <c r="AK11" s="7" t="str">
        <f>IF(A11="","",IF(AND(INPUTS!$C$43="Yes",A11&gt;=INPUTS!$C$45),INPUTS!$C$44,INPUTS!$C$19))</f>
        <v>Married Filing Jointly</v>
      </c>
      <c r="AL11" s="23">
        <f t="shared" si="7"/>
        <v>1.6061570020942137</v>
      </c>
      <c r="AM11" s="24">
        <f>IF(A11="","",(IF(OR(AK11="Single",AK11="Married Filing Separately"),'CONSTANTS &amp; REFERENCES'!$B$13,IF(AK11="Married Filing Jointly",'CONSTANTS &amp; REFERENCES'!$G$13,IF(AK11="Head of Household",'CONSTANTS &amp; REFERENCES'!$L$13,""))))*AL11)</f>
        <v>51718.255467433686</v>
      </c>
      <c r="AN11" s="21">
        <f>IF(AM11="","",IF(A11=0,IF(OR(AK11="Single",AK11="Married Filing Separately"),'CONSTANTS &amp; REFERENCES'!$B$13,IF(AK11="Married Filing Jointly",'CONSTANTS &amp; REFERENCES'!$G$13,IF(AK11="Head of Household",'CONSTANTS &amp; REFERENCES'!$L$13,""))),_xlfn.FLOOR.MATH(AM11,IF(AK11="Married Filing Separately",Bracket_Round_MFS,Bracket_Round_Standard))))</f>
        <v>51700</v>
      </c>
      <c r="AO11" s="24">
        <f>IF(A11="","",(IF(OR(AK11="Single",AK11="Married Filing Separately"),'CONSTANTS &amp; REFERENCES'!$C$5,IF(AK11="Married Filing Jointly",'CONSTANTS &amp; REFERENCES'!$H$5,IF(AK11="Head of Household",'CONSTANTS &amp; REFERENCES'!$M$5,""))))*AL11)</f>
        <v>39832.693651936504</v>
      </c>
      <c r="AP11" s="21">
        <f>IF(AO11="","",IF(A11=0,IF(OR(AK11="Single",AK11="Married Filing Separately"),'CONSTANTS &amp; REFERENCES'!$C$5,IF(AK11="Married Filing Jointly",'CONSTANTS &amp; REFERENCES'!$H$5,IF(AK11="Head of Household",'CONSTANTS &amp; REFERENCES'!$M$5,""))),_xlfn.FLOOR.MATH(AO11,IF(AK11="Married Filing Separately",Bracket_Round_MFS,Bracket_Round_Standard))))</f>
        <v>39800</v>
      </c>
      <c r="AQ11" s="24">
        <f>IF(A11="","",(IF(OR(AK11="Single",AK11="Married Filing Separately"),'CONSTANTS &amp; REFERENCES'!$C$6,IF(AK11="Married Filing Jointly",'CONSTANTS &amp; REFERENCES'!$H$6,IF(AK11="Head of Household",'CONSTANTS &amp; REFERENCES'!$M$6,""))))*AL11)</f>
        <v>161900.62581109675</v>
      </c>
      <c r="AR11" s="21">
        <f>IF(AQ11="","",IF(A11=0,IF(OR(AK11="Single",AK11="Married Filing Separately"),'CONSTANTS &amp; REFERENCES'!$C$6,IF(AK11="Married Filing Jointly",'CONSTANTS &amp; REFERENCES'!$H$6,IF(AK11="Head of Household",'CONSTANTS &amp; REFERENCES'!$M$6,""))),_xlfn.FLOOR.MATH(AQ11,IF(AK11="Married Filing Separately",Bracket_Round_MFS,Bracket_Round_Standard))))</f>
        <v>161900</v>
      </c>
      <c r="AS11" s="24">
        <f>IF(A11="","",(IF(OR(AK11="Single",AK11="Married Filing Separately"),'CONSTANTS &amp; REFERENCES'!$C$7,IF(AK11="Married Filing Jointly",'CONSTANTS &amp; REFERENCES'!$H$7,IF(AK11="Head of Household",'CONSTANTS &amp; REFERENCES'!$M$7,""))))*AL11)</f>
        <v>339541.59024271677</v>
      </c>
      <c r="AT11" s="21">
        <f>IF(AS11="","",IF(A11=0,IF(OR(AK11="Single",AK11="Married Filing Separately"),'CONSTANTS &amp; REFERENCES'!$C$7,IF(AK11="Married Filing Jointly",'CONSTANTS &amp; REFERENCES'!$H$7,IF(AK11="Head of Household",'CONSTANTS &amp; REFERENCES'!$M$7,""))),_xlfn.FLOOR.MATH(AS11,IF(AK11="Married Filing Separately",Bracket_Round_MFS,Bracket_Round_Standard))))</f>
        <v>339500</v>
      </c>
      <c r="AU11" s="24">
        <f>IF(A11="","",(IF(OR(AK11="Single",AK11="Married Filing Separately"),'CONSTANTS &amp; REFERENCES'!$C$8,IF(AK11="Married Filing Jointly",'CONSTANTS &amp; REFERENCES'!$H$8,IF(AK11="Head of Household",'CONSTANTS &amp; REFERENCES'!$M$8,""))))*AL11)</f>
        <v>648164.65819511993</v>
      </c>
      <c r="AV11" s="21">
        <f>IF(AU11="","",IF(A11=0,IF(OR(AK11="Single",AK11="Married Filing Separately"),'CONSTANTS &amp; REFERENCES'!$C$8,IF(AK11="Married Filing Jointly",'CONSTANTS &amp; REFERENCES'!$H$8,IF(AK11="Head of Household",'CONSTANTS &amp; REFERENCES'!$M$8,""))),_xlfn.FLOOR.MATH(AU11,IF(AK11="Married Filing Separately",Bracket_Round_MFS,Bracket_Round_Standard))))</f>
        <v>648150</v>
      </c>
      <c r="AW11" s="24">
        <f>IF(A11="","",(IF(OR(AK11="Single",AK11="Married Filing Separately"),'CONSTANTS &amp; REFERENCES'!$C$9,IF(AK11="Married Filing Jointly",'CONSTANTS &amp; REFERENCES'!$H$9,IF(AK11="Head of Household",'CONSTANTS &amp; REFERENCES'!$M$9,""))))*AL11)</f>
        <v>823075.15572317981</v>
      </c>
      <c r="AX11" s="21">
        <f>IF(AW11="","",IF(A11=0,IF(OR(AK11="Single",AK11="Married Filing Separately"),'CONSTANTS &amp; REFERENCES'!$C$9,IF(AK11="Married Filing Jointly",'CONSTANTS &amp; REFERENCES'!$H$9,IF(AK11="Head of Household",'CONSTANTS &amp; REFERENCES'!$M$9,""))),_xlfn.FLOOR.MATH(AW11,IF(AK11="Married Filing Separately",Bracket_Round_MFS,Bracket_Round_Standard))))</f>
        <v>823050</v>
      </c>
      <c r="AY11" s="24">
        <f>IF(A11="","",(IF(OR(AK11="Single",AK11="Married Filing Separately"),'CONSTANTS &amp; REFERENCES'!$C$10,IF(AK11="Married Filing Jointly",'CONSTANTS &amp; REFERENCES'!$H$10,IF(AK11="Head of Household",'CONSTANTS &amp; REFERENCES'!$M$10,""))))*AL11)</f>
        <v>1234492.2718096126</v>
      </c>
      <c r="AZ11" s="21">
        <f>IF(AY11="","",IF(A11=0,IF(OR(AK11="Single",AK11="Married Filing Separately"),'CONSTANTS &amp; REFERENCES'!$C$10,IF(AK11="Married Filing Jointly",'CONSTANTS &amp; REFERENCES'!$H$10,IF(AK11="Head of Household",'CONSTANTS &amp; REFERENCES'!$M$10,""))),_xlfn.FLOOR.MATH(AY11,IF(AK11="Married Filing Separately",Bracket_Round_MFS,Bracket_Round_Standard))))</f>
        <v>1234450</v>
      </c>
      <c r="BA11" s="7" t="str">
        <f t="shared" si="8"/>
        <v>Illustrative future tax assumptions under simplified C-CPI-U indexing; not an IRS forecast.</v>
      </c>
      <c r="BB11" s="7">
        <f>IF(A11="","",'CONSTANTS &amp; REFERENCES'!$C$22*AL11)</f>
        <v>296335.96688638243</v>
      </c>
      <c r="BC11" s="21">
        <f t="shared" si="19"/>
        <v>296300</v>
      </c>
    </row>
    <row r="12" spans="1:55" ht="18" customHeight="1" x14ac:dyDescent="0.3">
      <c r="A12" s="10">
        <f>IF(A11&lt;INPUTS!$C$7-INPUTS!$C$6,A11+1,"")</f>
        <v>10</v>
      </c>
      <c r="B12" s="10">
        <f>IF(A12="","",INPUTS!$C$6+A12)</f>
        <v>32</v>
      </c>
      <c r="C12" s="11">
        <f t="shared" si="9"/>
        <v>160578.68096325005</v>
      </c>
      <c r="D12" s="11">
        <f>IF(A12="","",IF(A12&lt;INPUTS!$C$13,0,J12))</f>
        <v>13000</v>
      </c>
      <c r="E12" s="12" t="str">
        <f>IF(A12="","",IF(D12=0,"—",IF(Y12&lt;IF(AK12="Married Filing Jointly",'CONSTANTS &amp; REFERENCES'!$B$44,IF(AK12="Married Filing Separately",'CONSTANTS &amp; REFERENCES'!$B$45,'CONSTANTS &amp; REFERENCES'!$B$43)),"Direct","Backdoor")))</f>
        <v>Direct</v>
      </c>
      <c r="F12" s="13">
        <f t="shared" si="0"/>
        <v>13431.357724071409</v>
      </c>
      <c r="G12" s="14">
        <f t="shared" si="1"/>
        <v>13000</v>
      </c>
      <c r="H12" s="13">
        <f t="shared" si="2"/>
        <v>1969.93246619714</v>
      </c>
      <c r="I12" s="14">
        <f t="shared" si="3"/>
        <v>1900</v>
      </c>
      <c r="J12" s="14">
        <f t="shared" si="4"/>
        <v>13000</v>
      </c>
      <c r="K12" s="11">
        <f>IF(A12="","",IF(INPUTS!$C$12="Beginning",(C12+D12)*INPUTS!$C$10,C12*INPUTS!$C$10))</f>
        <v>17357.868096325004</v>
      </c>
      <c r="L12" s="11">
        <f>IF(A12="","",IF(INPUTS!$C$12="Beginning",(C12+D12)*(1+INPUTS!$C$10),C12*(1+INPUTS!$C$10)+D12))</f>
        <v>190936.54905957507</v>
      </c>
      <c r="M12" s="15">
        <f>IF(A12="","",(1+INPUTS!$C$11)^A12)</f>
        <v>1.7908476965428546</v>
      </c>
      <c r="N12" s="11">
        <f t="shared" si="10"/>
        <v>106617.97171706389</v>
      </c>
      <c r="O12" s="11">
        <f t="shared" si="11"/>
        <v>109000</v>
      </c>
      <c r="P12" s="11">
        <f>IF(A12="","",L12-INPUTS!$C$8-O12)</f>
        <v>81936.549059575074</v>
      </c>
      <c r="Q12" s="16"/>
      <c r="R12" s="16"/>
      <c r="S12" s="16">
        <f t="shared" si="12"/>
        <v>32</v>
      </c>
      <c r="T12" s="18">
        <f t="shared" si="13"/>
        <v>190936.54905957507</v>
      </c>
      <c r="U12" s="18">
        <f t="shared" si="14"/>
        <v>106617.97171706389</v>
      </c>
      <c r="V12" s="19">
        <f>IF(A12="","",FV(INPUTS!$C$10,INPUTS!$C$7-INPUTS!$C$6-A12+IF(INPUTS!$C$12="Beginning",1,0),0,-D12,0))</f>
        <v>332119.70820439642</v>
      </c>
      <c r="W12" s="7"/>
      <c r="X12" s="7"/>
      <c r="Y12" s="21">
        <f>IF(A12="","",IF(INPUTS!$C$17="Yes",MIN(Y11*(1+INPUTS!$C$15)+IF(INPUTS!$C$27="Yes",(Z12-Z11)*INPUTS!$C$31+IF(AND(INPUTS!$C$28="Not yet credentialed",A12=INPUTS!$C$33),INPUTS!$C$32,0)+IF(AND(INPUTS!$C$28&lt;&gt;"FSA / FCAS",A12=INPUTS!$C$35),INPUTS!$C$34,0),0),INPUTS!$C$18),Y11*(1+INPUTS!$C$15)+IF(INPUTS!$C$27="Yes",(Z12-Z11)*INPUTS!$C$31+IF(AND(INPUTS!$C$28="Not yet credentialed",A12=INPUTS!$C$33),INPUTS!$C$32,0)+IF(AND(INPUTS!$C$28&lt;&gt;"FSA / FCAS",A12=INPUTS!$C$35),INPUTS!$C$34,0),0)))</f>
        <v>123224.7372131577</v>
      </c>
      <c r="Z12" s="22">
        <f>IF(A12="","",IF(AND(INPUTS!$C$27="Yes",INPUTS!$C$28&lt;&gt;"FSA / FCAS",ISNUMBER(INPUTS!$C$37)),MIN(A12*INPUTS!$C$37,INPUTS!$C$30),0))</f>
        <v>3</v>
      </c>
      <c r="AA12" s="21">
        <f t="shared" si="5"/>
        <v>54500</v>
      </c>
      <c r="AB12" s="21">
        <f t="shared" si="6"/>
        <v>68724.737213157699</v>
      </c>
      <c r="AC12" s="21">
        <f>IF(A12="","",MIN(AB12,AP12)*'CONSTANTS &amp; REFERENCES'!$A$5+MAX(MIN(AB12,AR12)-AP12,0)*'CONSTANTS &amp; REFERENCES'!$A$6+MAX(MIN(AB12,AT12)-AR12,0)*'CONSTANTS &amp; REFERENCES'!$A$7+MAX(MIN(AB12,AV12)-AT12,0)*'CONSTANTS &amp; REFERENCES'!$A$8+MAX(MIN(AB12,AX12)-AV12,0)*'CONSTANTS &amp; REFERENCES'!$A$9+MAX(MIN(AB12,AZ12)-AX12,0)*'CONSTANTS &amp; REFERENCES'!$A$10+MAX(AB12-AZ12,0)*'CONSTANTS &amp; REFERENCES'!$A$11)</f>
        <v>7407.9684655789242</v>
      </c>
      <c r="AD12" s="21">
        <f>IF(AB12="","",IF(INPUTS!$C$20="Yes",AB12*INPUTS!$C$21,0))</f>
        <v>0</v>
      </c>
      <c r="AE12" s="21">
        <f>IF(Y12="","",MIN(Y12,BC12)*'CONSTANTS &amp; REFERENCES'!$B$22)</f>
        <v>7639.9337072157778</v>
      </c>
      <c r="AF12" s="21">
        <f>IF(Y12="","",Y12*'CONSTANTS &amp; REFERENCES'!$B$24+MAX(0,Y12-IF(AK12="Married Filing Jointly",'CONSTANTS &amp; REFERENCES'!$C$26,IF(AK12="Married Filing Separately",'CONSTANTS &amp; REFERENCES'!$C$27,IF(AK12="Head of Household",'CONSTANTS &amp; REFERENCES'!$C$28,'CONSTANTS &amp; REFERENCES'!$C$25))))*'CONSTANTS &amp; REFERENCES'!$B$25)</f>
        <v>1786.7586895907868</v>
      </c>
      <c r="AG12" s="21">
        <f t="shared" si="15"/>
        <v>9426.6923968065639</v>
      </c>
      <c r="AH12" s="21">
        <f t="shared" si="16"/>
        <v>16834.660862385488</v>
      </c>
      <c r="AI12" s="21">
        <f t="shared" si="17"/>
        <v>106390.07635077221</v>
      </c>
      <c r="AJ12" s="21">
        <f t="shared" si="18"/>
        <v>0</v>
      </c>
      <c r="AK12" s="7" t="str">
        <f>IF(A12="","",IF(AND(INPUTS!$C$43="Yes",A12&gt;=INPUTS!$C$45),INPUTS!$C$44,INPUTS!$C$19))</f>
        <v>Married Filing Jointly</v>
      </c>
      <c r="AL12" s="23">
        <f t="shared" si="7"/>
        <v>1.6929858496274268</v>
      </c>
      <c r="AM12" s="24">
        <f>IF(A12="","",(IF(OR(AK12="Single",AK12="Married Filing Separately"),'CONSTANTS &amp; REFERENCES'!$B$13,IF(AK12="Married Filing Jointly",'CONSTANTS &amp; REFERENCES'!$G$13,IF(AK12="Head of Household",'CONSTANTS &amp; REFERENCES'!$L$13,""))))*AL12)</f>
        <v>54514.144358003141</v>
      </c>
      <c r="AN12" s="21">
        <f>IF(AM12="","",IF(A12=0,IF(OR(AK12="Single",AK12="Married Filing Separately"),'CONSTANTS &amp; REFERENCES'!$B$13,IF(AK12="Married Filing Jointly",'CONSTANTS &amp; REFERENCES'!$G$13,IF(AK12="Head of Household",'CONSTANTS &amp; REFERENCES'!$L$13,""))),_xlfn.FLOOR.MATH(AM12,IF(AK12="Married Filing Separately",Bracket_Round_MFS,Bracket_Round_Standard))))</f>
        <v>54500</v>
      </c>
      <c r="AO12" s="24">
        <f>IF(A12="","",(IF(OR(AK12="Single",AK12="Married Filing Separately"),'CONSTANTS &amp; REFERENCES'!$C$5,IF(AK12="Married Filing Jointly",'CONSTANTS &amp; REFERENCES'!$H$5,IF(AK12="Head of Household",'CONSTANTS &amp; REFERENCES'!$M$5,""))))*AL12)</f>
        <v>41986.049070760186</v>
      </c>
      <c r="AP12" s="21">
        <f>IF(AO12="","",IF(A12=0,IF(OR(AK12="Single",AK12="Married Filing Separately"),'CONSTANTS &amp; REFERENCES'!$C$5,IF(AK12="Married Filing Jointly",'CONSTANTS &amp; REFERENCES'!$H$5,IF(AK12="Head of Household",'CONSTANTS &amp; REFERENCES'!$M$5,""))),_xlfn.FLOOR.MATH(AO12,IF(AK12="Married Filing Separately",Bracket_Round_MFS,Bracket_Round_Standard))))</f>
        <v>41950</v>
      </c>
      <c r="AQ12" s="24">
        <f>IF(A12="","",(IF(OR(AK12="Single",AK12="Married Filing Separately"),'CONSTANTS &amp; REFERENCES'!$C$6,IF(AK12="Married Filing Jointly",'CONSTANTS &amp; REFERENCES'!$H$6,IF(AK12="Head of Household",'CONSTANTS &amp; REFERENCES'!$M$6,""))))*AL12)</f>
        <v>170652.97364244462</v>
      </c>
      <c r="AR12" s="21">
        <f>IF(AQ12="","",IF(A12=0,IF(OR(AK12="Single",AK12="Married Filing Separately"),'CONSTANTS &amp; REFERENCES'!$C$6,IF(AK12="Married Filing Jointly",'CONSTANTS &amp; REFERENCES'!$H$6,IF(AK12="Head of Household",'CONSTANTS &amp; REFERENCES'!$M$6,""))),_xlfn.FLOOR.MATH(AQ12,IF(AK12="Married Filing Separately",Bracket_Round_MFS,Bracket_Round_Standard))))</f>
        <v>170650</v>
      </c>
      <c r="AS12" s="24">
        <f>IF(A12="","",(IF(OR(AK12="Single",AK12="Married Filing Separately"),'CONSTANTS &amp; REFERENCES'!$C$7,IF(AK12="Married Filing Jointly",'CONSTANTS &amp; REFERENCES'!$H$7,IF(AK12="Head of Household",'CONSTANTS &amp; REFERENCES'!$M$7,""))))*AL12)</f>
        <v>357897.20861123805</v>
      </c>
      <c r="AT12" s="21">
        <f>IF(AS12="","",IF(A12=0,IF(OR(AK12="Single",AK12="Married Filing Separately"),'CONSTANTS &amp; REFERENCES'!$C$7,IF(AK12="Married Filing Jointly",'CONSTANTS &amp; REFERENCES'!$H$7,IF(AK12="Head of Household",'CONSTANTS &amp; REFERENCES'!$M$7,""))),_xlfn.FLOOR.MATH(AS12,IF(AK12="Married Filing Separately",Bracket_Round_MFS,Bracket_Round_Standard))))</f>
        <v>357850</v>
      </c>
      <c r="AU12" s="24">
        <f>IF(A12="","",(IF(OR(AK12="Single",AK12="Married Filing Separately"),'CONSTANTS &amp; REFERENCES'!$C$8,IF(AK12="Married Filing Jointly",'CONSTANTS &amp; REFERENCES'!$H$8,IF(AK12="Head of Household",'CONSTANTS &amp; REFERENCES'!$M$8,""))))*AL12)</f>
        <v>683204.43961714813</v>
      </c>
      <c r="AV12" s="21">
        <f>IF(AU12="","",IF(A12=0,IF(OR(AK12="Single",AK12="Married Filing Separately"),'CONSTANTS &amp; REFERENCES'!$C$8,IF(AK12="Married Filing Jointly",'CONSTANTS &amp; REFERENCES'!$H$8,IF(AK12="Head of Household",'CONSTANTS &amp; REFERENCES'!$M$8,""))),_xlfn.FLOOR.MATH(AU12,IF(AK12="Married Filing Separately",Bracket_Round_MFS,Bracket_Round_Standard))))</f>
        <v>683200</v>
      </c>
      <c r="AW12" s="24">
        <f>IF(A12="","",(IF(OR(AK12="Single",AK12="Married Filing Separately"),'CONSTANTS &amp; REFERENCES'!$C$9,IF(AK12="Married Filing Jointly",'CONSTANTS &amp; REFERENCES'!$H$9,IF(AK12="Head of Household",'CONSTANTS &amp; REFERENCES'!$M$9,""))))*AL12)</f>
        <v>867570.59864157485</v>
      </c>
      <c r="AX12" s="21">
        <f>IF(AW12="","",IF(A12=0,IF(OR(AK12="Single",AK12="Married Filing Separately"),'CONSTANTS &amp; REFERENCES'!$C$9,IF(AK12="Married Filing Jointly",'CONSTANTS &amp; REFERENCES'!$H$9,IF(AK12="Head of Household",'CONSTANTS &amp; REFERENCES'!$M$9,""))),_xlfn.FLOOR.MATH(AW12,IF(AK12="Married Filing Separately",Bracket_Round_MFS,Bracket_Round_Standard))))</f>
        <v>867550</v>
      </c>
      <c r="AY12" s="24">
        <f>IF(A12="","",(IF(OR(AK12="Single",AK12="Married Filing Separately"),'CONSTANTS &amp; REFERENCES'!$C$10,IF(AK12="Married Filing Jointly",'CONSTANTS &amp; REFERENCES'!$H$10,IF(AK12="Head of Household",'CONSTANTS &amp; REFERENCES'!$M$10,""))))*AL12)</f>
        <v>1301228.9240236403</v>
      </c>
      <c r="AZ12" s="21">
        <f>IF(AY12="","",IF(A12=0,IF(OR(AK12="Single",AK12="Married Filing Separately"),'CONSTANTS &amp; REFERENCES'!$C$10,IF(AK12="Married Filing Jointly",'CONSTANTS &amp; REFERENCES'!$H$10,IF(AK12="Head of Household",'CONSTANTS &amp; REFERENCES'!$M$10,""))),_xlfn.FLOOR.MATH(AY12,IF(AK12="Married Filing Separately",Bracket_Round_MFS,Bracket_Round_Standard))))</f>
        <v>1301200</v>
      </c>
      <c r="BA12" s="7" t="str">
        <f t="shared" si="8"/>
        <v>Illustrative future tax assumptions under simplified C-CPI-U indexing; not an IRS forecast.</v>
      </c>
      <c r="BB12" s="7">
        <f>IF(A12="","",'CONSTANTS &amp; REFERENCES'!$C$22*AL12)</f>
        <v>312355.88925626024</v>
      </c>
      <c r="BC12" s="21">
        <f t="shared" si="19"/>
        <v>312300</v>
      </c>
    </row>
    <row r="13" spans="1:55" ht="18" customHeight="1" x14ac:dyDescent="0.3">
      <c r="A13" s="10">
        <f>IF(A12&lt;INPUTS!$C$7-INPUTS!$C$6,A12+1,"")</f>
        <v>11</v>
      </c>
      <c r="B13" s="10">
        <f>IF(A13="","",INPUTS!$C$6+A13)</f>
        <v>33</v>
      </c>
      <c r="C13" s="11">
        <f t="shared" si="9"/>
        <v>190936.54905957507</v>
      </c>
      <c r="D13" s="11">
        <f>IF(A13="","",IF(A13&lt;INPUTS!$C$13,0,J13))</f>
        <v>14000</v>
      </c>
      <c r="E13" s="12" t="str">
        <f>IF(A13="","",IF(D13=0,"—",IF(Y13&lt;IF(AK13="Married Filing Jointly",'CONSTANTS &amp; REFERENCES'!$B$44,IF(AK13="Married Filing Separately",'CONSTANTS &amp; REFERENCES'!$B$45,'CONSTANTS &amp; REFERENCES'!$B$43)),"Direct","Backdoor")))</f>
        <v>Direct</v>
      </c>
      <c r="F13" s="13">
        <f t="shared" si="0"/>
        <v>14237.239187515695</v>
      </c>
      <c r="G13" s="14">
        <f t="shared" si="1"/>
        <v>14000</v>
      </c>
      <c r="H13" s="13">
        <f t="shared" si="2"/>
        <v>2088.1284141689689</v>
      </c>
      <c r="I13" s="14">
        <f t="shared" si="3"/>
        <v>2000</v>
      </c>
      <c r="J13" s="14">
        <f t="shared" si="4"/>
        <v>14000</v>
      </c>
      <c r="K13" s="11">
        <f>IF(A13="","",IF(INPUTS!$C$12="Beginning",(C13+D13)*INPUTS!$C$10,C13*INPUTS!$C$10))</f>
        <v>20493.654905957508</v>
      </c>
      <c r="L13" s="11">
        <f>IF(A13="","",IF(INPUTS!$C$12="Beginning",(C13+D13)*(1+INPUTS!$C$10),C13*(1+INPUTS!$C$10)+D13))</f>
        <v>225430.20396553259</v>
      </c>
      <c r="M13" s="15">
        <f>IF(A13="","",(1+INPUTS!$C$11)^A13)</f>
        <v>1.8982985583354262</v>
      </c>
      <c r="N13" s="11">
        <f t="shared" si="10"/>
        <v>118753.8192955312</v>
      </c>
      <c r="O13" s="11">
        <f t="shared" si="11"/>
        <v>123000</v>
      </c>
      <c r="P13" s="11">
        <f>IF(A13="","",L13-INPUTS!$C$8-O13)</f>
        <v>102430.20396553259</v>
      </c>
      <c r="Q13" s="16"/>
      <c r="R13" s="16"/>
      <c r="S13" s="16">
        <f t="shared" si="12"/>
        <v>33</v>
      </c>
      <c r="T13" s="18">
        <f t="shared" si="13"/>
        <v>225430.20396553259</v>
      </c>
      <c r="U13" s="18">
        <f t="shared" si="14"/>
        <v>118753.8192955312</v>
      </c>
      <c r="V13" s="19">
        <f>IF(A13="","",FV(INPUTS!$C$10,INPUTS!$C$7-INPUTS!$C$6-A13+IF(INPUTS!$C$12="Beginning",1,0),0,-D13,0))</f>
        <v>325152.16187843005</v>
      </c>
      <c r="W13" s="7"/>
      <c r="X13" s="7"/>
      <c r="Y13" s="21">
        <f>IF(A13="","",IF(INPUTS!$C$17="Yes",MIN(Y12*(1+INPUTS!$C$15)+IF(INPUTS!$C$27="Yes",(Z13-Z12)*INPUTS!$C$31+IF(AND(INPUTS!$C$28="Not yet credentialed",A13=INPUTS!$C$33),INPUTS!$C$32,0)+IF(AND(INPUTS!$C$28&lt;&gt;"FSA / FCAS",A13=INPUTS!$C$35),INPUTS!$C$34,0),0),INPUTS!$C$18),Y12*(1+INPUTS!$C$15)+IF(INPUTS!$C$27="Yes",(Z13-Z12)*INPUTS!$C$31+IF(AND(INPUTS!$C$28="Not yet credentialed",A13=INPUTS!$C$33),INPUTS!$C$32,0)+IF(AND(INPUTS!$C$28&lt;&gt;"FSA / FCAS",A13=INPUTS!$C$35),INPUTS!$C$34,0),0)))</f>
        <v>126921.47932955243</v>
      </c>
      <c r="Z13" s="22">
        <f>IF(A13="","",IF(AND(INPUTS!$C$27="Yes",INPUTS!$C$28&lt;&gt;"FSA / FCAS",ISNUMBER(INPUTS!$C$37)),MIN(A13*INPUTS!$C$37,INPUTS!$C$30),0))</f>
        <v>3</v>
      </c>
      <c r="AA13" s="21">
        <f t="shared" si="5"/>
        <v>57450</v>
      </c>
      <c r="AB13" s="21">
        <f t="shared" si="6"/>
        <v>69471.479329552429</v>
      </c>
      <c r="AC13" s="21">
        <f>IF(A13="","",MIN(AB13,AP13)*'CONSTANTS &amp; REFERENCES'!$A$5+MAX(MIN(AB13,AR13)-AP13,0)*'CONSTANTS &amp; REFERENCES'!$A$6+MAX(MIN(AB13,AT13)-AR13,0)*'CONSTANTS &amp; REFERENCES'!$A$7+MAX(MIN(AB13,AV13)-AT13,0)*'CONSTANTS &amp; REFERENCES'!$A$8+MAX(MIN(AB13,AX13)-AV13,0)*'CONSTANTS &amp; REFERENCES'!$A$9+MAX(MIN(AB13,AZ13)-AX13,0)*'CONSTANTS &amp; REFERENCES'!$A$10+MAX(AB13-AZ13,0)*'CONSTANTS &amp; REFERENCES'!$A$11)</f>
        <v>7451.5775195462911</v>
      </c>
      <c r="AD13" s="21">
        <f>IF(AB13="","",IF(INPUTS!$C$20="Yes",AB13*INPUTS!$C$21,0))</f>
        <v>0</v>
      </c>
      <c r="AE13" s="21">
        <f>IF(Y13="","",MIN(Y13,BC13)*'CONSTANTS &amp; REFERENCES'!$B$22)</f>
        <v>7869.1317184322506</v>
      </c>
      <c r="AF13" s="21">
        <f>IF(Y13="","",Y13*'CONSTANTS &amp; REFERENCES'!$B$24+MAX(0,Y13-IF(AK13="Married Filing Jointly",'CONSTANTS &amp; REFERENCES'!$C$26,IF(AK13="Married Filing Separately",'CONSTANTS &amp; REFERENCES'!$C$27,IF(AK13="Head of Household",'CONSTANTS &amp; REFERENCES'!$C$28,'CONSTANTS &amp; REFERENCES'!$C$25))))*'CONSTANTS &amp; REFERENCES'!$B$25)</f>
        <v>1840.3614502785103</v>
      </c>
      <c r="AG13" s="21">
        <f t="shared" si="15"/>
        <v>9709.4931687107601</v>
      </c>
      <c r="AH13" s="21">
        <f t="shared" si="16"/>
        <v>17161.070688257052</v>
      </c>
      <c r="AI13" s="21">
        <f t="shared" si="17"/>
        <v>109760.40864129538</v>
      </c>
      <c r="AJ13" s="21">
        <f t="shared" si="18"/>
        <v>0</v>
      </c>
      <c r="AK13" s="7" t="str">
        <f>IF(A13="","",IF(AND(INPUTS!$C$43="Yes",A13&gt;=INPUTS!$C$45),INPUTS!$C$44,INPUTS!$C$19))</f>
        <v>Married Filing Jointly</v>
      </c>
      <c r="AL13" s="23">
        <f t="shared" si="7"/>
        <v>1.7845086646582857</v>
      </c>
      <c r="AM13" s="24">
        <f>IF(A13="","",(IF(OR(AK13="Single",AK13="Married Filing Separately"),'CONSTANTS &amp; REFERENCES'!$B$13,IF(AK13="Married Filing Jointly",'CONSTANTS &amp; REFERENCES'!$G$13,IF(AK13="Head of Household",'CONSTANTS &amp; REFERENCES'!$L$13,""))))*AL13)</f>
        <v>57461.179001996803</v>
      </c>
      <c r="AN13" s="21">
        <f>IF(AM13="","",IF(A13=0,IF(OR(AK13="Single",AK13="Married Filing Separately"),'CONSTANTS &amp; REFERENCES'!$B$13,IF(AK13="Married Filing Jointly",'CONSTANTS &amp; REFERENCES'!$G$13,IF(AK13="Head of Household",'CONSTANTS &amp; REFERENCES'!$L$13,""))),_xlfn.FLOOR.MATH(AM13,IF(AK13="Married Filing Separately",Bracket_Round_MFS,Bracket_Round_Standard))))</f>
        <v>57450</v>
      </c>
      <c r="AO13" s="24">
        <f>IF(A13="","",(IF(OR(AK13="Single",AK13="Married Filing Separately"),'CONSTANTS &amp; REFERENCES'!$C$5,IF(AK13="Married Filing Jointly",'CONSTANTS &amp; REFERENCES'!$H$5,IF(AK13="Head of Household",'CONSTANTS &amp; REFERENCES'!$M$5,""))))*AL13)</f>
        <v>44255.814883525483</v>
      </c>
      <c r="AP13" s="21">
        <f>IF(AO13="","",IF(A13=0,IF(OR(AK13="Single",AK13="Married Filing Separately"),'CONSTANTS &amp; REFERENCES'!$C$5,IF(AK13="Married Filing Jointly",'CONSTANTS &amp; REFERENCES'!$H$5,IF(AK13="Head of Household",'CONSTANTS &amp; REFERENCES'!$M$5,""))),_xlfn.FLOOR.MATH(AO13,IF(AK13="Married Filing Separately",Bracket_Round_MFS,Bracket_Round_Standard))))</f>
        <v>44250</v>
      </c>
      <c r="AQ13" s="24">
        <f>IF(A13="","",(IF(OR(AK13="Single",AK13="Married Filing Separately"),'CONSTANTS &amp; REFERENCES'!$C$6,IF(AK13="Married Filing Jointly",'CONSTANTS &amp; REFERENCES'!$H$6,IF(AK13="Head of Household",'CONSTANTS &amp; REFERENCES'!$M$6,""))))*AL13)</f>
        <v>179878.47339755521</v>
      </c>
      <c r="AR13" s="21">
        <f>IF(AQ13="","",IF(A13=0,IF(OR(AK13="Single",AK13="Married Filing Separately"),'CONSTANTS &amp; REFERENCES'!$C$6,IF(AK13="Married Filing Jointly",'CONSTANTS &amp; REFERENCES'!$H$6,IF(AK13="Head of Household",'CONSTANTS &amp; REFERENCES'!$M$6,""))),_xlfn.FLOOR.MATH(AQ13,IF(AK13="Married Filing Separately",Bracket_Round_MFS,Bracket_Round_Standard))))</f>
        <v>179850</v>
      </c>
      <c r="AS13" s="24">
        <f>IF(A13="","",(IF(OR(AK13="Single",AK13="Married Filing Separately"),'CONSTANTS &amp; REFERENCES'!$C$7,IF(AK13="Married Filing Jointly",'CONSTANTS &amp; REFERENCES'!$H$7,IF(AK13="Head of Household",'CONSTANTS &amp; REFERENCES'!$M$7,""))))*AL13)</f>
        <v>377245.13170876162</v>
      </c>
      <c r="AT13" s="21">
        <f>IF(AS13="","",IF(A13=0,IF(OR(AK13="Single",AK13="Married Filing Separately"),'CONSTANTS &amp; REFERENCES'!$C$7,IF(AK13="Married Filing Jointly",'CONSTANTS &amp; REFERENCES'!$H$7,IF(AK13="Head of Household",'CONSTANTS &amp; REFERENCES'!$M$7,""))),_xlfn.FLOOR.MATH(AS13,IF(AK13="Married Filing Separately",Bracket_Round_MFS,Bracket_Round_Standard))))</f>
        <v>377200</v>
      </c>
      <c r="AU13" s="24">
        <f>IF(A13="","",(IF(OR(AK13="Single",AK13="Married Filing Separately"),'CONSTANTS &amp; REFERENCES'!$C$8,IF(AK13="Married Filing Jointly",'CONSTANTS &amp; REFERENCES'!$H$8,IF(AK13="Head of Household",'CONSTANTS &amp; REFERENCES'!$M$8,""))))*AL13)</f>
        <v>720138.47162285121</v>
      </c>
      <c r="AV13" s="21">
        <f>IF(AU13="","",IF(A13=0,IF(OR(AK13="Single",AK13="Married Filing Separately"),'CONSTANTS &amp; REFERENCES'!$C$8,IF(AK13="Married Filing Jointly",'CONSTANTS &amp; REFERENCES'!$H$8,IF(AK13="Head of Household",'CONSTANTS &amp; REFERENCES'!$M$8,""))),_xlfn.FLOOR.MATH(AU13,IF(AK13="Married Filing Separately",Bracket_Round_MFS,Bracket_Round_Standard))))</f>
        <v>720100</v>
      </c>
      <c r="AW13" s="24">
        <f>IF(A13="","",(IF(OR(AK13="Single",AK13="Married Filing Separately"),'CONSTANTS &amp; REFERENCES'!$C$9,IF(AK13="Married Filing Jointly",'CONSTANTS &amp; REFERENCES'!$H$9,IF(AK13="Head of Household",'CONSTANTS &amp; REFERENCES'!$M$9,""))))*AL13)</f>
        <v>914471.46520413854</v>
      </c>
      <c r="AX13" s="21">
        <f>IF(AW13="","",IF(A13=0,IF(OR(AK13="Single",AK13="Married Filing Separately"),'CONSTANTS &amp; REFERENCES'!$C$9,IF(AK13="Married Filing Jointly",'CONSTANTS &amp; REFERENCES'!$H$9,IF(AK13="Head of Household",'CONSTANTS &amp; REFERENCES'!$M$9,""))),_xlfn.FLOOR.MATH(AW13,IF(AK13="Married Filing Separately",Bracket_Round_MFS,Bracket_Round_Standard))))</f>
        <v>914450</v>
      </c>
      <c r="AY13" s="24">
        <f>IF(A13="","",(IF(OR(AK13="Single",AK13="Married Filing Separately"),'CONSTANTS &amp; REFERENCES'!$C$10,IF(AK13="Married Filing Jointly",'CONSTANTS &amp; REFERENCES'!$H$10,IF(AK13="Head of Household",'CONSTANTS &amp; REFERENCES'!$M$10,""))))*AL13)</f>
        <v>1371573.3596563584</v>
      </c>
      <c r="AZ13" s="21">
        <f>IF(AY13="","",IF(A13=0,IF(OR(AK13="Single",AK13="Married Filing Separately"),'CONSTANTS &amp; REFERENCES'!$C$10,IF(AK13="Married Filing Jointly",'CONSTANTS &amp; REFERENCES'!$H$10,IF(AK13="Head of Household",'CONSTANTS &amp; REFERENCES'!$M$10,""))),_xlfn.FLOOR.MATH(AY13,IF(AK13="Married Filing Separately",Bracket_Round_MFS,Bracket_Round_Standard))))</f>
        <v>1371550</v>
      </c>
      <c r="BA13" s="7" t="str">
        <f t="shared" si="8"/>
        <v>Illustrative future tax assumptions under simplified C-CPI-U indexing; not an IRS forecast.</v>
      </c>
      <c r="BB13" s="7">
        <f>IF(A13="","",'CONSTANTS &amp; REFERENCES'!$C$22*AL13)</f>
        <v>329241.84862945374</v>
      </c>
      <c r="BC13" s="21">
        <f t="shared" si="19"/>
        <v>329200</v>
      </c>
    </row>
    <row r="14" spans="1:55" ht="18" customHeight="1" x14ac:dyDescent="0.3">
      <c r="A14" s="10">
        <f>IF(A13&lt;INPUTS!$C$7-INPUTS!$C$6,A13+1,"")</f>
        <v>12</v>
      </c>
      <c r="B14" s="10">
        <f>IF(A14="","",INPUTS!$C$6+A14)</f>
        <v>34</v>
      </c>
      <c r="C14" s="11">
        <f t="shared" si="9"/>
        <v>225430.20396553259</v>
      </c>
      <c r="D14" s="11">
        <f>IF(A14="","",IF(A14&lt;INPUTS!$C$13,0,J14))</f>
        <v>15000</v>
      </c>
      <c r="E14" s="12" t="str">
        <f>IF(A14="","",IF(D14=0,"—",IF(Y14&lt;IF(AK14="Married Filing Jointly",'CONSTANTS &amp; REFERENCES'!$B$44,IF(AK14="Married Filing Separately",'CONSTANTS &amp; REFERENCES'!$B$45,'CONSTANTS &amp; REFERENCES'!$B$43)),"Direct","Backdoor")))</f>
        <v>Direct</v>
      </c>
      <c r="F14" s="13">
        <f t="shared" si="0"/>
        <v>15091.473538766639</v>
      </c>
      <c r="G14" s="14">
        <f t="shared" si="1"/>
        <v>15000</v>
      </c>
      <c r="H14" s="13">
        <f t="shared" si="2"/>
        <v>2213.4161190191071</v>
      </c>
      <c r="I14" s="14">
        <f t="shared" si="3"/>
        <v>2200</v>
      </c>
      <c r="J14" s="14">
        <f t="shared" si="4"/>
        <v>15000</v>
      </c>
      <c r="K14" s="11">
        <f>IF(A14="","",IF(INPUTS!$C$12="Beginning",(C14+D14)*INPUTS!$C$10,C14*INPUTS!$C$10))</f>
        <v>24043.02039655326</v>
      </c>
      <c r="L14" s="11">
        <f>IF(A14="","",IF(INPUTS!$C$12="Beginning",(C14+D14)*(1+INPUTS!$C$10),C14*(1+INPUTS!$C$10)+D14))</f>
        <v>264473.22436208586</v>
      </c>
      <c r="M14" s="15">
        <f>IF(A14="","",(1+INPUTS!$C$11)^A14)</f>
        <v>2.0121964718355518</v>
      </c>
      <c r="N14" s="11">
        <f t="shared" si="10"/>
        <v>131435.08999438307</v>
      </c>
      <c r="O14" s="11">
        <f t="shared" si="11"/>
        <v>138000</v>
      </c>
      <c r="P14" s="11">
        <f>IF(A14="","",L14-INPUTS!$C$8-O14)</f>
        <v>126473.22436208586</v>
      </c>
      <c r="Q14" s="16"/>
      <c r="R14" s="16"/>
      <c r="S14" s="16">
        <f t="shared" si="12"/>
        <v>34</v>
      </c>
      <c r="T14" s="18">
        <f t="shared" si="13"/>
        <v>264473.22436208586</v>
      </c>
      <c r="U14" s="18">
        <f t="shared" si="14"/>
        <v>131435.08999438307</v>
      </c>
      <c r="V14" s="19">
        <f>IF(A14="","",FV(INPUTS!$C$10,INPUTS!$C$7-INPUTS!$C$6-A14+IF(INPUTS!$C$12="Beginning",1,0),0,-D14,0))</f>
        <v>316706.65118028899</v>
      </c>
      <c r="W14" s="7"/>
      <c r="X14" s="7"/>
      <c r="Y14" s="21">
        <f>IF(A14="","",IF(INPUTS!$C$17="Yes",MIN(Y13*(1+INPUTS!$C$15)+IF(INPUTS!$C$27="Yes",(Z14-Z13)*INPUTS!$C$31+IF(AND(INPUTS!$C$28="Not yet credentialed",A14=INPUTS!$C$33),INPUTS!$C$32,0)+IF(AND(INPUTS!$C$28&lt;&gt;"FSA / FCAS",A14=INPUTS!$C$35),INPUTS!$C$34,0),0),INPUTS!$C$18),Y13*(1+INPUTS!$C$15)+IF(INPUTS!$C$27="Yes",(Z14-Z13)*INPUTS!$C$31+IF(AND(INPUTS!$C$28="Not yet credentialed",A14=INPUTS!$C$33),INPUTS!$C$32,0)+IF(AND(INPUTS!$C$28&lt;&gt;"FSA / FCAS",A14=INPUTS!$C$35),INPUTS!$C$34,0),0)))</f>
        <v>130729.12370943901</v>
      </c>
      <c r="Z14" s="22">
        <f>IF(A14="","",IF(AND(INPUTS!$C$27="Yes",INPUTS!$C$28&lt;&gt;"FSA / FCAS",ISNUMBER(INPUTS!$C$37)),MIN(A14*INPUTS!$C$37,INPUTS!$C$30),0))</f>
        <v>3</v>
      </c>
      <c r="AA14" s="21">
        <f t="shared" si="5"/>
        <v>60550</v>
      </c>
      <c r="AB14" s="21">
        <f t="shared" si="6"/>
        <v>70179.123709439009</v>
      </c>
      <c r="AC14" s="21">
        <f>IF(A14="","",MIN(AB14,AP14)*'CONSTANTS &amp; REFERENCES'!$A$5+MAX(MIN(AB14,AR14)-AP14,0)*'CONSTANTS &amp; REFERENCES'!$A$6+MAX(MIN(AB14,AT14)-AR14,0)*'CONSTANTS &amp; REFERENCES'!$A$7+MAX(MIN(AB14,AV14)-AT14,0)*'CONSTANTS &amp; REFERENCES'!$A$8+MAX(MIN(AB14,AX14)-AV14,0)*'CONSTANTS &amp; REFERENCES'!$A$9+MAX(MIN(AB14,AZ14)-AX14,0)*'CONSTANTS &amp; REFERENCES'!$A$10+MAX(AB14-AZ14,0)*'CONSTANTS &amp; REFERENCES'!$A$11)</f>
        <v>7489.4948451326809</v>
      </c>
      <c r="AD14" s="21">
        <f>IF(AB14="","",IF(INPUTS!$C$20="Yes",AB14*INPUTS!$C$21,0))</f>
        <v>0</v>
      </c>
      <c r="AE14" s="21">
        <f>IF(Y14="","",MIN(Y14,BC14)*'CONSTANTS &amp; REFERENCES'!$B$22)</f>
        <v>8105.2056699852183</v>
      </c>
      <c r="AF14" s="21">
        <f>IF(Y14="","",Y14*'CONSTANTS &amp; REFERENCES'!$B$24+MAX(0,Y14-IF(AK14="Married Filing Jointly",'CONSTANTS &amp; REFERENCES'!$C$26,IF(AK14="Married Filing Separately",'CONSTANTS &amp; REFERENCES'!$C$27,IF(AK14="Head of Household",'CONSTANTS &amp; REFERENCES'!$C$28,'CONSTANTS &amp; REFERENCES'!$C$25))))*'CONSTANTS &amp; REFERENCES'!$B$25)</f>
        <v>1895.5722937868657</v>
      </c>
      <c r="AG14" s="21">
        <f t="shared" si="15"/>
        <v>10000.777963772083</v>
      </c>
      <c r="AH14" s="21">
        <f t="shared" si="16"/>
        <v>17490.272808904763</v>
      </c>
      <c r="AI14" s="21">
        <f t="shared" si="17"/>
        <v>113238.85090053425</v>
      </c>
      <c r="AJ14" s="21">
        <f t="shared" si="18"/>
        <v>0</v>
      </c>
      <c r="AK14" s="7" t="str">
        <f>IF(A14="","",IF(AND(INPUTS!$C$43="Yes",A14&gt;=INPUTS!$C$45),INPUTS!$C$44,INPUTS!$C$19))</f>
        <v>Married Filing Jointly</v>
      </c>
      <c r="AL14" s="23">
        <f t="shared" si="7"/>
        <v>1.8809792030697126</v>
      </c>
      <c r="AM14" s="24">
        <f>IF(A14="","",(IF(OR(AK14="Single",AK14="Married Filing Separately"),'CONSTANTS &amp; REFERENCES'!$B$13,IF(AK14="Married Filing Jointly",'CONSTANTS &amp; REFERENCES'!$G$13,IF(AK14="Head of Household",'CONSTANTS &amp; REFERENCES'!$L$13,""))))*AL14)</f>
        <v>60567.530338844743</v>
      </c>
      <c r="AN14" s="21">
        <f>IF(AM14="","",IF(A14=0,IF(OR(AK14="Single",AK14="Married Filing Separately"),'CONSTANTS &amp; REFERENCES'!$B$13,IF(AK14="Married Filing Jointly",'CONSTANTS &amp; REFERENCES'!$G$13,IF(AK14="Head of Household",'CONSTANTS &amp; REFERENCES'!$L$13,""))),_xlfn.FLOOR.MATH(AM14,IF(AK14="Married Filing Separately",Bracket_Round_MFS,Bracket_Round_Standard))))</f>
        <v>60550</v>
      </c>
      <c r="AO14" s="24">
        <f>IF(A14="","",(IF(OR(AK14="Single",AK14="Married Filing Separately"),'CONSTANTS &amp; REFERENCES'!$C$5,IF(AK14="Married Filing Jointly",'CONSTANTS &amp; REFERENCES'!$H$5,IF(AK14="Head of Household",'CONSTANTS &amp; REFERENCES'!$M$5,""))))*AL14)</f>
        <v>46648.284236128871</v>
      </c>
      <c r="AP14" s="21">
        <f>IF(AO14="","",IF(A14=0,IF(OR(AK14="Single",AK14="Married Filing Separately"),'CONSTANTS &amp; REFERENCES'!$C$5,IF(AK14="Married Filing Jointly",'CONSTANTS &amp; REFERENCES'!$H$5,IF(AK14="Head of Household",'CONSTANTS &amp; REFERENCES'!$M$5,""))),_xlfn.FLOOR.MATH(AO14,IF(AK14="Married Filing Separately",Bracket_Round_MFS,Bracket_Round_Standard))))</f>
        <v>46600</v>
      </c>
      <c r="AQ14" s="24">
        <f>IF(A14="","",(IF(OR(AK14="Single",AK14="Married Filing Separately"),'CONSTANTS &amp; REFERENCES'!$C$6,IF(AK14="Married Filing Jointly",'CONSTANTS &amp; REFERENCES'!$H$6,IF(AK14="Head of Household",'CONSTANTS &amp; REFERENCES'!$M$6,""))))*AL14)</f>
        <v>189602.70366942702</v>
      </c>
      <c r="AR14" s="21">
        <f>IF(AQ14="","",IF(A14=0,IF(OR(AK14="Single",AK14="Married Filing Separately"),'CONSTANTS &amp; REFERENCES'!$C$6,IF(AK14="Married Filing Jointly",'CONSTANTS &amp; REFERENCES'!$H$6,IF(AK14="Head of Household",'CONSTANTS &amp; REFERENCES'!$M$6,""))),_xlfn.FLOOR.MATH(AQ14,IF(AK14="Married Filing Separately",Bracket_Round_MFS,Bracket_Round_Standard))))</f>
        <v>189600</v>
      </c>
      <c r="AS14" s="24">
        <f>IF(A14="","",(IF(OR(AK14="Single",AK14="Married Filing Separately"),'CONSTANTS &amp; REFERENCES'!$C$7,IF(AK14="Married Filing Jointly",'CONSTANTS &amp; REFERENCES'!$H$7,IF(AK14="Head of Household",'CONSTANTS &amp; REFERENCES'!$M$7,""))))*AL14)</f>
        <v>397639.00352893723</v>
      </c>
      <c r="AT14" s="21">
        <f>IF(AS14="","",IF(A14=0,IF(OR(AK14="Single",AK14="Married Filing Separately"),'CONSTANTS &amp; REFERENCES'!$C$7,IF(AK14="Married Filing Jointly",'CONSTANTS &amp; REFERENCES'!$H$7,IF(AK14="Head of Household",'CONSTANTS &amp; REFERENCES'!$M$7,""))),_xlfn.FLOOR.MATH(AS14,IF(AK14="Married Filing Separately",Bracket_Round_MFS,Bracket_Round_Standard))))</f>
        <v>397600</v>
      </c>
      <c r="AU14" s="24">
        <f>IF(A14="","",(IF(OR(AK14="Single",AK14="Married Filing Separately"),'CONSTANTS &amp; REFERENCES'!$C$8,IF(AK14="Married Filing Jointly",'CONSTANTS &amp; REFERENCES'!$H$8,IF(AK14="Head of Household",'CONSTANTS &amp; REFERENCES'!$M$8,""))))*AL14)</f>
        <v>759069.15739878255</v>
      </c>
      <c r="AV14" s="21">
        <f>IF(AU14="","",IF(A14=0,IF(OR(AK14="Single",AK14="Married Filing Separately"),'CONSTANTS &amp; REFERENCES'!$C$8,IF(AK14="Married Filing Jointly",'CONSTANTS &amp; REFERENCES'!$H$8,IF(AK14="Head of Household",'CONSTANTS &amp; REFERENCES'!$M$8,""))),_xlfn.FLOOR.MATH(AU14,IF(AK14="Married Filing Separately",Bracket_Round_MFS,Bracket_Round_Standard))))</f>
        <v>759050</v>
      </c>
      <c r="AW14" s="24">
        <f>IF(A14="","",(IF(OR(AK14="Single",AK14="Married Filing Separately"),'CONSTANTS &amp; REFERENCES'!$C$9,IF(AK14="Married Filing Jointly",'CONSTANTS &amp; REFERENCES'!$H$9,IF(AK14="Head of Household",'CONSTANTS &amp; REFERENCES'!$M$9,""))))*AL14)</f>
        <v>963907.79261307418</v>
      </c>
      <c r="AX14" s="21">
        <f>IF(AW14="","",IF(A14=0,IF(OR(AK14="Single",AK14="Married Filing Separately"),'CONSTANTS &amp; REFERENCES'!$C$9,IF(AK14="Married Filing Jointly",'CONSTANTS &amp; REFERENCES'!$H$9,IF(AK14="Head of Household",'CONSTANTS &amp; REFERENCES'!$M$9,""))),_xlfn.FLOOR.MATH(AW14,IF(AK14="Married Filing Separately",Bracket_Round_MFS,Bracket_Round_Standard))))</f>
        <v>963900</v>
      </c>
      <c r="AY14" s="24">
        <f>IF(A14="","",(IF(OR(AK14="Single",AK14="Married Filing Separately"),'CONSTANTS &amp; REFERENCES'!$C$10,IF(AK14="Married Filing Jointly",'CONSTANTS &amp; REFERENCES'!$H$10,IF(AK14="Head of Household",'CONSTANTS &amp; REFERENCES'!$M$10,""))))*AL14)</f>
        <v>1445720.6154793811</v>
      </c>
      <c r="AZ14" s="21">
        <f>IF(AY14="","",IF(A14=0,IF(OR(AK14="Single",AK14="Married Filing Separately"),'CONSTANTS &amp; REFERENCES'!$C$10,IF(AK14="Married Filing Jointly",'CONSTANTS &amp; REFERENCES'!$H$10,IF(AK14="Head of Household",'CONSTANTS &amp; REFERENCES'!$M$10,""))),_xlfn.FLOOR.MATH(AY14,IF(AK14="Married Filing Separately",Bracket_Round_MFS,Bracket_Round_Standard))))</f>
        <v>1445700</v>
      </c>
      <c r="BA14" s="7" t="str">
        <f t="shared" si="8"/>
        <v>Illustrative future tax assumptions under simplified C-CPI-U indexing; not an IRS forecast.</v>
      </c>
      <c r="BB14" s="7">
        <f>IF(A14="","",'CONSTANTS &amp; REFERENCES'!$C$22*AL14)</f>
        <v>347040.66296636197</v>
      </c>
      <c r="BC14" s="21">
        <f t="shared" si="19"/>
        <v>347000</v>
      </c>
    </row>
    <row r="15" spans="1:55" ht="18" customHeight="1" x14ac:dyDescent="0.3">
      <c r="A15" s="10">
        <f>IF(A14&lt;INPUTS!$C$7-INPUTS!$C$6,A14+1,"")</f>
        <v>13</v>
      </c>
      <c r="B15" s="10">
        <f>IF(A15="","",INPUTS!$C$6+A15)</f>
        <v>35</v>
      </c>
      <c r="C15" s="11">
        <f t="shared" si="9"/>
        <v>264473.22436208586</v>
      </c>
      <c r="D15" s="11">
        <f>IF(A15="","",IF(A15&lt;INPUTS!$C$13,0,J15))</f>
        <v>15500</v>
      </c>
      <c r="E15" s="12" t="str">
        <f>IF(A15="","",IF(D15=0,"—",IF(Y15&lt;IF(AK15="Married Filing Jointly",'CONSTANTS &amp; REFERENCES'!$B$44,IF(AK15="Married Filing Separately",'CONSTANTS &amp; REFERENCES'!$B$45,'CONSTANTS &amp; REFERENCES'!$B$43)),"Direct","Backdoor")))</f>
        <v>Direct</v>
      </c>
      <c r="F15" s="13">
        <f t="shared" si="0"/>
        <v>15996.961951092639</v>
      </c>
      <c r="G15" s="14">
        <f t="shared" si="1"/>
        <v>15500</v>
      </c>
      <c r="H15" s="13">
        <f t="shared" si="2"/>
        <v>2346.2210861602539</v>
      </c>
      <c r="I15" s="14">
        <f t="shared" si="3"/>
        <v>2300</v>
      </c>
      <c r="J15" s="14">
        <f t="shared" si="4"/>
        <v>15500</v>
      </c>
      <c r="K15" s="11">
        <f>IF(A15="","",IF(INPUTS!$C$12="Beginning",(C15+D15)*INPUTS!$C$10,C15*INPUTS!$C$10))</f>
        <v>27997.322436208589</v>
      </c>
      <c r="L15" s="11">
        <f>IF(A15="","",IF(INPUTS!$C$12="Beginning",(C15+D15)*(1+INPUTS!$C$10),C15*(1+INPUTS!$C$10)+D15))</f>
        <v>307970.54679829447</v>
      </c>
      <c r="M15" s="15">
        <f>IF(A15="","",(1+INPUTS!$C$11)^A15)</f>
        <v>2.1329282601456852</v>
      </c>
      <c r="N15" s="11">
        <f t="shared" si="10"/>
        <v>144388.61004038606</v>
      </c>
      <c r="O15" s="11">
        <f t="shared" si="11"/>
        <v>153500</v>
      </c>
      <c r="P15" s="11">
        <f>IF(A15="","",L15-INPUTS!$C$8-O15)</f>
        <v>154470.54679829447</v>
      </c>
      <c r="Q15" s="16"/>
      <c r="R15" s="16"/>
      <c r="S15" s="16">
        <f t="shared" si="12"/>
        <v>35</v>
      </c>
      <c r="T15" s="18">
        <f t="shared" si="13"/>
        <v>307970.54679829447</v>
      </c>
      <c r="U15" s="18">
        <f t="shared" si="14"/>
        <v>144388.61004038606</v>
      </c>
      <c r="V15" s="19">
        <f>IF(A15="","",FV(INPUTS!$C$10,INPUTS!$C$7-INPUTS!$C$6-A15+IF(INPUTS!$C$12="Beginning",1,0),0,-D15,0))</f>
        <v>297512.3086845139</v>
      </c>
      <c r="W15" s="7"/>
      <c r="X15" s="7"/>
      <c r="Y15" s="21">
        <f>IF(A15="","",IF(INPUTS!$C$17="Yes",MIN(Y14*(1+INPUTS!$C$15)+IF(INPUTS!$C$27="Yes",(Z15-Z14)*INPUTS!$C$31+IF(AND(INPUTS!$C$28="Not yet credentialed",A15=INPUTS!$C$33),INPUTS!$C$32,0)+IF(AND(INPUTS!$C$28&lt;&gt;"FSA / FCAS",A15=INPUTS!$C$35),INPUTS!$C$34,0),0),INPUTS!$C$18),Y14*(1+INPUTS!$C$15)+IF(INPUTS!$C$27="Yes",(Z15-Z14)*INPUTS!$C$31+IF(AND(INPUTS!$C$28="Not yet credentialed",A15=INPUTS!$C$33),INPUTS!$C$32,0)+IF(AND(INPUTS!$C$28&lt;&gt;"FSA / FCAS",A15=INPUTS!$C$35),INPUTS!$C$34,0),0)))</f>
        <v>134650.99742072218</v>
      </c>
      <c r="Z15" s="22">
        <f>IF(A15="","",IF(AND(INPUTS!$C$27="Yes",INPUTS!$C$28&lt;&gt;"FSA / FCAS",ISNUMBER(INPUTS!$C$37)),MIN(A15*INPUTS!$C$37,INPUTS!$C$30),0))</f>
        <v>3</v>
      </c>
      <c r="AA15" s="21">
        <f t="shared" si="5"/>
        <v>63800</v>
      </c>
      <c r="AB15" s="21">
        <f t="shared" si="6"/>
        <v>70850.997420722182</v>
      </c>
      <c r="AC15" s="21">
        <f>IF(A15="","",MIN(AB15,AP15)*'CONSTANTS &amp; REFERENCES'!$A$5+MAX(MIN(AB15,AR15)-AP15,0)*'CONSTANTS &amp; REFERENCES'!$A$6+MAX(MIN(AB15,AT15)-AR15,0)*'CONSTANTS &amp; REFERENCES'!$A$7+MAX(MIN(AB15,AV15)-AT15,0)*'CONSTANTS &amp; REFERENCES'!$A$8+MAX(MIN(AB15,AX15)-AV15,0)*'CONSTANTS &amp; REFERENCES'!$A$9+MAX(MIN(AB15,AZ15)-AX15,0)*'CONSTANTS &amp; REFERENCES'!$A$10+MAX(AB15-AZ15,0)*'CONSTANTS &amp; REFERENCES'!$A$11)</f>
        <v>7519.119690486662</v>
      </c>
      <c r="AD15" s="21">
        <f>IF(AB15="","",IF(INPUTS!$C$20="Yes",AB15*INPUTS!$C$21,0))</f>
        <v>0</v>
      </c>
      <c r="AE15" s="21">
        <f>IF(Y15="","",MIN(Y15,BC15)*'CONSTANTS &amp; REFERENCES'!$B$22)</f>
        <v>8348.3618400847754</v>
      </c>
      <c r="AF15" s="21">
        <f>IF(Y15="","",Y15*'CONSTANTS &amp; REFERENCES'!$B$24+MAX(0,Y15-IF(AK15="Married Filing Jointly",'CONSTANTS &amp; REFERENCES'!$C$26,IF(AK15="Married Filing Separately",'CONSTANTS &amp; REFERENCES'!$C$27,IF(AK15="Head of Household",'CONSTANTS &amp; REFERENCES'!$C$28,'CONSTANTS &amp; REFERENCES'!$C$25))))*'CONSTANTS &amp; REFERENCES'!$B$25)</f>
        <v>1952.4394626004716</v>
      </c>
      <c r="AG15" s="21">
        <f t="shared" si="15"/>
        <v>10300.801302685248</v>
      </c>
      <c r="AH15" s="21">
        <f t="shared" si="16"/>
        <v>17819.920993171909</v>
      </c>
      <c r="AI15" s="21">
        <f t="shared" si="17"/>
        <v>116831.07642755027</v>
      </c>
      <c r="AJ15" s="21">
        <f t="shared" si="18"/>
        <v>0</v>
      </c>
      <c r="AK15" s="7" t="str">
        <f>IF(A15="","",IF(AND(INPUTS!$C$43="Yes",A15&gt;=INPUTS!$C$45),INPUTS!$C$44,INPUTS!$C$19))</f>
        <v>Married Filing Jointly</v>
      </c>
      <c r="AL15" s="23">
        <f t="shared" si="7"/>
        <v>1.9826649387876611</v>
      </c>
      <c r="AM15" s="24">
        <f>IF(A15="","",(IF(OR(AK15="Single",AK15="Married Filing Separately"),'CONSTANTS &amp; REFERENCES'!$B$13,IF(AK15="Married Filing Jointly",'CONSTANTS &amp; REFERENCES'!$G$13,IF(AK15="Head of Household",'CONSTANTS &amp; REFERENCES'!$L$13,""))))*AL15)</f>
        <v>63841.811028962686</v>
      </c>
      <c r="AN15" s="21">
        <f>IF(AM15="","",IF(A15=0,IF(OR(AK15="Single",AK15="Married Filing Separately"),'CONSTANTS &amp; REFERENCES'!$B$13,IF(AK15="Married Filing Jointly",'CONSTANTS &amp; REFERENCES'!$G$13,IF(AK15="Head of Household",'CONSTANTS &amp; REFERENCES'!$L$13,""))),_xlfn.FLOOR.MATH(AM15,IF(AK15="Married Filing Separately",Bracket_Round_MFS,Bracket_Round_Standard))))</f>
        <v>63800</v>
      </c>
      <c r="AO15" s="24">
        <f>IF(A15="","",(IF(OR(AK15="Single",AK15="Married Filing Separately"),'CONSTANTS &amp; REFERENCES'!$C$5,IF(AK15="Married Filing Jointly",'CONSTANTS &amp; REFERENCES'!$H$5,IF(AK15="Head of Household",'CONSTANTS &amp; REFERENCES'!$M$5,""))))*AL15)</f>
        <v>49170.090481933999</v>
      </c>
      <c r="AP15" s="21">
        <f>IF(AO15="","",IF(A15=0,IF(OR(AK15="Single",AK15="Married Filing Separately"),'CONSTANTS &amp; REFERENCES'!$C$5,IF(AK15="Married Filing Jointly",'CONSTANTS &amp; REFERENCES'!$H$5,IF(AK15="Head of Household",'CONSTANTS &amp; REFERENCES'!$M$5,""))),_xlfn.FLOOR.MATH(AO15,IF(AK15="Married Filing Separately",Bracket_Round_MFS,Bracket_Round_Standard))))</f>
        <v>49150</v>
      </c>
      <c r="AQ15" s="24">
        <f>IF(A15="","",(IF(OR(AK15="Single",AK15="Married Filing Separately"),'CONSTANTS &amp; REFERENCES'!$C$6,IF(AK15="Married Filing Jointly",'CONSTANTS &amp; REFERENCES'!$H$6,IF(AK15="Head of Household",'CONSTANTS &amp; REFERENCES'!$M$6,""))))*AL15)</f>
        <v>199852.62582979625</v>
      </c>
      <c r="AR15" s="21">
        <f>IF(AQ15="","",IF(A15=0,IF(OR(AK15="Single",AK15="Married Filing Separately"),'CONSTANTS &amp; REFERENCES'!$C$6,IF(AK15="Married Filing Jointly",'CONSTANTS &amp; REFERENCES'!$H$6,IF(AK15="Head of Household",'CONSTANTS &amp; REFERENCES'!$M$6,""))),_xlfn.FLOOR.MATH(AQ15,IF(AK15="Married Filing Separately",Bracket_Round_MFS,Bracket_Round_Standard))))</f>
        <v>199850</v>
      </c>
      <c r="AS15" s="24">
        <f>IF(A15="","",(IF(OR(AK15="Single",AK15="Married Filing Separately"),'CONSTANTS &amp; REFERENCES'!$C$7,IF(AK15="Married Filing Jointly",'CONSTANTS &amp; REFERENCES'!$H$7,IF(AK15="Head of Household",'CONSTANTS &amp; REFERENCES'!$M$7,""))))*AL15)</f>
        <v>419135.36805971159</v>
      </c>
      <c r="AT15" s="21">
        <f>IF(AS15="","",IF(A15=0,IF(OR(AK15="Single",AK15="Married Filing Separately"),'CONSTANTS &amp; REFERENCES'!$C$7,IF(AK15="Married Filing Jointly",'CONSTANTS &amp; REFERENCES'!$H$7,IF(AK15="Head of Household",'CONSTANTS &amp; REFERENCES'!$M$7,""))),_xlfn.FLOOR.MATH(AS15,IF(AK15="Married Filing Separately",Bracket_Round_MFS,Bracket_Round_Standard))))</f>
        <v>419100</v>
      </c>
      <c r="AU15" s="24">
        <f>IF(A15="","",(IF(OR(AK15="Single",AK15="Married Filing Separately"),'CONSTANTS &amp; REFERENCES'!$C$8,IF(AK15="Married Filing Jointly",'CONSTANTS &amp; REFERENCES'!$H$8,IF(AK15="Head of Household",'CONSTANTS &amp; REFERENCES'!$M$8,""))))*AL15)</f>
        <v>800104.43604776065</v>
      </c>
      <c r="AV15" s="21">
        <f>IF(AU15="","",IF(A15=0,IF(OR(AK15="Single",AK15="Married Filing Separately"),'CONSTANTS &amp; REFERENCES'!$C$8,IF(AK15="Married Filing Jointly",'CONSTANTS &amp; REFERENCES'!$H$8,IF(AK15="Head of Household",'CONSTANTS &amp; REFERENCES'!$M$8,""))),_xlfn.FLOOR.MATH(AU15,IF(AK15="Married Filing Separately",Bracket_Round_MFS,Bracket_Round_Standard))))</f>
        <v>800100</v>
      </c>
      <c r="AW15" s="24">
        <f>IF(A15="","",(IF(OR(AK15="Single",AK15="Married Filing Separately"),'CONSTANTS &amp; REFERENCES'!$C$9,IF(AK15="Married Filing Jointly",'CONSTANTS &amp; REFERENCES'!$H$9,IF(AK15="Head of Household",'CONSTANTS &amp; REFERENCES'!$M$9,""))))*AL15)</f>
        <v>1016016.647881737</v>
      </c>
      <c r="AX15" s="21">
        <f>IF(AW15="","",IF(A15=0,IF(OR(AK15="Single",AK15="Married Filing Separately"),'CONSTANTS &amp; REFERENCES'!$C$9,IF(AK15="Married Filing Jointly",'CONSTANTS &amp; REFERENCES'!$H$9,IF(AK15="Head of Household",'CONSTANTS &amp; REFERENCES'!$M$9,""))),_xlfn.FLOOR.MATH(AW15,IF(AK15="Married Filing Separately",Bracket_Round_MFS,Bracket_Round_Standard))))</f>
        <v>1016000</v>
      </c>
      <c r="AY15" s="24">
        <f>IF(A15="","",(IF(OR(AK15="Single",AK15="Married Filing Separately"),'CONSTANTS &amp; REFERENCES'!$C$10,IF(AK15="Married Filing Jointly",'CONSTANTS &amp; REFERENCES'!$H$10,IF(AK15="Head of Household",'CONSTANTS &amp; REFERENCES'!$M$10,""))))*AL15)</f>
        <v>1523876.2719521963</v>
      </c>
      <c r="AZ15" s="21">
        <f>IF(AY15="","",IF(A15=0,IF(OR(AK15="Single",AK15="Married Filing Separately"),'CONSTANTS &amp; REFERENCES'!$C$10,IF(AK15="Married Filing Jointly",'CONSTANTS &amp; REFERENCES'!$H$10,IF(AK15="Head of Household",'CONSTANTS &amp; REFERENCES'!$M$10,""))),_xlfn.FLOOR.MATH(AY15,IF(AK15="Married Filing Separately",Bracket_Round_MFS,Bracket_Round_Standard))))</f>
        <v>1523850</v>
      </c>
      <c r="BA15" s="7" t="str">
        <f t="shared" si="8"/>
        <v>Illustrative future tax assumptions under simplified C-CPI-U indexing; not an IRS forecast.</v>
      </c>
      <c r="BB15" s="7">
        <f>IF(A15="","",'CONSTANTS &amp; REFERENCES'!$C$22*AL15)</f>
        <v>365801.6812063235</v>
      </c>
      <c r="BC15" s="21">
        <f t="shared" si="19"/>
        <v>365800</v>
      </c>
    </row>
    <row r="16" spans="1:55" ht="18" customHeight="1" x14ac:dyDescent="0.3">
      <c r="A16" s="10">
        <f>IF(A15&lt;INPUTS!$C$7-INPUTS!$C$6,A15+1,"")</f>
        <v>14</v>
      </c>
      <c r="B16" s="10">
        <f>IF(A16="","",INPUTS!$C$6+A16)</f>
        <v>36</v>
      </c>
      <c r="C16" s="11">
        <f t="shared" si="9"/>
        <v>307970.54679829447</v>
      </c>
      <c r="D16" s="11">
        <f>IF(A16="","",IF(A16&lt;INPUTS!$C$13,0,J16))</f>
        <v>16500</v>
      </c>
      <c r="E16" s="12" t="str">
        <f>IF(A16="","",IF(D16=0,"—",IF(Y16&lt;IF(AK16="Married Filing Jointly",'CONSTANTS &amp; REFERENCES'!$B$44,IF(AK16="Married Filing Separately",'CONSTANTS &amp; REFERENCES'!$B$45,'CONSTANTS &amp; REFERENCES'!$B$43)),"Direct","Backdoor")))</f>
        <v>Direct</v>
      </c>
      <c r="F16" s="13">
        <f t="shared" si="0"/>
        <v>16956.779668158197</v>
      </c>
      <c r="G16" s="14">
        <f t="shared" si="1"/>
        <v>16500</v>
      </c>
      <c r="H16" s="13">
        <f t="shared" si="2"/>
        <v>2486.9943513298686</v>
      </c>
      <c r="I16" s="14">
        <f t="shared" si="3"/>
        <v>2400</v>
      </c>
      <c r="J16" s="14">
        <f t="shared" si="4"/>
        <v>16500</v>
      </c>
      <c r="K16" s="11">
        <f>IF(A16="","",IF(INPUTS!$C$12="Beginning",(C16+D16)*INPUTS!$C$10,C16*INPUTS!$C$10))</f>
        <v>32447.054679829449</v>
      </c>
      <c r="L16" s="11">
        <f>IF(A16="","",IF(INPUTS!$C$12="Beginning",(C16+D16)*(1+INPUTS!$C$10),C16*(1+INPUTS!$C$10)+D16))</f>
        <v>356917.60147812392</v>
      </c>
      <c r="M16" s="15">
        <f>IF(A16="","",(1+INPUTS!$C$11)^A16)</f>
        <v>2.2609039557544262</v>
      </c>
      <c r="N16" s="11">
        <f t="shared" si="10"/>
        <v>157864.99933785398</v>
      </c>
      <c r="O16" s="11">
        <f t="shared" si="11"/>
        <v>170000</v>
      </c>
      <c r="P16" s="11">
        <f>IF(A16="","",L16-INPUTS!$C$8-O16)</f>
        <v>186917.60147812392</v>
      </c>
      <c r="Q16" s="16"/>
      <c r="R16" s="16"/>
      <c r="S16" s="16">
        <f t="shared" si="12"/>
        <v>36</v>
      </c>
      <c r="T16" s="18">
        <f t="shared" si="13"/>
        <v>356917.60147812392</v>
      </c>
      <c r="U16" s="18">
        <f t="shared" si="14"/>
        <v>157864.99933785398</v>
      </c>
      <c r="V16" s="19">
        <f>IF(A16="","",FV(INPUTS!$C$10,INPUTS!$C$7-INPUTS!$C$6-A16+IF(INPUTS!$C$12="Beginning",1,0),0,-D16,0))</f>
        <v>287915.13743662636</v>
      </c>
      <c r="W16" s="7"/>
      <c r="X16" s="7"/>
      <c r="Y16" s="21">
        <f>IF(A16="","",IF(INPUTS!$C$17="Yes",MIN(Y15*(1+INPUTS!$C$15)+IF(INPUTS!$C$27="Yes",(Z16-Z15)*INPUTS!$C$31+IF(AND(INPUTS!$C$28="Not yet credentialed",A16=INPUTS!$C$33),INPUTS!$C$32,0)+IF(AND(INPUTS!$C$28&lt;&gt;"FSA / FCAS",A16=INPUTS!$C$35),INPUTS!$C$34,0),0),INPUTS!$C$18),Y15*(1+INPUTS!$C$15)+IF(INPUTS!$C$27="Yes",(Z16-Z15)*INPUTS!$C$31+IF(AND(INPUTS!$C$28="Not yet credentialed",A16=INPUTS!$C$33),INPUTS!$C$32,0)+IF(AND(INPUTS!$C$28&lt;&gt;"FSA / FCAS",A16=INPUTS!$C$35),INPUTS!$C$34,0),0)))</f>
        <v>138690.52734334386</v>
      </c>
      <c r="Z16" s="22">
        <f>IF(A16="","",IF(AND(INPUTS!$C$27="Yes",INPUTS!$C$28&lt;&gt;"FSA / FCAS",ISNUMBER(INPUTS!$C$37)),MIN(A16*INPUTS!$C$37,INPUTS!$C$30),0))</f>
        <v>3</v>
      </c>
      <c r="AA16" s="21">
        <f t="shared" si="5"/>
        <v>67250</v>
      </c>
      <c r="AB16" s="21">
        <f t="shared" si="6"/>
        <v>71440.527343343856</v>
      </c>
      <c r="AC16" s="21">
        <f>IF(A16="","",MIN(AB16,AP16)*'CONSTANTS &amp; REFERENCES'!$A$5+MAX(MIN(AB16,AR16)-AP16,0)*'CONSTANTS &amp; REFERENCES'!$A$6+MAX(MIN(AB16,AT16)-AR16,0)*'CONSTANTS &amp; REFERENCES'!$A$7+MAX(MIN(AB16,AV16)-AT16,0)*'CONSTANTS &amp; REFERENCES'!$A$8+MAX(MIN(AB16,AX16)-AV16,0)*'CONSTANTS &amp; REFERENCES'!$A$9+MAX(MIN(AB16,AZ16)-AX16,0)*'CONSTANTS &amp; REFERENCES'!$A$10+MAX(AB16-AZ16,0)*'CONSTANTS &amp; REFERENCES'!$A$11)</f>
        <v>7536.863281201262</v>
      </c>
      <c r="AD16" s="21">
        <f>IF(AB16="","",IF(INPUTS!$C$20="Yes",AB16*INPUTS!$C$21,0))</f>
        <v>0</v>
      </c>
      <c r="AE16" s="21">
        <f>IF(Y16="","",MIN(Y16,BC16)*'CONSTANTS &amp; REFERENCES'!$B$22)</f>
        <v>8598.812695287319</v>
      </c>
      <c r="AF16" s="21">
        <f>IF(Y16="","",Y16*'CONSTANTS &amp; REFERENCES'!$B$24+MAX(0,Y16-IF(AK16="Married Filing Jointly",'CONSTANTS &amp; REFERENCES'!$C$26,IF(AK16="Married Filing Separately",'CONSTANTS &amp; REFERENCES'!$C$27,IF(AK16="Head of Household",'CONSTANTS &amp; REFERENCES'!$C$28,'CONSTANTS &amp; REFERENCES'!$C$25))))*'CONSTANTS &amp; REFERENCES'!$B$25)</f>
        <v>2011.012646478486</v>
      </c>
      <c r="AG16" s="21">
        <f t="shared" si="15"/>
        <v>10609.825341765805</v>
      </c>
      <c r="AH16" s="21">
        <f t="shared" si="16"/>
        <v>18146.688622967067</v>
      </c>
      <c r="AI16" s="21">
        <f t="shared" si="17"/>
        <v>120543.83872037679</v>
      </c>
      <c r="AJ16" s="21">
        <f t="shared" si="18"/>
        <v>0</v>
      </c>
      <c r="AK16" s="7" t="str">
        <f>IF(A16="","",IF(AND(INPUTS!$C$43="Yes",A16&gt;=INPUTS!$C$45),INPUTS!$C$44,INPUTS!$C$19))</f>
        <v>Married Filing Jointly</v>
      </c>
      <c r="AL16" s="23">
        <f t="shared" si="7"/>
        <v>2.0898478053785219</v>
      </c>
      <c r="AM16" s="24">
        <f>IF(A16="","",(IF(OR(AK16="Single",AK16="Married Filing Separately"),'CONSTANTS &amp; REFERENCES'!$B$13,IF(AK16="Married Filing Jointly",'CONSTANTS &amp; REFERENCES'!$G$13,IF(AK16="Head of Household",'CONSTANTS &amp; REFERENCES'!$L$13,""))))*AL16)</f>
        <v>67293.099333188409</v>
      </c>
      <c r="AN16" s="21">
        <f>IF(AM16="","",IF(A16=0,IF(OR(AK16="Single",AK16="Married Filing Separately"),'CONSTANTS &amp; REFERENCES'!$B$13,IF(AK16="Married Filing Jointly",'CONSTANTS &amp; REFERENCES'!$G$13,IF(AK16="Head of Household",'CONSTANTS &amp; REFERENCES'!$L$13,""))),_xlfn.FLOOR.MATH(AM16,IF(AK16="Married Filing Separately",Bracket_Round_MFS,Bracket_Round_Standard))))</f>
        <v>67250</v>
      </c>
      <c r="AO16" s="24">
        <f>IF(A16="","",(IF(OR(AK16="Single",AK16="Married Filing Separately"),'CONSTANTS &amp; REFERENCES'!$C$5,IF(AK16="Married Filing Jointly",'CONSTANTS &amp; REFERENCES'!$H$5,IF(AK16="Head of Household",'CONSTANTS &amp; REFERENCES'!$M$5,""))))*AL16)</f>
        <v>51828.225573387346</v>
      </c>
      <c r="AP16" s="21">
        <f>IF(AO16="","",IF(A16=0,IF(OR(AK16="Single",AK16="Married Filing Separately"),'CONSTANTS &amp; REFERENCES'!$C$5,IF(AK16="Married Filing Jointly",'CONSTANTS &amp; REFERENCES'!$H$5,IF(AK16="Head of Household",'CONSTANTS &amp; REFERENCES'!$M$5,""))),_xlfn.FLOOR.MATH(AO16,IF(AK16="Married Filing Separately",Bracket_Round_MFS,Bracket_Round_Standard))))</f>
        <v>51800</v>
      </c>
      <c r="AQ16" s="24">
        <f>IF(A16="","",(IF(OR(AK16="Single",AK16="Married Filing Separately"),'CONSTANTS &amp; REFERENCES'!$C$6,IF(AK16="Married Filing Jointly",'CONSTANTS &amp; REFERENCES'!$H$6,IF(AK16="Head of Household",'CONSTANTS &amp; REFERENCES'!$M$6,""))))*AL16)</f>
        <v>210656.65878215502</v>
      </c>
      <c r="AR16" s="21">
        <f>IF(AQ16="","",IF(A16=0,IF(OR(AK16="Single",AK16="Married Filing Separately"),'CONSTANTS &amp; REFERENCES'!$C$6,IF(AK16="Married Filing Jointly",'CONSTANTS &amp; REFERENCES'!$H$6,IF(AK16="Head of Household",'CONSTANTS &amp; REFERENCES'!$M$6,""))),_xlfn.FLOOR.MATH(AQ16,IF(AK16="Married Filing Separately",Bracket_Round_MFS,Bracket_Round_Standard))))</f>
        <v>210650</v>
      </c>
      <c r="AS16" s="24">
        <f>IF(A16="","",(IF(OR(AK16="Single",AK16="Married Filing Separately"),'CONSTANTS &amp; REFERENCES'!$C$7,IF(AK16="Married Filing Jointly",'CONSTANTS &amp; REFERENCES'!$H$7,IF(AK16="Head of Household",'CONSTANTS &amp; REFERENCES'!$M$7,""))))*AL16)</f>
        <v>441793.82605701953</v>
      </c>
      <c r="AT16" s="21">
        <f>IF(AS16="","",IF(A16=0,IF(OR(AK16="Single",AK16="Married Filing Separately"),'CONSTANTS &amp; REFERENCES'!$C$7,IF(AK16="Married Filing Jointly",'CONSTANTS &amp; REFERENCES'!$H$7,IF(AK16="Head of Household",'CONSTANTS &amp; REFERENCES'!$M$7,""))),_xlfn.FLOOR.MATH(AS16,IF(AK16="Married Filing Separately",Bracket_Round_MFS,Bracket_Round_Standard))))</f>
        <v>441750</v>
      </c>
      <c r="AU16" s="24">
        <f>IF(A16="","",(IF(OR(AK16="Single",AK16="Married Filing Separately"),'CONSTANTS &amp; REFERENCES'!$C$8,IF(AK16="Married Filing Jointly",'CONSTANTS &amp; REFERENCES'!$H$8,IF(AK16="Head of Household",'CONSTANTS &amp; REFERENCES'!$M$8,""))))*AL16)</f>
        <v>843358.08186050248</v>
      </c>
      <c r="AV16" s="21">
        <f>IF(AU16="","",IF(A16=0,IF(OR(AK16="Single",AK16="Married Filing Separately"),'CONSTANTS &amp; REFERENCES'!$C$8,IF(AK16="Married Filing Jointly",'CONSTANTS &amp; REFERENCES'!$H$8,IF(AK16="Head of Household",'CONSTANTS &amp; REFERENCES'!$M$8,""))),_xlfn.FLOOR.MATH(AU16,IF(AK16="Married Filing Separately",Bracket_Round_MFS,Bracket_Round_Standard))))</f>
        <v>843350</v>
      </c>
      <c r="AW16" s="24">
        <f>IF(A16="","",(IF(OR(AK16="Single",AK16="Married Filing Separately"),'CONSTANTS &amp; REFERENCES'!$C$9,IF(AK16="Married Filing Jointly",'CONSTANTS &amp; REFERENCES'!$H$9,IF(AK16="Head of Household",'CONSTANTS &amp; REFERENCES'!$M$9,""))))*AL16)</f>
        <v>1070942.5078662236</v>
      </c>
      <c r="AX16" s="21">
        <f>IF(AW16="","",IF(A16=0,IF(OR(AK16="Single",AK16="Married Filing Separately"),'CONSTANTS &amp; REFERENCES'!$C$9,IF(AK16="Married Filing Jointly",'CONSTANTS &amp; REFERENCES'!$H$9,IF(AK16="Head of Household",'CONSTANTS &amp; REFERENCES'!$M$9,""))),_xlfn.FLOOR.MATH(AW16,IF(AK16="Married Filing Separately",Bracket_Round_MFS,Bracket_Round_Standard))))</f>
        <v>1070900</v>
      </c>
      <c r="AY16" s="24">
        <f>IF(A16="","",(IF(OR(AK16="Single",AK16="Married Filing Separately"),'CONSTANTS &amp; REFERENCES'!$C$10,IF(AK16="Married Filing Jointly",'CONSTANTS &amp; REFERENCES'!$H$10,IF(AK16="Head of Household",'CONSTANTS &amp; REFERENCES'!$M$10,""))))*AL16)</f>
        <v>1606257.0232139318</v>
      </c>
      <c r="AZ16" s="21">
        <f>IF(AY16="","",IF(A16=0,IF(OR(AK16="Single",AK16="Married Filing Separately"),'CONSTANTS &amp; REFERENCES'!$C$10,IF(AK16="Married Filing Jointly",'CONSTANTS &amp; REFERENCES'!$H$10,IF(AK16="Head of Household",'CONSTANTS &amp; REFERENCES'!$M$10,""))),_xlfn.FLOOR.MATH(AY16,IF(AK16="Married Filing Separately",Bracket_Round_MFS,Bracket_Round_Standard))))</f>
        <v>1606250</v>
      </c>
      <c r="BA16" s="7" t="str">
        <f t="shared" si="8"/>
        <v>Illustrative future tax assumptions under simplified C-CPI-U indexing; not an IRS forecast.</v>
      </c>
      <c r="BB16" s="7">
        <f>IF(A16="","",'CONSTANTS &amp; REFERENCES'!$C$22*AL16)</f>
        <v>385576.9200923373</v>
      </c>
      <c r="BC16" s="21">
        <f t="shared" si="19"/>
        <v>385500</v>
      </c>
    </row>
    <row r="17" spans="1:55" ht="18" customHeight="1" x14ac:dyDescent="0.3">
      <c r="A17" s="10">
        <f>IF(A16&lt;INPUTS!$C$7-INPUTS!$C$6,A16+1,"")</f>
        <v>15</v>
      </c>
      <c r="B17" s="10">
        <f>IF(A17="","",INPUTS!$C$6+A17)</f>
        <v>37</v>
      </c>
      <c r="C17" s="11">
        <f t="shared" si="9"/>
        <v>356917.60147812392</v>
      </c>
      <c r="D17" s="11">
        <f>IF(A17="","",IF(A17&lt;INPUTS!$C$13,0,J17))</f>
        <v>17500</v>
      </c>
      <c r="E17" s="12" t="str">
        <f>IF(A17="","",IF(D17=0,"—",IF(Y17&lt;IF(AK17="Married Filing Jointly",'CONSTANTS &amp; REFERENCES'!$B$44,IF(AK17="Married Filing Separately",'CONSTANTS &amp; REFERENCES'!$B$45,'CONSTANTS &amp; REFERENCES'!$B$43)),"Direct","Backdoor")))</f>
        <v>Direct</v>
      </c>
      <c r="F17" s="13">
        <f t="shared" si="0"/>
        <v>17974.186448247692</v>
      </c>
      <c r="G17" s="14">
        <f t="shared" si="1"/>
        <v>17500</v>
      </c>
      <c r="H17" s="13">
        <f t="shared" si="2"/>
        <v>2636.2140124096618</v>
      </c>
      <c r="I17" s="14">
        <f t="shared" si="3"/>
        <v>2600</v>
      </c>
      <c r="J17" s="14">
        <f t="shared" si="4"/>
        <v>17500</v>
      </c>
      <c r="K17" s="11">
        <f>IF(A17="","",IF(INPUTS!$C$12="Beginning",(C17+D17)*INPUTS!$C$10,C17*INPUTS!$C$10))</f>
        <v>37441.760147812391</v>
      </c>
      <c r="L17" s="11">
        <f>IF(A17="","",IF(INPUTS!$C$12="Beginning",(C17+D17)*(1+INPUTS!$C$10),C17*(1+INPUTS!$C$10)+D17))</f>
        <v>411859.36162593635</v>
      </c>
      <c r="M17" s="15">
        <f>IF(A17="","",(1+INPUTS!$C$11)^A17)</f>
        <v>2.3965581930996924</v>
      </c>
      <c r="N17" s="11">
        <f t="shared" si="10"/>
        <v>171854.52154334722</v>
      </c>
      <c r="O17" s="11">
        <f t="shared" si="11"/>
        <v>187500</v>
      </c>
      <c r="P17" s="11">
        <f>IF(A17="","",L17-INPUTS!$C$8-O17)</f>
        <v>224359.36162593635</v>
      </c>
      <c r="Q17" s="16"/>
      <c r="R17" s="16"/>
      <c r="S17" s="16">
        <f t="shared" si="12"/>
        <v>37</v>
      </c>
      <c r="T17" s="18">
        <f t="shared" si="13"/>
        <v>411859.36162593635</v>
      </c>
      <c r="U17" s="18">
        <f t="shared" si="14"/>
        <v>171854.52154334722</v>
      </c>
      <c r="V17" s="19">
        <f>IF(A17="","",FV(INPUTS!$C$10,INPUTS!$C$7-INPUTS!$C$6-A17+IF(INPUTS!$C$12="Beginning",1,0),0,-D17,0))</f>
        <v>277604.12700501154</v>
      </c>
      <c r="W17" s="7"/>
      <c r="X17" s="7"/>
      <c r="Y17" s="21">
        <f>IF(A17="","",IF(INPUTS!$C$17="Yes",MIN(Y16*(1+INPUTS!$C$15)+IF(INPUTS!$C$27="Yes",(Z17-Z16)*INPUTS!$C$31+IF(AND(INPUTS!$C$28="Not yet credentialed",A17=INPUTS!$C$33),INPUTS!$C$32,0)+IF(AND(INPUTS!$C$28&lt;&gt;"FSA / FCAS",A17=INPUTS!$C$35),INPUTS!$C$34,0),0),INPUTS!$C$18),Y16*(1+INPUTS!$C$15)+IF(INPUTS!$C$27="Yes",(Z17-Z16)*INPUTS!$C$31+IF(AND(INPUTS!$C$28="Not yet credentialed",A17=INPUTS!$C$33),INPUTS!$C$32,0)+IF(AND(INPUTS!$C$28&lt;&gt;"FSA / FCAS",A17=INPUTS!$C$35),INPUTS!$C$34,0),0)))</f>
        <v>142851.24316364416</v>
      </c>
      <c r="Z17" s="22">
        <f>IF(A17="","",IF(AND(INPUTS!$C$27="Yes",INPUTS!$C$28&lt;&gt;"FSA / FCAS",ISNUMBER(INPUTS!$C$37)),MIN(A17*INPUTS!$C$37,INPUTS!$C$30),0))</f>
        <v>3</v>
      </c>
      <c r="AA17" s="21">
        <f t="shared" si="5"/>
        <v>70900</v>
      </c>
      <c r="AB17" s="21">
        <f t="shared" si="6"/>
        <v>71951.243163644162</v>
      </c>
      <c r="AC17" s="21">
        <f>IF(A17="","",MIN(AB17,AP17)*'CONSTANTS &amp; REFERENCES'!$A$5+MAX(MIN(AB17,AR17)-AP17,0)*'CONSTANTS &amp; REFERENCES'!$A$6+MAX(MIN(AB17,AT17)-AR17,0)*'CONSTANTS &amp; REFERENCES'!$A$7+MAX(MIN(AB17,AV17)-AT17,0)*'CONSTANTS &amp; REFERENCES'!$A$8+MAX(MIN(AB17,AX17)-AV17,0)*'CONSTANTS &amp; REFERENCES'!$A$9+MAX(MIN(AB17,AZ17)-AX17,0)*'CONSTANTS &amp; REFERENCES'!$A$10+MAX(AB17-AZ17,0)*'CONSTANTS &amp; REFERENCES'!$A$11)</f>
        <v>7542.1491796372993</v>
      </c>
      <c r="AD17" s="21">
        <f>IF(AB17="","",IF(INPUTS!$C$20="Yes",AB17*INPUTS!$C$21,0))</f>
        <v>0</v>
      </c>
      <c r="AE17" s="21">
        <f>IF(Y17="","",MIN(Y17,BC17)*'CONSTANTS &amp; REFERENCES'!$B$22)</f>
        <v>8856.7770761459378</v>
      </c>
      <c r="AF17" s="21">
        <f>IF(Y17="","",Y17*'CONSTANTS &amp; REFERENCES'!$B$24+MAX(0,Y17-IF(AK17="Married Filing Jointly",'CONSTANTS &amp; REFERENCES'!$C$26,IF(AK17="Married Filing Separately",'CONSTANTS &amp; REFERENCES'!$C$27,IF(AK17="Head of Household",'CONSTANTS &amp; REFERENCES'!$C$28,'CONSTANTS &amp; REFERENCES'!$C$25))))*'CONSTANTS &amp; REFERENCES'!$B$25)</f>
        <v>2071.3430258728404</v>
      </c>
      <c r="AG17" s="21">
        <f t="shared" si="15"/>
        <v>10928.120102018778</v>
      </c>
      <c r="AH17" s="21">
        <f t="shared" si="16"/>
        <v>18470.269281656078</v>
      </c>
      <c r="AI17" s="21">
        <f t="shared" si="17"/>
        <v>124380.97388198809</v>
      </c>
      <c r="AJ17" s="21">
        <f t="shared" si="18"/>
        <v>0</v>
      </c>
      <c r="AK17" s="7" t="str">
        <f>IF(A17="","",IF(AND(INPUTS!$C$43="Yes",A17&gt;=INPUTS!$C$45),INPUTS!$C$44,INPUTS!$C$19))</f>
        <v>Married Filing Jointly</v>
      </c>
      <c r="AL17" s="23">
        <f t="shared" si="7"/>
        <v>2.202824977737285</v>
      </c>
      <c r="AM17" s="24">
        <f>IF(A17="","",(IF(OR(AK17="Single",AK17="Married Filing Separately"),'CONSTANTS &amp; REFERENCES'!$B$13,IF(AK17="Married Filing Jointly",'CONSTANTS &amp; REFERENCES'!$G$13,IF(AK17="Head of Household",'CONSTANTS &amp; REFERENCES'!$L$13,""))))*AL17)</f>
        <v>70930.96428314058</v>
      </c>
      <c r="AN17" s="21">
        <f>IF(AM17="","",IF(A17=0,IF(OR(AK17="Single",AK17="Married Filing Separately"),'CONSTANTS &amp; REFERENCES'!$B$13,IF(AK17="Married Filing Jointly",'CONSTANTS &amp; REFERENCES'!$G$13,IF(AK17="Head of Household",'CONSTANTS &amp; REFERENCES'!$L$13,""))),_xlfn.FLOOR.MATH(AM17,IF(AK17="Married Filing Separately",Bracket_Round_MFS,Bracket_Round_Standard))))</f>
        <v>70900</v>
      </c>
      <c r="AO17" s="24">
        <f>IF(A17="","",(IF(OR(AK17="Single",AK17="Married Filing Separately"),'CONSTANTS &amp; REFERENCES'!$C$5,IF(AK17="Married Filing Jointly",'CONSTANTS &amp; REFERENCES'!$H$5,IF(AK17="Head of Household",'CONSTANTS &amp; REFERENCES'!$M$5,""))))*AL17)</f>
        <v>54630.059447884669</v>
      </c>
      <c r="AP17" s="21">
        <f>IF(AO17="","",IF(A17=0,IF(OR(AK17="Single",AK17="Married Filing Separately"),'CONSTANTS &amp; REFERENCES'!$C$5,IF(AK17="Married Filing Jointly",'CONSTANTS &amp; REFERENCES'!$H$5,IF(AK17="Head of Household",'CONSTANTS &amp; REFERENCES'!$M$5,""))),_xlfn.FLOOR.MATH(AO17,IF(AK17="Married Filing Separately",Bracket_Round_MFS,Bracket_Round_Standard))))</f>
        <v>54600</v>
      </c>
      <c r="AQ17" s="24">
        <f>IF(A17="","",(IF(OR(AK17="Single",AK17="Married Filing Separately"),'CONSTANTS &amp; REFERENCES'!$C$6,IF(AK17="Married Filing Jointly",'CONSTANTS &amp; REFERENCES'!$H$6,IF(AK17="Head of Household",'CONSTANTS &amp; REFERENCES'!$M$6,""))))*AL17)</f>
        <v>222044.75775591834</v>
      </c>
      <c r="AR17" s="21">
        <f>IF(AQ17="","",IF(A17=0,IF(OR(AK17="Single",AK17="Married Filing Separately"),'CONSTANTS &amp; REFERENCES'!$C$6,IF(AK17="Married Filing Jointly",'CONSTANTS &amp; REFERENCES'!$H$6,IF(AK17="Head of Household",'CONSTANTS &amp; REFERENCES'!$M$6,""))),_xlfn.FLOOR.MATH(AQ17,IF(AK17="Married Filing Separately",Bracket_Round_MFS,Bracket_Round_Standard))))</f>
        <v>222000</v>
      </c>
      <c r="AS17" s="24">
        <f>IF(A17="","",(IF(OR(AK17="Single",AK17="Married Filing Separately"),'CONSTANTS &amp; REFERENCES'!$C$7,IF(AK17="Married Filing Jointly",'CONSTANTS &amp; REFERENCES'!$H$7,IF(AK17="Head of Household",'CONSTANTS &amp; REFERENCES'!$M$7,""))))*AL17)</f>
        <v>465677.20029366203</v>
      </c>
      <c r="AT17" s="21">
        <f>IF(AS17="","",IF(A17=0,IF(OR(AK17="Single",AK17="Married Filing Separately"),'CONSTANTS &amp; REFERENCES'!$C$7,IF(AK17="Married Filing Jointly",'CONSTANTS &amp; REFERENCES'!$H$7,IF(AK17="Head of Household",'CONSTANTS &amp; REFERENCES'!$M$7,""))),_xlfn.FLOOR.MATH(AS17,IF(AK17="Married Filing Separately",Bracket_Round_MFS,Bracket_Round_Standard))))</f>
        <v>465650</v>
      </c>
      <c r="AU17" s="24">
        <f>IF(A17="","",(IF(OR(AK17="Single",AK17="Married Filing Separately"),'CONSTANTS &amp; REFERENCES'!$C$8,IF(AK17="Married Filing Jointly",'CONSTANTS &amp; REFERENCES'!$H$8,IF(AK17="Head of Household",'CONSTANTS &amp; REFERENCES'!$M$8,""))))*AL17)</f>
        <v>888950.01976588136</v>
      </c>
      <c r="AV17" s="21">
        <f>IF(AU17="","",IF(A17=0,IF(OR(AK17="Single",AK17="Married Filing Separately"),'CONSTANTS &amp; REFERENCES'!$C$8,IF(AK17="Married Filing Jointly",'CONSTANTS &amp; REFERENCES'!$H$8,IF(AK17="Head of Household",'CONSTANTS &amp; REFERENCES'!$M$8,""))),_xlfn.FLOOR.MATH(AU17,IF(AK17="Married Filing Separately",Bracket_Round_MFS,Bracket_Round_Standard))))</f>
        <v>888950</v>
      </c>
      <c r="AW17" s="24">
        <f>IF(A17="","",(IF(OR(AK17="Single",AK17="Married Filing Separately"),'CONSTANTS &amp; REFERENCES'!$C$9,IF(AK17="Married Filing Jointly",'CONSTANTS &amp; REFERENCES'!$H$9,IF(AK17="Head of Household",'CONSTANTS &amp; REFERENCES'!$M$9,""))))*AL17)</f>
        <v>1128837.6598414718</v>
      </c>
      <c r="AX17" s="21">
        <f>IF(AW17="","",IF(A17=0,IF(OR(AK17="Single",AK17="Married Filing Separately"),'CONSTANTS &amp; REFERENCES'!$C$9,IF(AK17="Married Filing Jointly",'CONSTANTS &amp; REFERENCES'!$H$9,IF(AK17="Head of Household",'CONSTANTS &amp; REFERENCES'!$M$9,""))),_xlfn.FLOOR.MATH(AW17,IF(AK17="Married Filing Separately",Bracket_Round_MFS,Bracket_Round_Standard))))</f>
        <v>1128800</v>
      </c>
      <c r="AY17" s="24">
        <f>IF(A17="","",(IF(OR(AK17="Single",AK17="Married Filing Separately"),'CONSTANTS &amp; REFERENCES'!$C$10,IF(AK17="Married Filing Jointly",'CONSTANTS &amp; REFERENCES'!$H$10,IF(AK17="Head of Household",'CONSTANTS &amp; REFERENCES'!$M$10,""))))*AL17)</f>
        <v>1693091.2778888773</v>
      </c>
      <c r="AZ17" s="21">
        <f>IF(AY17="","",IF(A17=0,IF(OR(AK17="Single",AK17="Married Filing Separately"),'CONSTANTS &amp; REFERENCES'!$C$10,IF(AK17="Married Filing Jointly",'CONSTANTS &amp; REFERENCES'!$H$10,IF(AK17="Head of Household",'CONSTANTS &amp; REFERENCES'!$M$10,""))),_xlfn.FLOOR.MATH(AY17,IF(AK17="Married Filing Separately",Bracket_Round_MFS,Bracket_Round_Standard))))</f>
        <v>1693050</v>
      </c>
      <c r="BA17" s="7" t="str">
        <f t="shared" si="8"/>
        <v>Illustrative future tax assumptions under simplified C-CPI-U indexing; not an IRS forecast.</v>
      </c>
      <c r="BB17" s="7">
        <f>IF(A17="","",'CONSTANTS &amp; REFERENCES'!$C$22*AL17)</f>
        <v>406421.20839252911</v>
      </c>
      <c r="BC17" s="21">
        <f t="shared" si="19"/>
        <v>406400</v>
      </c>
    </row>
    <row r="18" spans="1:55" ht="18" customHeight="1" x14ac:dyDescent="0.3">
      <c r="A18" s="10">
        <f>IF(A17&lt;INPUTS!$C$7-INPUTS!$C$6,A17+1,"")</f>
        <v>16</v>
      </c>
      <c r="B18" s="10">
        <f>IF(A18="","",INPUTS!$C$6+A18)</f>
        <v>38</v>
      </c>
      <c r="C18" s="11">
        <f t="shared" si="9"/>
        <v>411859.36162593635</v>
      </c>
      <c r="D18" s="11">
        <f>IF(A18="","",IF(A18&lt;INPUTS!$C$13,0,J18))</f>
        <v>19000</v>
      </c>
      <c r="E18" s="12" t="str">
        <f>IF(A18="","",IF(D18=0,"—",IF(Y18&lt;IF(AK18="Married Filing Jointly",'CONSTANTS &amp; REFERENCES'!$B$44,IF(AK18="Married Filing Separately",'CONSTANTS &amp; REFERENCES'!$B$45,'CONSTANTS &amp; REFERENCES'!$B$43)),"Direct","Backdoor")))</f>
        <v>Direct</v>
      </c>
      <c r="F18" s="13">
        <f t="shared" si="0"/>
        <v>19052.63763514255</v>
      </c>
      <c r="G18" s="14">
        <f t="shared" si="1"/>
        <v>19000</v>
      </c>
      <c r="H18" s="13">
        <f t="shared" si="2"/>
        <v>2794.3868531542407</v>
      </c>
      <c r="I18" s="14">
        <f t="shared" si="3"/>
        <v>2700</v>
      </c>
      <c r="J18" s="14">
        <f t="shared" si="4"/>
        <v>19000</v>
      </c>
      <c r="K18" s="11">
        <f>IF(A18="","",IF(INPUTS!$C$12="Beginning",(C18+D18)*INPUTS!$C$10,C18*INPUTS!$C$10))</f>
        <v>43085.936162593636</v>
      </c>
      <c r="L18" s="11">
        <f>IF(A18="","",IF(INPUTS!$C$12="Beginning",(C18+D18)*(1+INPUTS!$C$10),C18*(1+INPUTS!$C$10)+D18))</f>
        <v>473945.29778853001</v>
      </c>
      <c r="M18" s="15">
        <f>IF(A18="","",(1+INPUTS!$C$11)^A18)</f>
        <v>2.5403516846856733</v>
      </c>
      <c r="N18" s="11">
        <f t="shared" si="10"/>
        <v>186566.80515759886</v>
      </c>
      <c r="O18" s="11">
        <f t="shared" si="11"/>
        <v>206500</v>
      </c>
      <c r="P18" s="11">
        <f>IF(A18="","",L18-INPUTS!$C$8-O18)</f>
        <v>267445.29778853001</v>
      </c>
      <c r="Q18" s="16"/>
      <c r="R18" s="16"/>
      <c r="S18" s="16">
        <f t="shared" si="12"/>
        <v>38</v>
      </c>
      <c r="T18" s="18">
        <f t="shared" si="13"/>
        <v>473945.29778853001</v>
      </c>
      <c r="U18" s="18">
        <f t="shared" si="14"/>
        <v>186566.80515759886</v>
      </c>
      <c r="V18" s="19">
        <f>IF(A18="","",FV(INPUTS!$C$10,INPUTS!$C$7-INPUTS!$C$6-A18+IF(INPUTS!$C$12="Beginning",1,0),0,-D18,0))</f>
        <v>273998.87860234908</v>
      </c>
      <c r="W18" s="7"/>
      <c r="X18" s="7"/>
      <c r="Y18" s="21">
        <f>IF(A18="","",IF(INPUTS!$C$17="Yes",MIN(Y17*(1+INPUTS!$C$15)+IF(INPUTS!$C$27="Yes",(Z18-Z17)*INPUTS!$C$31+IF(AND(INPUTS!$C$28="Not yet credentialed",A18=INPUTS!$C$33),INPUTS!$C$32,0)+IF(AND(INPUTS!$C$28&lt;&gt;"FSA / FCAS",A18=INPUTS!$C$35),INPUTS!$C$34,0),0),INPUTS!$C$18),Y17*(1+INPUTS!$C$15)+IF(INPUTS!$C$27="Yes",(Z18-Z17)*INPUTS!$C$31+IF(AND(INPUTS!$C$28="Not yet credentialed",A18=INPUTS!$C$33),INPUTS!$C$32,0)+IF(AND(INPUTS!$C$28&lt;&gt;"FSA / FCAS",A18=INPUTS!$C$35),INPUTS!$C$34,0),0)))</f>
        <v>147136.78045855349</v>
      </c>
      <c r="Z18" s="22">
        <f>IF(A18="","",IF(AND(INPUTS!$C$27="Yes",INPUTS!$C$28&lt;&gt;"FSA / FCAS",ISNUMBER(INPUTS!$C$37)),MIN(A18*INPUTS!$C$37,INPUTS!$C$30),0))</f>
        <v>3</v>
      </c>
      <c r="AA18" s="21">
        <f t="shared" si="5"/>
        <v>74750</v>
      </c>
      <c r="AB18" s="21">
        <f t="shared" si="6"/>
        <v>72386.78045855349</v>
      </c>
      <c r="AC18" s="21">
        <f>IF(A18="","",MIN(AB18,AP18)*'CONSTANTS &amp; REFERENCES'!$A$5+MAX(MIN(AB18,AR18)-AP18,0)*'CONSTANTS &amp; REFERENCES'!$A$6+MAX(MIN(AB18,AT18)-AR18,0)*'CONSTANTS &amp; REFERENCES'!$A$7+MAX(MIN(AB18,AV18)-AT18,0)*'CONSTANTS &amp; REFERENCES'!$A$8+MAX(MIN(AB18,AX18)-AV18,0)*'CONSTANTS &amp; REFERENCES'!$A$9+MAX(MIN(AB18,AZ18)-AX18,0)*'CONSTANTS &amp; REFERENCES'!$A$10+MAX(AB18-AZ18,0)*'CONSTANTS &amp; REFERENCES'!$A$11)</f>
        <v>7535.4136550264193</v>
      </c>
      <c r="AD18" s="21">
        <f>IF(AB18="","",IF(INPUTS!$C$20="Yes",AB18*INPUTS!$C$21,0))</f>
        <v>0</v>
      </c>
      <c r="AE18" s="21">
        <f>IF(Y18="","",MIN(Y18,BC18)*'CONSTANTS &amp; REFERENCES'!$B$22)</f>
        <v>9122.4803884303165</v>
      </c>
      <c r="AF18" s="21">
        <f>IF(Y18="","",Y18*'CONSTANTS &amp; REFERENCES'!$B$24+MAX(0,Y18-IF(AK18="Married Filing Jointly",'CONSTANTS &amp; REFERENCES'!$C$26,IF(AK18="Married Filing Separately",'CONSTANTS &amp; REFERENCES'!$C$27,IF(AK18="Head of Household",'CONSTANTS &amp; REFERENCES'!$C$28,'CONSTANTS &amp; REFERENCES'!$C$25))))*'CONSTANTS &amp; REFERENCES'!$B$25)</f>
        <v>2133.4833166490257</v>
      </c>
      <c r="AG18" s="21">
        <f t="shared" si="15"/>
        <v>11255.963705079343</v>
      </c>
      <c r="AH18" s="21">
        <f t="shared" si="16"/>
        <v>18791.377360105762</v>
      </c>
      <c r="AI18" s="21">
        <f t="shared" si="17"/>
        <v>128345.40309844773</v>
      </c>
      <c r="AJ18" s="21">
        <f t="shared" si="18"/>
        <v>0</v>
      </c>
      <c r="AK18" s="7" t="str">
        <f>IF(A18="","",IF(AND(INPUTS!$C$43="Yes",A18&gt;=INPUTS!$C$45),INPUTS!$C$44,INPUTS!$C$19))</f>
        <v>Married Filing Jointly</v>
      </c>
      <c r="AL18" s="23">
        <f t="shared" si="7"/>
        <v>2.3219096960337624</v>
      </c>
      <c r="AM18" s="24">
        <f>IF(A18="","",(IF(OR(AK18="Single",AK18="Married Filing Separately"),'CONSTANTS &amp; REFERENCES'!$B$13,IF(AK18="Married Filing Jointly",'CONSTANTS &amp; REFERENCES'!$G$13,IF(AK18="Head of Household",'CONSTANTS &amp; REFERENCES'!$L$13,""))))*AL18)</f>
        <v>74765.49221228715</v>
      </c>
      <c r="AN18" s="21">
        <f>IF(AM18="","",IF(A18=0,IF(OR(AK18="Single",AK18="Married Filing Separately"),'CONSTANTS &amp; REFERENCES'!$B$13,IF(AK18="Married Filing Jointly",'CONSTANTS &amp; REFERENCES'!$G$13,IF(AK18="Head of Household",'CONSTANTS &amp; REFERENCES'!$L$13,""))),_xlfn.FLOOR.MATH(AM18,IF(AK18="Married Filing Separately",Bracket_Round_MFS,Bracket_Round_Standard))))</f>
        <v>74750</v>
      </c>
      <c r="AO18" s="24">
        <f>IF(A18="","",(IF(OR(AK18="Single",AK18="Married Filing Separately"),'CONSTANTS &amp; REFERENCES'!$C$5,IF(AK18="Married Filing Jointly",'CONSTANTS &amp; REFERENCES'!$H$5,IF(AK18="Head of Household",'CONSTANTS &amp; REFERENCES'!$M$5,""))))*AL18)</f>
        <v>57583.360461637305</v>
      </c>
      <c r="AP18" s="21">
        <f>IF(AO18="","",IF(A18=0,IF(OR(AK18="Single",AK18="Married Filing Separately"),'CONSTANTS &amp; REFERENCES'!$C$5,IF(AK18="Married Filing Jointly",'CONSTANTS &amp; REFERENCES'!$H$5,IF(AK18="Head of Household",'CONSTANTS &amp; REFERENCES'!$M$5,""))),_xlfn.FLOOR.MATH(AO18,IF(AK18="Married Filing Separately",Bracket_Round_MFS,Bracket_Round_Standard))))</f>
        <v>57550</v>
      </c>
      <c r="AQ18" s="24">
        <f>IF(A18="","",(IF(OR(AK18="Single",AK18="Married Filing Separately"),'CONSTANTS &amp; REFERENCES'!$C$6,IF(AK18="Married Filing Jointly",'CONSTANTS &amp; REFERENCES'!$H$6,IF(AK18="Head of Household",'CONSTANTS &amp; REFERENCES'!$M$6,""))))*AL18)</f>
        <v>234048.49736020324</v>
      </c>
      <c r="AR18" s="21">
        <f>IF(AQ18="","",IF(A18=0,IF(OR(AK18="Single",AK18="Married Filing Separately"),'CONSTANTS &amp; REFERENCES'!$C$6,IF(AK18="Married Filing Jointly",'CONSTANTS &amp; REFERENCES'!$H$6,IF(AK18="Head of Household",'CONSTANTS &amp; REFERENCES'!$M$6,""))),_xlfn.FLOOR.MATH(AQ18,IF(AK18="Married Filing Separately",Bracket_Round_MFS,Bracket_Round_Standard))))</f>
        <v>234000</v>
      </c>
      <c r="AS18" s="24">
        <f>IF(A18="","",(IF(OR(AK18="Single",AK18="Married Filing Separately"),'CONSTANTS &amp; REFERENCES'!$C$7,IF(AK18="Married Filing Jointly",'CONSTANTS &amp; REFERENCES'!$H$7,IF(AK18="Head of Household",'CONSTANTS &amp; REFERENCES'!$M$7,""))))*AL18)</f>
        <v>490851.7097415374</v>
      </c>
      <c r="AT18" s="21">
        <f>IF(AS18="","",IF(A18=0,IF(OR(AK18="Single",AK18="Married Filing Separately"),'CONSTANTS &amp; REFERENCES'!$C$7,IF(AK18="Married Filing Jointly",'CONSTANTS &amp; REFERENCES'!$H$7,IF(AK18="Head of Household",'CONSTANTS &amp; REFERENCES'!$M$7,""))),_xlfn.FLOOR.MATH(AS18,IF(AK18="Married Filing Separately",Bracket_Round_MFS,Bracket_Round_Standard))))</f>
        <v>490850</v>
      </c>
      <c r="AU18" s="24">
        <f>IF(A18="","",(IF(OR(AK18="Single",AK18="Married Filing Separately"),'CONSTANTS &amp; REFERENCES'!$C$8,IF(AK18="Married Filing Jointly",'CONSTANTS &amp; REFERENCES'!$H$8,IF(AK18="Head of Household",'CONSTANTS &amp; REFERENCES'!$M$8,""))))*AL18)</f>
        <v>937006.65783442487</v>
      </c>
      <c r="AV18" s="21">
        <f>IF(AU18="","",IF(A18=0,IF(OR(AK18="Single",AK18="Married Filing Separately"),'CONSTANTS &amp; REFERENCES'!$C$8,IF(AK18="Married Filing Jointly",'CONSTANTS &amp; REFERENCES'!$H$8,IF(AK18="Head of Household",'CONSTANTS &amp; REFERENCES'!$M$8,""))),_xlfn.FLOOR.MATH(AU18,IF(AK18="Married Filing Separately",Bracket_Round_MFS,Bracket_Round_Standard))))</f>
        <v>937000</v>
      </c>
      <c r="AW18" s="24">
        <f>IF(A18="","",(IF(OR(AK18="Single",AK18="Married Filing Separately"),'CONSTANTS &amp; REFERENCES'!$C$9,IF(AK18="Married Filing Jointly",'CONSTANTS &amp; REFERENCES'!$H$9,IF(AK18="Head of Household",'CONSTANTS &amp; REFERENCES'!$M$9,""))))*AL18)</f>
        <v>1189862.6237325016</v>
      </c>
      <c r="AX18" s="21">
        <f>IF(AW18="","",IF(A18=0,IF(OR(AK18="Single",AK18="Married Filing Separately"),'CONSTANTS &amp; REFERENCES'!$C$9,IF(AK18="Married Filing Jointly",'CONSTANTS &amp; REFERENCES'!$H$9,IF(AK18="Head of Household",'CONSTANTS &amp; REFERENCES'!$M$9,""))),_xlfn.FLOOR.MATH(AW18,IF(AK18="Married Filing Separately",Bracket_Round_MFS,Bracket_Round_Standard))))</f>
        <v>1189850</v>
      </c>
      <c r="AY18" s="24">
        <f>IF(A18="","",(IF(OR(AK18="Single",AK18="Married Filing Separately"),'CONSTANTS &amp; REFERENCES'!$C$10,IF(AK18="Married Filing Jointly",'CONSTANTS &amp; REFERENCES'!$H$10,IF(AK18="Head of Household",'CONSTANTS &amp; REFERENCES'!$M$10,""))))*AL18)</f>
        <v>1784619.7923715499</v>
      </c>
      <c r="AZ18" s="21">
        <f>IF(AY18="","",IF(A18=0,IF(OR(AK18="Single",AK18="Married Filing Separately"),'CONSTANTS &amp; REFERENCES'!$C$10,IF(AK18="Married Filing Jointly",'CONSTANTS &amp; REFERENCES'!$H$10,IF(AK18="Head of Household",'CONSTANTS &amp; REFERENCES'!$M$10,""))),_xlfn.FLOOR.MATH(AY18,IF(AK18="Married Filing Separately",Bracket_Round_MFS,Bracket_Round_Standard))))</f>
        <v>1784600</v>
      </c>
      <c r="BA18" s="7" t="str">
        <f t="shared" si="8"/>
        <v>Illustrative future tax assumptions under simplified C-CPI-U indexing; not an IRS forecast.</v>
      </c>
      <c r="BB18" s="7">
        <f>IF(A18="","",'CONSTANTS &amp; REFERENCES'!$C$22*AL18)</f>
        <v>428392.33891822916</v>
      </c>
      <c r="BC18" s="21">
        <f t="shared" si="19"/>
        <v>428300</v>
      </c>
    </row>
    <row r="19" spans="1:55" ht="18" customHeight="1" x14ac:dyDescent="0.3">
      <c r="A19" s="10">
        <f>IF(A18&lt;INPUTS!$C$7-INPUTS!$C$6,A18+1,"")</f>
        <v>17</v>
      </c>
      <c r="B19" s="10">
        <f>IF(A19="","",INPUTS!$C$6+A19)</f>
        <v>39</v>
      </c>
      <c r="C19" s="11">
        <f t="shared" si="9"/>
        <v>473945.29778853001</v>
      </c>
      <c r="D19" s="11">
        <f>IF(A19="","",IF(A19&lt;INPUTS!$C$13,0,J19))</f>
        <v>20000</v>
      </c>
      <c r="E19" s="12" t="str">
        <f>IF(A19="","",IF(D19=0,"—",IF(Y19&lt;IF(AK19="Married Filing Jointly",'CONSTANTS &amp; REFERENCES'!$B$44,IF(AK19="Married Filing Separately",'CONSTANTS &amp; REFERENCES'!$B$45,'CONSTANTS &amp; REFERENCES'!$B$43)),"Direct","Backdoor")))</f>
        <v>Direct</v>
      </c>
      <c r="F19" s="13">
        <f t="shared" si="0"/>
        <v>20195.795893251106</v>
      </c>
      <c r="G19" s="14">
        <f t="shared" si="1"/>
        <v>20000</v>
      </c>
      <c r="H19" s="13">
        <f t="shared" si="2"/>
        <v>2962.0500643434953</v>
      </c>
      <c r="I19" s="14">
        <f t="shared" si="3"/>
        <v>2900</v>
      </c>
      <c r="J19" s="14">
        <f t="shared" si="4"/>
        <v>20000</v>
      </c>
      <c r="K19" s="11">
        <f>IF(A19="","",IF(INPUTS!$C$12="Beginning",(C19+D19)*INPUTS!$C$10,C19*INPUTS!$C$10))</f>
        <v>49394.529778853001</v>
      </c>
      <c r="L19" s="11">
        <f>IF(A19="","",IF(INPUTS!$C$12="Beginning",(C19+D19)*(1+INPUTS!$C$10),C19*(1+INPUTS!$C$10)+D19))</f>
        <v>543339.82756738306</v>
      </c>
      <c r="M19" s="15">
        <f>IF(A19="","",(1+INPUTS!$C$11)^A19)</f>
        <v>2.692772785766814</v>
      </c>
      <c r="N19" s="11">
        <f t="shared" si="10"/>
        <v>201777.07916513184</v>
      </c>
      <c r="O19" s="11">
        <f t="shared" si="11"/>
        <v>226500</v>
      </c>
      <c r="P19" s="11">
        <f>IF(A19="","",L19-INPUTS!$C$8-O19)</f>
        <v>316839.82756738306</v>
      </c>
      <c r="Q19" s="16"/>
      <c r="R19" s="16"/>
      <c r="S19" s="16">
        <f t="shared" si="12"/>
        <v>39</v>
      </c>
      <c r="T19" s="18">
        <f t="shared" si="13"/>
        <v>543339.82756738306</v>
      </c>
      <c r="U19" s="18">
        <f t="shared" si="14"/>
        <v>201777.07916513184</v>
      </c>
      <c r="V19" s="19">
        <f>IF(A19="","",FV(INPUTS!$C$10,INPUTS!$C$7-INPUTS!$C$6-A19+IF(INPUTS!$C$12="Beginning",1,0),0,-D19,0))</f>
        <v>262199.88382999913</v>
      </c>
      <c r="W19" s="7"/>
      <c r="X19" s="7"/>
      <c r="Y19" s="21">
        <f>IF(A19="","",IF(INPUTS!$C$17="Yes",MIN(Y18*(1+INPUTS!$C$15)+IF(INPUTS!$C$27="Yes",(Z19-Z18)*INPUTS!$C$31+IF(AND(INPUTS!$C$28="Not yet credentialed",A19=INPUTS!$C$33),INPUTS!$C$32,0)+IF(AND(INPUTS!$C$28&lt;&gt;"FSA / FCAS",A19=INPUTS!$C$35),INPUTS!$C$34,0),0),INPUTS!$C$18),Y18*(1+INPUTS!$C$15)+IF(INPUTS!$C$27="Yes",(Z19-Z18)*INPUTS!$C$31+IF(AND(INPUTS!$C$28="Not yet credentialed",A19=INPUTS!$C$33),INPUTS!$C$32,0)+IF(AND(INPUTS!$C$28&lt;&gt;"FSA / FCAS",A19=INPUTS!$C$35),INPUTS!$C$34,0),0)))</f>
        <v>151550.88387231011</v>
      </c>
      <c r="Z19" s="22">
        <f>IF(A19="","",IF(AND(INPUTS!$C$27="Yes",INPUTS!$C$28&lt;&gt;"FSA / FCAS",ISNUMBER(INPUTS!$C$37)),MIN(A19*INPUTS!$C$37,INPUTS!$C$30),0))</f>
        <v>3</v>
      </c>
      <c r="AA19" s="21">
        <f t="shared" si="5"/>
        <v>78800</v>
      </c>
      <c r="AB19" s="21">
        <f t="shared" si="6"/>
        <v>72750.883872310107</v>
      </c>
      <c r="AC19" s="21">
        <f>IF(A19="","",MIN(AB19,AP19)*'CONSTANTS &amp; REFERENCES'!$A$5+MAX(MIN(AB19,AR19)-AP19,0)*'CONSTANTS &amp; REFERENCES'!$A$6+MAX(MIN(AB19,AT19)-AR19,0)*'CONSTANTS &amp; REFERENCES'!$A$7+MAX(MIN(AB19,AV19)-AT19,0)*'CONSTANTS &amp; REFERENCES'!$A$8+MAX(MIN(AB19,AX19)-AV19,0)*'CONSTANTS &amp; REFERENCES'!$A$9+MAX(MIN(AB19,AZ19)-AX19,0)*'CONSTANTS &amp; REFERENCES'!$A$10+MAX(AB19-AZ19,0)*'CONSTANTS &amp; REFERENCES'!$A$11)</f>
        <v>7517.106064677213</v>
      </c>
      <c r="AD19" s="21">
        <f>IF(AB19="","",IF(INPUTS!$C$20="Yes",AB19*INPUTS!$C$21,0))</f>
        <v>0</v>
      </c>
      <c r="AE19" s="21">
        <f>IF(Y19="","",MIN(Y19,BC19)*'CONSTANTS &amp; REFERENCES'!$B$22)</f>
        <v>9396.1548000832263</v>
      </c>
      <c r="AF19" s="21">
        <f>IF(Y19="","",Y19*'CONSTANTS &amp; REFERENCES'!$B$24+MAX(0,Y19-IF(AK19="Married Filing Jointly",'CONSTANTS &amp; REFERENCES'!$C$26,IF(AK19="Married Filing Separately",'CONSTANTS &amp; REFERENCES'!$C$27,IF(AK19="Head of Household",'CONSTANTS &amp; REFERENCES'!$C$28,'CONSTANTS &amp; REFERENCES'!$C$25))))*'CONSTANTS &amp; REFERENCES'!$B$25)</f>
        <v>2197.4878161484967</v>
      </c>
      <c r="AG19" s="21">
        <f t="shared" si="15"/>
        <v>11593.642616231722</v>
      </c>
      <c r="AH19" s="21">
        <f t="shared" si="16"/>
        <v>19110.748680908935</v>
      </c>
      <c r="AI19" s="21">
        <f t="shared" si="17"/>
        <v>132440.13519140118</v>
      </c>
      <c r="AJ19" s="21">
        <f t="shared" si="18"/>
        <v>0</v>
      </c>
      <c r="AK19" s="7" t="str">
        <f>IF(A19="","",IF(AND(INPUTS!$C$43="Yes",A19&gt;=INPUTS!$C$45),INPUTS!$C$44,INPUTS!$C$19))</f>
        <v>Married Filing Jointly</v>
      </c>
      <c r="AL19" s="23">
        <f t="shared" si="7"/>
        <v>2.4474321342013474</v>
      </c>
      <c r="AM19" s="24">
        <f>IF(A19="","",(IF(OR(AK19="Single",AK19="Married Filing Separately"),'CONSTANTS &amp; REFERENCES'!$B$13,IF(AK19="Married Filing Jointly",'CONSTANTS &amp; REFERENCES'!$G$13,IF(AK19="Head of Household",'CONSTANTS &amp; REFERENCES'!$L$13,""))))*AL19)</f>
        <v>78807.314721283386</v>
      </c>
      <c r="AN19" s="21">
        <f>IF(AM19="","",IF(A19=0,IF(OR(AK19="Single",AK19="Married Filing Separately"),'CONSTANTS &amp; REFERENCES'!$B$13,IF(AK19="Married Filing Jointly",'CONSTANTS &amp; REFERENCES'!$G$13,IF(AK19="Head of Household",'CONSTANTS &amp; REFERENCES'!$L$13,""))),_xlfn.FLOOR.MATH(AM19,IF(AK19="Married Filing Separately",Bracket_Round_MFS,Bracket_Round_Standard))))</f>
        <v>78800</v>
      </c>
      <c r="AO19" s="24">
        <f>IF(A19="","",(IF(OR(AK19="Single",AK19="Married Filing Separately"),'CONSTANTS &amp; REFERENCES'!$C$5,IF(AK19="Married Filing Jointly",'CONSTANTS &amp; REFERENCES'!$H$5,IF(AK19="Head of Household",'CONSTANTS &amp; REFERENCES'!$M$5,""))))*AL19)</f>
        <v>60696.316928193417</v>
      </c>
      <c r="AP19" s="21">
        <f>IF(AO19="","",IF(A19=0,IF(OR(AK19="Single",AK19="Married Filing Separately"),'CONSTANTS &amp; REFERENCES'!$C$5,IF(AK19="Married Filing Jointly",'CONSTANTS &amp; REFERENCES'!$H$5,IF(AK19="Head of Household",'CONSTANTS &amp; REFERENCES'!$M$5,""))),_xlfn.FLOOR.MATH(AO19,IF(AK19="Married Filing Separately",Bracket_Round_MFS,Bracket_Round_Standard))))</f>
        <v>60650</v>
      </c>
      <c r="AQ19" s="24">
        <f>IF(A19="","",(IF(OR(AK19="Single",AK19="Married Filing Separately"),'CONSTANTS &amp; REFERENCES'!$C$6,IF(AK19="Married Filing Jointly",'CONSTANTS &amp; REFERENCES'!$H$6,IF(AK19="Head of Household",'CONSTANTS &amp; REFERENCES'!$M$6,""))))*AL19)</f>
        <v>246701.15912749583</v>
      </c>
      <c r="AR19" s="21">
        <f>IF(AQ19="","",IF(A19=0,IF(OR(AK19="Single",AK19="Married Filing Separately"),'CONSTANTS &amp; REFERENCES'!$C$6,IF(AK19="Married Filing Jointly",'CONSTANTS &amp; REFERENCES'!$H$6,IF(AK19="Head of Household",'CONSTANTS &amp; REFERENCES'!$M$6,""))),_xlfn.FLOOR.MATH(AQ19,IF(AK19="Married Filing Separately",Bracket_Round_MFS,Bracket_Round_Standard))))</f>
        <v>246700</v>
      </c>
      <c r="AS19" s="24">
        <f>IF(A19="","",(IF(OR(AK19="Single",AK19="Married Filing Separately"),'CONSTANTS &amp; REFERENCES'!$C$7,IF(AK19="Married Filing Jointly",'CONSTANTS &amp; REFERENCES'!$H$7,IF(AK19="Head of Household",'CONSTANTS &amp; REFERENCES'!$M$7,""))))*AL19)</f>
        <v>517387.15317016485</v>
      </c>
      <c r="AT19" s="21">
        <f>IF(AS19="","",IF(A19=0,IF(OR(AK19="Single",AK19="Married Filing Separately"),'CONSTANTS &amp; REFERENCES'!$C$7,IF(AK19="Married Filing Jointly",'CONSTANTS &amp; REFERENCES'!$H$7,IF(AK19="Head of Household",'CONSTANTS &amp; REFERENCES'!$M$7,""))),_xlfn.FLOOR.MATH(AS19,IF(AK19="Married Filing Separately",Bracket_Round_MFS,Bracket_Round_Standard))))</f>
        <v>517350</v>
      </c>
      <c r="AU19" s="24">
        <f>IF(A19="","",(IF(OR(AK19="Single",AK19="Married Filing Separately"),'CONSTANTS &amp; REFERENCES'!$C$8,IF(AK19="Married Filing Jointly",'CONSTANTS &amp; REFERENCES'!$H$8,IF(AK19="Head of Household",'CONSTANTS &amp; REFERENCES'!$M$8,""))))*AL19)</f>
        <v>987661.23775695381</v>
      </c>
      <c r="AV19" s="21">
        <f>IF(AU19="","",IF(A19=0,IF(OR(AK19="Single",AK19="Married Filing Separately"),'CONSTANTS &amp; REFERENCES'!$C$8,IF(AK19="Married Filing Jointly",'CONSTANTS &amp; REFERENCES'!$H$8,IF(AK19="Head of Household",'CONSTANTS &amp; REFERENCES'!$M$8,""))),_xlfn.FLOOR.MATH(AU19,IF(AK19="Married Filing Separately",Bracket_Round_MFS,Bracket_Round_Standard))))</f>
        <v>987650</v>
      </c>
      <c r="AW19" s="24">
        <f>IF(A19="","",(IF(OR(AK19="Single",AK19="Married Filing Separately"),'CONSTANTS &amp; REFERENCES'!$C$9,IF(AK19="Married Filing Jointly",'CONSTANTS &amp; REFERENCES'!$H$9,IF(AK19="Head of Household",'CONSTANTS &amp; REFERENCES'!$M$9,""))))*AL19)</f>
        <v>1254186.5971714805</v>
      </c>
      <c r="AX19" s="21">
        <f>IF(AW19="","",IF(A19=0,IF(OR(AK19="Single",AK19="Married Filing Separately"),'CONSTANTS &amp; REFERENCES'!$C$9,IF(AK19="Married Filing Jointly",'CONSTANTS &amp; REFERENCES'!$H$9,IF(AK19="Head of Household",'CONSTANTS &amp; REFERENCES'!$M$9,""))),_xlfn.FLOOR.MATH(AW19,IF(AK19="Married Filing Separately",Bracket_Round_MFS,Bracket_Round_Standard))))</f>
        <v>1254150</v>
      </c>
      <c r="AY19" s="24">
        <f>IF(A19="","",(IF(OR(AK19="Single",AK19="Married Filing Separately"),'CONSTANTS &amp; REFERENCES'!$C$10,IF(AK19="Married Filing Jointly",'CONSTANTS &amp; REFERENCES'!$H$10,IF(AK19="Head of Household",'CONSTANTS &amp; REFERENCES'!$M$10,""))))*AL19)</f>
        <v>1881096.3383471556</v>
      </c>
      <c r="AZ19" s="21">
        <f>IF(AY19="","",IF(A19=0,IF(OR(AK19="Single",AK19="Married Filing Separately"),'CONSTANTS &amp; REFERENCES'!$C$10,IF(AK19="Married Filing Jointly",'CONSTANTS &amp; REFERENCES'!$H$10,IF(AK19="Head of Household",'CONSTANTS &amp; REFERENCES'!$M$10,""))),_xlfn.FLOOR.MATH(AY19,IF(AK19="Married Filing Separately",Bracket_Round_MFS,Bracket_Round_Standard))))</f>
        <v>1881050</v>
      </c>
      <c r="BA19" s="7" t="str">
        <f t="shared" si="8"/>
        <v>Illustrative future tax assumptions under simplified C-CPI-U indexing; not an IRS forecast.</v>
      </c>
      <c r="BB19" s="7">
        <f>IF(A19="","",'CONSTANTS &amp; REFERENCES'!$C$22*AL19)</f>
        <v>451551.22876014857</v>
      </c>
      <c r="BC19" s="21">
        <f t="shared" si="19"/>
        <v>451500</v>
      </c>
    </row>
    <row r="20" spans="1:55" ht="18" customHeight="1" x14ac:dyDescent="0.3">
      <c r="A20" s="10">
        <f>IF(A19&lt;INPUTS!$C$7-INPUTS!$C$6,A19+1,"")</f>
        <v>18</v>
      </c>
      <c r="B20" s="10">
        <f>IF(A20="","",INPUTS!$C$6+A20)</f>
        <v>40</v>
      </c>
      <c r="C20" s="11">
        <f t="shared" si="9"/>
        <v>543339.82756738306</v>
      </c>
      <c r="D20" s="11">
        <f>IF(A20="","",IF(A20&lt;INPUTS!$C$13,0,J20))</f>
        <v>21000</v>
      </c>
      <c r="E20" s="12" t="str">
        <f>IF(A20="","",IF(D20=0,"—",IF(Y20&lt;IF(AK20="Married Filing Jointly",'CONSTANTS &amp; REFERENCES'!$B$44,IF(AK20="Married Filing Separately",'CONSTANTS &amp; REFERENCES'!$B$45,'CONSTANTS &amp; REFERENCES'!$B$43)),"Direct","Backdoor")))</f>
        <v>Direct</v>
      </c>
      <c r="F20" s="13">
        <f t="shared" si="0"/>
        <v>21407.54364684617</v>
      </c>
      <c r="G20" s="14">
        <f t="shared" si="1"/>
        <v>21000</v>
      </c>
      <c r="H20" s="13">
        <f t="shared" si="2"/>
        <v>3139.7730682041051</v>
      </c>
      <c r="I20" s="14">
        <f t="shared" si="3"/>
        <v>3100</v>
      </c>
      <c r="J20" s="14">
        <f t="shared" si="4"/>
        <v>21000</v>
      </c>
      <c r="K20" s="11">
        <f>IF(A20="","",IF(INPUTS!$C$12="Beginning",(C20+D20)*INPUTS!$C$10,C20*INPUTS!$C$10))</f>
        <v>56433.982756738311</v>
      </c>
      <c r="L20" s="11">
        <f>IF(A20="","",IF(INPUTS!$C$12="Beginning",(C20+D20)*(1+INPUTS!$C$10),C20*(1+INPUTS!$C$10)+D20))</f>
        <v>620773.81032412138</v>
      </c>
      <c r="M20" s="15">
        <f>IF(A20="","",(1+INPUTS!$C$11)^A20)</f>
        <v>2.8543391529128228</v>
      </c>
      <c r="N20" s="11">
        <f t="shared" si="10"/>
        <v>217484.25014267428</v>
      </c>
      <c r="O20" s="11">
        <f t="shared" si="11"/>
        <v>247500</v>
      </c>
      <c r="P20" s="11">
        <f>IF(A20="","",L20-INPUTS!$C$8-O20)</f>
        <v>373273.81032412138</v>
      </c>
      <c r="Q20" s="16"/>
      <c r="R20" s="16"/>
      <c r="S20" s="16">
        <f t="shared" si="12"/>
        <v>40</v>
      </c>
      <c r="T20" s="18">
        <f t="shared" si="13"/>
        <v>620773.81032412138</v>
      </c>
      <c r="U20" s="18">
        <f t="shared" si="14"/>
        <v>217484.25014267428</v>
      </c>
      <c r="V20" s="19">
        <f>IF(A20="","",FV(INPUTS!$C$10,INPUTS!$C$7-INPUTS!$C$6-A20+IF(INPUTS!$C$12="Beginning",1,0),0,-D20,0))</f>
        <v>250281.70729227184</v>
      </c>
      <c r="W20" s="7"/>
      <c r="X20" s="7"/>
      <c r="Y20" s="21">
        <f>IF(A20="","",IF(INPUTS!$C$17="Yes",MIN(Y19*(1+INPUTS!$C$15)+IF(INPUTS!$C$27="Yes",(Z20-Z19)*INPUTS!$C$31+IF(AND(INPUTS!$C$28="Not yet credentialed",A20=INPUTS!$C$33),INPUTS!$C$32,0)+IF(AND(INPUTS!$C$28&lt;&gt;"FSA / FCAS",A20=INPUTS!$C$35),INPUTS!$C$34,0),0),INPUTS!$C$18),Y19*(1+INPUTS!$C$15)+IF(INPUTS!$C$27="Yes",(Z20-Z19)*INPUTS!$C$31+IF(AND(INPUTS!$C$28="Not yet credentialed",A20=INPUTS!$C$33),INPUTS!$C$32,0)+IF(AND(INPUTS!$C$28&lt;&gt;"FSA / FCAS",A20=INPUTS!$C$35),INPUTS!$C$34,0),0)))</f>
        <v>156097.41038847942</v>
      </c>
      <c r="Z20" s="22">
        <f>IF(A20="","",IF(AND(INPUTS!$C$27="Yes",INPUTS!$C$28&lt;&gt;"FSA / FCAS",ISNUMBER(INPUTS!$C$37)),MIN(A20*INPUTS!$C$37,INPUTS!$C$30),0))</f>
        <v>3</v>
      </c>
      <c r="AA20" s="21">
        <f t="shared" si="5"/>
        <v>83050</v>
      </c>
      <c r="AB20" s="21">
        <f t="shared" si="6"/>
        <v>73047.410388479417</v>
      </c>
      <c r="AC20" s="21">
        <f>IF(A20="","",MIN(AB20,AP20)*'CONSTANTS &amp; REFERENCES'!$A$5+MAX(MIN(AB20,AR20)-AP20,0)*'CONSTANTS &amp; REFERENCES'!$A$6+MAX(MIN(AB20,AT20)-AR20,0)*'CONSTANTS &amp; REFERENCES'!$A$7+MAX(MIN(AB20,AV20)-AT20,0)*'CONSTANTS &amp; REFERENCES'!$A$8+MAX(MIN(AB20,AX20)-AV20,0)*'CONSTANTS &amp; REFERENCES'!$A$9+MAX(MIN(AB20,AZ20)-AX20,0)*'CONSTANTS &amp; REFERENCES'!$A$10+MAX(AB20-AZ20,0)*'CONSTANTS &amp; REFERENCES'!$A$11)</f>
        <v>7486.6892466175304</v>
      </c>
      <c r="AD20" s="21">
        <f>IF(AB20="","",IF(INPUTS!$C$20="Yes",AB20*INPUTS!$C$21,0))</f>
        <v>0</v>
      </c>
      <c r="AE20" s="21">
        <f>IF(Y20="","",MIN(Y20,BC20)*'CONSTANTS &amp; REFERENCES'!$B$22)</f>
        <v>9678.0394440857235</v>
      </c>
      <c r="AF20" s="21">
        <f>IF(Y20="","",Y20*'CONSTANTS &amp; REFERENCES'!$B$24+MAX(0,Y20-IF(AK20="Married Filing Jointly",'CONSTANTS &amp; REFERENCES'!$C$26,IF(AK20="Married Filing Separately",'CONSTANTS &amp; REFERENCES'!$C$27,IF(AK20="Head of Household",'CONSTANTS &amp; REFERENCES'!$C$28,'CONSTANTS &amp; REFERENCES'!$C$25))))*'CONSTANTS &amp; REFERENCES'!$B$25)</f>
        <v>2263.4124506329517</v>
      </c>
      <c r="AG20" s="21">
        <f t="shared" si="15"/>
        <v>11941.451894718675</v>
      </c>
      <c r="AH20" s="21">
        <f t="shared" si="16"/>
        <v>19428.141141336208</v>
      </c>
      <c r="AI20" s="21">
        <f t="shared" si="17"/>
        <v>136669.26924714321</v>
      </c>
      <c r="AJ20" s="21">
        <f t="shared" si="18"/>
        <v>0</v>
      </c>
      <c r="AK20" s="7" t="str">
        <f>IF(A20="","",IF(AND(INPUTS!$C$43="Yes",A20&gt;=INPUTS!$C$45),INPUTS!$C$44,INPUTS!$C$19))</f>
        <v>Married Filing Jointly</v>
      </c>
      <c r="AL20" s="23">
        <f t="shared" si="7"/>
        <v>2.5797403153762724</v>
      </c>
      <c r="AM20" s="24">
        <f>IF(A20="","",(IF(OR(AK20="Single",AK20="Married Filing Separately"),'CONSTANTS &amp; REFERENCES'!$B$13,IF(AK20="Married Filing Jointly",'CONSTANTS &amp; REFERENCES'!$G$13,IF(AK20="Head of Household",'CONSTANTS &amp; REFERENCES'!$L$13,""))))*AL20)</f>
        <v>83067.638155115972</v>
      </c>
      <c r="AN20" s="21">
        <f>IF(AM20="","",IF(A20=0,IF(OR(AK20="Single",AK20="Married Filing Separately"),'CONSTANTS &amp; REFERENCES'!$B$13,IF(AK20="Married Filing Jointly",'CONSTANTS &amp; REFERENCES'!$G$13,IF(AK20="Head of Household",'CONSTANTS &amp; REFERENCES'!$L$13,""))),_xlfn.FLOOR.MATH(AM20,IF(AK20="Married Filing Separately",Bracket_Round_MFS,Bracket_Round_Standard))))</f>
        <v>83050</v>
      </c>
      <c r="AO20" s="24">
        <f>IF(A20="","",(IF(OR(AK20="Single",AK20="Married Filing Separately"),'CONSTANTS &amp; REFERENCES'!$C$5,IF(AK20="Married Filing Jointly",'CONSTANTS &amp; REFERENCES'!$H$5,IF(AK20="Head of Household",'CONSTANTS &amp; REFERENCES'!$M$5,""))))*AL20)</f>
        <v>63977.559821331553</v>
      </c>
      <c r="AP20" s="21">
        <f>IF(AO20="","",IF(A20=0,IF(OR(AK20="Single",AK20="Married Filing Separately"),'CONSTANTS &amp; REFERENCES'!$C$5,IF(AK20="Married Filing Jointly",'CONSTANTS &amp; REFERENCES'!$H$5,IF(AK20="Head of Household",'CONSTANTS &amp; REFERENCES'!$M$5,""))),_xlfn.FLOOR.MATH(AO20,IF(AK20="Married Filing Separately",Bracket_Round_MFS,Bracket_Round_Standard))))</f>
        <v>63950</v>
      </c>
      <c r="AQ20" s="24">
        <f>IF(A20="","",(IF(OR(AK20="Single",AK20="Married Filing Separately"),'CONSTANTS &amp; REFERENCES'!$C$6,IF(AK20="Married Filing Jointly",'CONSTANTS &amp; REFERENCES'!$H$6,IF(AK20="Head of Household",'CONSTANTS &amp; REFERENCES'!$M$6,""))))*AL20)</f>
        <v>260037.82378992825</v>
      </c>
      <c r="AR20" s="21">
        <f>IF(AQ20="","",IF(A20=0,IF(OR(AK20="Single",AK20="Married Filing Separately"),'CONSTANTS &amp; REFERENCES'!$C$6,IF(AK20="Married Filing Jointly",'CONSTANTS &amp; REFERENCES'!$H$6,IF(AK20="Head of Household",'CONSTANTS &amp; REFERENCES'!$M$6,""))),_xlfn.FLOOR.MATH(AQ20,IF(AK20="Married Filing Separately",Bracket_Round_MFS,Bracket_Round_Standard))))</f>
        <v>260000</v>
      </c>
      <c r="AS20" s="24">
        <f>IF(A20="","",(IF(OR(AK20="Single",AK20="Married Filing Separately"),'CONSTANTS &amp; REFERENCES'!$C$7,IF(AK20="Married Filing Jointly",'CONSTANTS &amp; REFERENCES'!$H$7,IF(AK20="Head of Household",'CONSTANTS &amp; REFERENCES'!$M$7,""))))*AL20)</f>
        <v>545357.10267054394</v>
      </c>
      <c r="AT20" s="21">
        <f>IF(AS20="","",IF(A20=0,IF(OR(AK20="Single",AK20="Married Filing Separately"),'CONSTANTS &amp; REFERENCES'!$C$7,IF(AK20="Married Filing Jointly",'CONSTANTS &amp; REFERENCES'!$H$7,IF(AK20="Head of Household",'CONSTANTS &amp; REFERENCES'!$M$7,""))),_xlfn.FLOOR.MATH(AS20,IF(AK20="Married Filing Separately",Bracket_Round_MFS,Bracket_Round_Standard))))</f>
        <v>545350</v>
      </c>
      <c r="AU20" s="24">
        <f>IF(A20="","",(IF(OR(AK20="Single",AK20="Married Filing Separately"),'CONSTANTS &amp; REFERENCES'!$C$8,IF(AK20="Married Filing Jointly",'CONSTANTS &amp; REFERENCES'!$H$8,IF(AK20="Head of Household",'CONSTANTS &amp; REFERENCES'!$M$8,""))))*AL20)</f>
        <v>1041054.2042700947</v>
      </c>
      <c r="AV20" s="21">
        <f>IF(AU20="","",IF(A20=0,IF(OR(AK20="Single",AK20="Married Filing Separately"),'CONSTANTS &amp; REFERENCES'!$C$8,IF(AK20="Married Filing Jointly",'CONSTANTS &amp; REFERENCES'!$H$8,IF(AK20="Head of Household",'CONSTANTS &amp; REFERENCES'!$M$8,""))),_xlfn.FLOOR.MATH(AU20,IF(AK20="Married Filing Separately",Bracket_Round_MFS,Bracket_Round_Standard))))</f>
        <v>1041050</v>
      </c>
      <c r="AW20" s="24">
        <f>IF(A20="","",(IF(OR(AK20="Single",AK20="Married Filing Separately"),'CONSTANTS &amp; REFERENCES'!$C$9,IF(AK20="Married Filing Jointly",'CONSTANTS &amp; REFERENCES'!$H$9,IF(AK20="Head of Household",'CONSTANTS &amp; REFERENCES'!$M$9,""))))*AL20)</f>
        <v>1321987.9246145708</v>
      </c>
      <c r="AX20" s="21">
        <f>IF(AW20="","",IF(A20=0,IF(OR(AK20="Single",AK20="Married Filing Separately"),'CONSTANTS &amp; REFERENCES'!$C$9,IF(AK20="Married Filing Jointly",'CONSTANTS &amp; REFERENCES'!$H$9,IF(AK20="Head of Household",'CONSTANTS &amp; REFERENCES'!$M$9,""))),_xlfn.FLOOR.MATH(AW20,IF(AK20="Married Filing Separately",Bracket_Round_MFS,Bracket_Round_Standard))))</f>
        <v>1321950</v>
      </c>
      <c r="AY20" s="24">
        <f>IF(A20="","",(IF(OR(AK20="Single",AK20="Married Filing Separately"),'CONSTANTS &amp; REFERENCES'!$C$10,IF(AK20="Married Filing Jointly",'CONSTANTS &amp; REFERENCES'!$H$10,IF(AK20="Head of Household",'CONSTANTS &amp; REFERENCES'!$M$10,""))))*AL20)</f>
        <v>1982788.406398203</v>
      </c>
      <c r="AZ20" s="21">
        <f>IF(AY20="","",IF(A20=0,IF(OR(AK20="Single",AK20="Married Filing Separately"),'CONSTANTS &amp; REFERENCES'!$C$10,IF(AK20="Married Filing Jointly",'CONSTANTS &amp; REFERENCES'!$H$10,IF(AK20="Head of Household",'CONSTANTS &amp; REFERENCES'!$M$10,""))),_xlfn.FLOOR.MATH(AY20,IF(AK20="Married Filing Separately",Bracket_Round_MFS,Bracket_Round_Standard))))</f>
        <v>1982750</v>
      </c>
      <c r="BA20" s="7" t="str">
        <f t="shared" si="8"/>
        <v>Illustrative future tax assumptions under simplified C-CPI-U indexing; not an IRS forecast.</v>
      </c>
      <c r="BB20" s="7">
        <f>IF(A20="","",'CONSTANTS &amp; REFERENCES'!$C$22*AL20)</f>
        <v>475962.08818692225</v>
      </c>
      <c r="BC20" s="21">
        <f t="shared" si="19"/>
        <v>475900</v>
      </c>
    </row>
    <row r="21" spans="1:55" ht="18" customHeight="1" x14ac:dyDescent="0.3">
      <c r="A21" s="10">
        <f>IF(A20&lt;INPUTS!$C$7-INPUTS!$C$6,A20+1,"")</f>
        <v>19</v>
      </c>
      <c r="B21" s="10">
        <f>IF(A21="","",INPUTS!$C$6+A21)</f>
        <v>41</v>
      </c>
      <c r="C21" s="11">
        <f t="shared" si="9"/>
        <v>620773.81032412138</v>
      </c>
      <c r="D21" s="11">
        <f>IF(A21="","",IF(A21&lt;INPUTS!$C$13,0,J21))</f>
        <v>22500</v>
      </c>
      <c r="E21" s="12" t="str">
        <f>IF(A21="","",IF(D21=0,"—",IF(Y21&lt;IF(AK21="Married Filing Jointly",'CONSTANTS &amp; REFERENCES'!$B$44,IF(AK21="Married Filing Separately",'CONSTANTS &amp; REFERENCES'!$B$45,'CONSTANTS &amp; REFERENCES'!$B$43)),"Direct","Backdoor")))</f>
        <v>Direct</v>
      </c>
      <c r="F21" s="13">
        <f t="shared" si="0"/>
        <v>22691.996265656944</v>
      </c>
      <c r="G21" s="14">
        <f t="shared" si="1"/>
        <v>22500</v>
      </c>
      <c r="H21" s="13">
        <f t="shared" si="2"/>
        <v>3328.1594522963519</v>
      </c>
      <c r="I21" s="14">
        <f t="shared" si="3"/>
        <v>3300</v>
      </c>
      <c r="J21" s="14">
        <f t="shared" si="4"/>
        <v>22500</v>
      </c>
      <c r="K21" s="11">
        <f>IF(A21="","",IF(INPUTS!$C$12="Beginning",(C21+D21)*INPUTS!$C$10,C21*INPUTS!$C$10))</f>
        <v>64327.381032412144</v>
      </c>
      <c r="L21" s="11">
        <f>IF(A21="","",IF(INPUTS!$C$12="Beginning",(C21+D21)*(1+INPUTS!$C$10),C21*(1+INPUTS!$C$10)+D21))</f>
        <v>707601.19135653356</v>
      </c>
      <c r="M21" s="15">
        <f>IF(A21="","",(1+INPUTS!$C$11)^A21)</f>
        <v>3.0255995020875925</v>
      </c>
      <c r="N21" s="11">
        <f t="shared" si="10"/>
        <v>233871.39998810331</v>
      </c>
      <c r="O21" s="11">
        <f t="shared" si="11"/>
        <v>270000</v>
      </c>
      <c r="P21" s="11">
        <f>IF(A21="","",L21-INPUTS!$C$8-O21)</f>
        <v>437601.19135653356</v>
      </c>
      <c r="Q21" s="16"/>
      <c r="R21" s="16"/>
      <c r="S21" s="16">
        <f t="shared" si="12"/>
        <v>41</v>
      </c>
      <c r="T21" s="18">
        <f t="shared" si="13"/>
        <v>707601.19135653356</v>
      </c>
      <c r="U21" s="18">
        <f t="shared" si="14"/>
        <v>233871.39998810331</v>
      </c>
      <c r="V21" s="19">
        <f>IF(A21="","",FV(INPUTS!$C$10,INPUTS!$C$7-INPUTS!$C$6-A21+IF(INPUTS!$C$12="Beginning",1,0),0,-D21,0))</f>
        <v>243780.8837262388</v>
      </c>
      <c r="W21" s="7"/>
      <c r="X21" s="7"/>
      <c r="Y21" s="21">
        <f>IF(A21="","",IF(INPUTS!$C$17="Yes",MIN(Y20*(1+INPUTS!$C$15)+IF(INPUTS!$C$27="Yes",(Z21-Z20)*INPUTS!$C$31+IF(AND(INPUTS!$C$28="Not yet credentialed",A21=INPUTS!$C$33),INPUTS!$C$32,0)+IF(AND(INPUTS!$C$28&lt;&gt;"FSA / FCAS",A21=INPUTS!$C$35),INPUTS!$C$34,0),0),INPUTS!$C$18),Y20*(1+INPUTS!$C$15)+IF(INPUTS!$C$27="Yes",(Z21-Z20)*INPUTS!$C$31+IF(AND(INPUTS!$C$28="Not yet credentialed",A21=INPUTS!$C$33),INPUTS!$C$32,0)+IF(AND(INPUTS!$C$28&lt;&gt;"FSA / FCAS",A21=INPUTS!$C$35),INPUTS!$C$34,0),0)))</f>
        <v>160780.33270013379</v>
      </c>
      <c r="Z21" s="22">
        <f>IF(A21="","",IF(AND(INPUTS!$C$27="Yes",INPUTS!$C$28&lt;&gt;"FSA / FCAS",ISNUMBER(INPUTS!$C$37)),MIN(A21*INPUTS!$C$37,INPUTS!$C$30),0))</f>
        <v>3</v>
      </c>
      <c r="AA21" s="21">
        <f t="shared" si="5"/>
        <v>87550</v>
      </c>
      <c r="AB21" s="21">
        <f t="shared" si="6"/>
        <v>73230.332700133789</v>
      </c>
      <c r="AC21" s="21">
        <f>IF(A21="","",MIN(AB21,AP21)*'CONSTANTS &amp; REFERENCES'!$A$5+MAX(MIN(AB21,AR21)-AP21,0)*'CONSTANTS &amp; REFERENCES'!$A$6+MAX(MIN(AB21,AT21)-AR21,0)*'CONSTANTS &amp; REFERENCES'!$A$7+MAX(MIN(AB21,AV21)-AT21,0)*'CONSTANTS &amp; REFERENCES'!$A$8+MAX(MIN(AB21,AX21)-AV21,0)*'CONSTANTS &amp; REFERENCES'!$A$9+MAX(MIN(AB21,AZ21)-AX21,0)*'CONSTANTS &amp; REFERENCES'!$A$10+MAX(AB21-AZ21,0)*'CONSTANTS &amp; REFERENCES'!$A$11)</f>
        <v>7439.6399240160545</v>
      </c>
      <c r="AD21" s="21">
        <f>IF(AB21="","",IF(INPUTS!$C$20="Yes",AB21*INPUTS!$C$21,0))</f>
        <v>0</v>
      </c>
      <c r="AE21" s="21">
        <f>IF(Y21="","",MIN(Y21,BC21)*'CONSTANTS &amp; REFERENCES'!$B$22)</f>
        <v>9968.3806274082945</v>
      </c>
      <c r="AF21" s="21">
        <f>IF(Y21="","",Y21*'CONSTANTS &amp; REFERENCES'!$B$24+MAX(0,Y21-IF(AK21="Married Filing Jointly",'CONSTANTS &amp; REFERENCES'!$C$26,IF(AK21="Married Filing Separately",'CONSTANTS &amp; REFERENCES'!$C$27,IF(AK21="Head of Household",'CONSTANTS &amp; REFERENCES'!$C$28,'CONSTANTS &amp; REFERENCES'!$C$25))))*'CONSTANTS &amp; REFERENCES'!$B$25)</f>
        <v>2331.3148241519402</v>
      </c>
      <c r="AG21" s="21">
        <f t="shared" si="15"/>
        <v>12299.695451560234</v>
      </c>
      <c r="AH21" s="21">
        <f t="shared" si="16"/>
        <v>19739.335375576287</v>
      </c>
      <c r="AI21" s="21">
        <f t="shared" si="17"/>
        <v>141040.99732455751</v>
      </c>
      <c r="AJ21" s="21">
        <f t="shared" si="18"/>
        <v>0</v>
      </c>
      <c r="AK21" s="7" t="str">
        <f>IF(A21="","",IF(AND(INPUTS!$C$43="Yes",A21&gt;=INPUTS!$C$45),INPUTS!$C$44,INPUTS!$C$19))</f>
        <v>Married Filing Jointly</v>
      </c>
      <c r="AL21" s="23">
        <f t="shared" si="7"/>
        <v>2.7192010768255139</v>
      </c>
      <c r="AM21" s="24">
        <f>IF(A21="","",(IF(OR(AK21="Single",AK21="Married Filing Separately"),'CONSTANTS &amp; REFERENCES'!$B$13,IF(AK21="Married Filing Jointly",'CONSTANTS &amp; REFERENCES'!$G$13,IF(AK21="Head of Household",'CONSTANTS &amp; REFERENCES'!$L$13,""))))*AL21)</f>
        <v>87558.274673781547</v>
      </c>
      <c r="AN21" s="21">
        <f>IF(AM21="","",IF(A21=0,IF(OR(AK21="Single",AK21="Married Filing Separately"),'CONSTANTS &amp; REFERENCES'!$B$13,IF(AK21="Married Filing Jointly",'CONSTANTS &amp; REFERENCES'!$G$13,IF(AK21="Head of Household",'CONSTANTS &amp; REFERENCES'!$L$13,""))),_xlfn.FLOOR.MATH(AM21,IF(AK21="Married Filing Separately",Bracket_Round_MFS,Bracket_Round_Standard))))</f>
        <v>87550</v>
      </c>
      <c r="AO21" s="24">
        <f>IF(A21="","",(IF(OR(AK21="Single",AK21="Married Filing Separately"),'CONSTANTS &amp; REFERENCES'!$C$5,IF(AK21="Married Filing Jointly",'CONSTANTS &amp; REFERENCES'!$H$5,IF(AK21="Head of Household",'CONSTANTS &amp; REFERENCES'!$M$5,""))))*AL21)</f>
        <v>67436.186705272747</v>
      </c>
      <c r="AP21" s="21">
        <f>IF(AO21="","",IF(A21=0,IF(OR(AK21="Single",AK21="Married Filing Separately"),'CONSTANTS &amp; REFERENCES'!$C$5,IF(AK21="Married Filing Jointly",'CONSTANTS &amp; REFERENCES'!$H$5,IF(AK21="Head of Household",'CONSTANTS &amp; REFERENCES'!$M$5,""))),_xlfn.FLOOR.MATH(AO21,IF(AK21="Married Filing Separately",Bracket_Round_MFS,Bracket_Round_Standard))))</f>
        <v>67400</v>
      </c>
      <c r="AQ21" s="24">
        <f>IF(A21="","",(IF(OR(AK21="Single",AK21="Married Filing Separately"),'CONSTANTS &amp; REFERENCES'!$C$6,IF(AK21="Married Filing Jointly",'CONSTANTS &amp; REFERENCES'!$H$6,IF(AK21="Head of Household",'CONSTANTS &amp; REFERENCES'!$M$6,""))))*AL21)</f>
        <v>274095.46854401182</v>
      </c>
      <c r="AR21" s="21">
        <f>IF(AQ21="","",IF(A21=0,IF(OR(AK21="Single",AK21="Married Filing Separately"),'CONSTANTS &amp; REFERENCES'!$C$6,IF(AK21="Married Filing Jointly",'CONSTANTS &amp; REFERENCES'!$H$6,IF(AK21="Head of Household",'CONSTANTS &amp; REFERENCES'!$M$6,""))),_xlfn.FLOOR.MATH(AQ21,IF(AK21="Married Filing Separately",Bracket_Round_MFS,Bracket_Round_Standard))))</f>
        <v>274050</v>
      </c>
      <c r="AS21" s="24">
        <f>IF(A21="","",(IF(OR(AK21="Single",AK21="Married Filing Separately"),'CONSTANTS &amp; REFERENCES'!$C$7,IF(AK21="Married Filing Jointly",'CONSTANTS &amp; REFERENCES'!$H$7,IF(AK21="Head of Household",'CONSTANTS &amp; REFERENCES'!$M$7,""))))*AL21)</f>
        <v>574839.10764091369</v>
      </c>
      <c r="AT21" s="21">
        <f>IF(AS21="","",IF(A21=0,IF(OR(AK21="Single",AK21="Married Filing Separately"),'CONSTANTS &amp; REFERENCES'!$C$7,IF(AK21="Married Filing Jointly",'CONSTANTS &amp; REFERENCES'!$H$7,IF(AK21="Head of Household",'CONSTANTS &amp; REFERENCES'!$M$7,""))),_xlfn.FLOOR.MATH(AS21,IF(AK21="Married Filing Separately",Bracket_Round_MFS,Bracket_Round_Standard))))</f>
        <v>574800</v>
      </c>
      <c r="AU21" s="24">
        <f>IF(A21="","",(IF(OR(AK21="Single",AK21="Married Filing Separately"),'CONSTANTS &amp; REFERENCES'!$C$8,IF(AK21="Married Filing Jointly",'CONSTANTS &amp; REFERENCES'!$H$8,IF(AK21="Head of Household",'CONSTANTS &amp; REFERENCES'!$M$8,""))))*AL21)</f>
        <v>1097333.594552936</v>
      </c>
      <c r="AV21" s="21">
        <f>IF(AU21="","",IF(A21=0,IF(OR(AK21="Single",AK21="Married Filing Separately"),'CONSTANTS &amp; REFERENCES'!$C$8,IF(AK21="Married Filing Jointly",'CONSTANTS &amp; REFERENCES'!$H$8,IF(AK21="Head of Household",'CONSTANTS &amp; REFERENCES'!$M$8,""))),_xlfn.FLOOR.MATH(AU21,IF(AK21="Married Filing Separately",Bracket_Round_MFS,Bracket_Round_Standard))))</f>
        <v>1097300</v>
      </c>
      <c r="AW21" s="24">
        <f>IF(A21="","",(IF(OR(AK21="Single",AK21="Married Filing Separately"),'CONSTANTS &amp; REFERENCES'!$C$9,IF(AK21="Married Filing Jointly",'CONSTANTS &amp; REFERENCES'!$H$9,IF(AK21="Head of Household",'CONSTANTS &amp; REFERENCES'!$M$9,""))))*AL21)</f>
        <v>1393454.5918192347</v>
      </c>
      <c r="AX21" s="21">
        <f>IF(AW21="","",IF(A21=0,IF(OR(AK21="Single",AK21="Married Filing Separately"),'CONSTANTS &amp; REFERENCES'!$C$9,IF(AK21="Married Filing Jointly",'CONSTANTS &amp; REFERENCES'!$H$9,IF(AK21="Head of Household",'CONSTANTS &amp; REFERENCES'!$M$9,""))),_xlfn.FLOOR.MATH(AW21,IF(AK21="Married Filing Separately",Bracket_Round_MFS,Bracket_Round_Standard))))</f>
        <v>1393450</v>
      </c>
      <c r="AY21" s="24">
        <f>IF(A21="","",(IF(OR(AK21="Single",AK21="Married Filing Separately"),'CONSTANTS &amp; REFERENCES'!$C$10,IF(AK21="Married Filing Jointly",'CONSTANTS &amp; REFERENCES'!$H$10,IF(AK21="Head of Household",'CONSTANTS &amp; REFERENCES'!$M$10,""))))*AL21)</f>
        <v>2089977.9476480901</v>
      </c>
      <c r="AZ21" s="21">
        <f>IF(AY21="","",IF(A21=0,IF(OR(AK21="Single",AK21="Married Filing Separately"),'CONSTANTS &amp; REFERENCES'!$C$10,IF(AK21="Married Filing Jointly",'CONSTANTS &amp; REFERENCES'!$H$10,IF(AK21="Head of Household",'CONSTANTS &amp; REFERENCES'!$M$10,""))),_xlfn.FLOOR.MATH(AY21,IF(AK21="Married Filing Separately",Bracket_Round_MFS,Bracket_Round_Standard))))</f>
        <v>2089950</v>
      </c>
      <c r="BA21" s="7" t="str">
        <f t="shared" si="8"/>
        <v>Illustrative future tax assumptions under simplified C-CPI-U indexing; not an IRS forecast.</v>
      </c>
      <c r="BB21" s="7">
        <f>IF(A21="","",'CONSTANTS &amp; REFERENCES'!$C$22*AL21)</f>
        <v>501692.59867430734</v>
      </c>
      <c r="BC21" s="21">
        <f t="shared" si="19"/>
        <v>501600</v>
      </c>
    </row>
    <row r="22" spans="1:55" ht="18" customHeight="1" x14ac:dyDescent="0.3">
      <c r="A22" s="10">
        <f>IF(A21&lt;INPUTS!$C$7-INPUTS!$C$6,A21+1,"")</f>
        <v>20</v>
      </c>
      <c r="B22" s="10">
        <f>IF(A22="","",INPUTS!$C$6+A22)</f>
        <v>42</v>
      </c>
      <c r="C22" s="11">
        <f t="shared" si="9"/>
        <v>707601.19135653356</v>
      </c>
      <c r="D22" s="11">
        <f>IF(A22="","",IF(A22&lt;INPUTS!$C$13,0,J22))</f>
        <v>24000</v>
      </c>
      <c r="E22" s="12" t="str">
        <f>IF(A22="","",IF(D22=0,"—",IF(Y22&lt;IF(AK22="Married Filing Jointly",'CONSTANTS &amp; REFERENCES'!$B$44,IF(AK22="Married Filing Separately",'CONSTANTS &amp; REFERENCES'!$B$45,'CONSTANTS &amp; REFERENCES'!$B$43)),"Direct","Backdoor")))</f>
        <v>Direct</v>
      </c>
      <c r="F22" s="13">
        <f t="shared" si="0"/>
        <v>24053.516041596358</v>
      </c>
      <c r="G22" s="14">
        <f t="shared" si="1"/>
        <v>24000</v>
      </c>
      <c r="H22" s="13">
        <f t="shared" si="2"/>
        <v>3527.849019434133</v>
      </c>
      <c r="I22" s="14">
        <f t="shared" si="3"/>
        <v>3500</v>
      </c>
      <c r="J22" s="14">
        <f t="shared" si="4"/>
        <v>24000</v>
      </c>
      <c r="K22" s="11">
        <f>IF(A22="","",IF(INPUTS!$C$12="Beginning",(C22+D22)*INPUTS!$C$10,C22*INPUTS!$C$10))</f>
        <v>73160.119135653353</v>
      </c>
      <c r="L22" s="11">
        <f>IF(A22="","",IF(INPUTS!$C$12="Beginning",(C22+D22)*(1+INPUTS!$C$10),C22*(1+INPUTS!$C$10)+D22))</f>
        <v>804761.31049218692</v>
      </c>
      <c r="M22" s="15">
        <f>IF(A22="","",(1+INPUTS!$C$11)^A22)</f>
        <v>3.207135472212848</v>
      </c>
      <c r="N22" s="11">
        <f t="shared" si="10"/>
        <v>250928.38062650361</v>
      </c>
      <c r="O22" s="11">
        <f t="shared" si="11"/>
        <v>294000</v>
      </c>
      <c r="P22" s="11">
        <f>IF(A22="","",L22-INPUTS!$C$8-O22)</f>
        <v>510761.31049218692</v>
      </c>
      <c r="Q22" s="16"/>
      <c r="R22" s="16"/>
      <c r="S22" s="16">
        <f t="shared" si="12"/>
        <v>42</v>
      </c>
      <c r="T22" s="18">
        <f t="shared" si="13"/>
        <v>804761.31049218692</v>
      </c>
      <c r="U22" s="18">
        <f t="shared" si="14"/>
        <v>250928.38062650361</v>
      </c>
      <c r="V22" s="19">
        <f>IF(A22="","",FV(INPUTS!$C$10,INPUTS!$C$7-INPUTS!$C$6-A22+IF(INPUTS!$C$12="Beginning",1,0),0,-D22,0))</f>
        <v>236393.58421938302</v>
      </c>
      <c r="W22" s="7"/>
      <c r="X22" s="7"/>
      <c r="Y22" s="21">
        <f>IF(A22="","",IF(INPUTS!$C$17="Yes",MIN(Y21*(1+INPUTS!$C$15)+IF(INPUTS!$C$27="Yes",(Z22-Z21)*INPUTS!$C$31+IF(AND(INPUTS!$C$28="Not yet credentialed",A22=INPUTS!$C$33),INPUTS!$C$32,0)+IF(AND(INPUTS!$C$28&lt;&gt;"FSA / FCAS",A22=INPUTS!$C$35),INPUTS!$C$34,0),0),INPUTS!$C$18),Y21*(1+INPUTS!$C$15)+IF(INPUTS!$C$27="Yes",(Z22-Z21)*INPUTS!$C$31+IF(AND(INPUTS!$C$28="Not yet credentialed",A22=INPUTS!$C$33),INPUTS!$C$32,0)+IF(AND(INPUTS!$C$28&lt;&gt;"FSA / FCAS",A22=INPUTS!$C$35),INPUTS!$C$34,0),0)))</f>
        <v>165603.74268113781</v>
      </c>
      <c r="Z22" s="22">
        <f>IF(A22="","",IF(AND(INPUTS!$C$27="Yes",INPUTS!$C$28&lt;&gt;"FSA / FCAS",ISNUMBER(INPUTS!$C$37)),MIN(A22*INPUTS!$C$37,INPUTS!$C$30),0))</f>
        <v>3</v>
      </c>
      <c r="AA22" s="21">
        <f t="shared" si="5"/>
        <v>92250</v>
      </c>
      <c r="AB22" s="21">
        <f t="shared" si="6"/>
        <v>73353.74268113781</v>
      </c>
      <c r="AC22" s="21">
        <f>IF(A22="","",MIN(AB22,AP22)*'CONSTANTS &amp; REFERENCES'!$A$5+MAX(MIN(AB22,AR22)-AP22,0)*'CONSTANTS &amp; REFERENCES'!$A$6+MAX(MIN(AB22,AT22)-AR22,0)*'CONSTANTS &amp; REFERENCES'!$A$7+MAX(MIN(AB22,AV22)-AT22,0)*'CONSTANTS &amp; REFERENCES'!$A$8+MAX(MIN(AB22,AX22)-AV22,0)*'CONSTANTS &amp; REFERENCES'!$A$9+MAX(MIN(AB22,AZ22)-AX22,0)*'CONSTANTS &amp; REFERENCES'!$A$10+MAX(AB22-AZ22,0)*'CONSTANTS &amp; REFERENCES'!$A$11)</f>
        <v>7381.4491217365376</v>
      </c>
      <c r="AD22" s="21">
        <f>IF(AB22="","",IF(INPUTS!$C$20="Yes",AB22*INPUTS!$C$21,0))</f>
        <v>0</v>
      </c>
      <c r="AE22" s="21">
        <f>IF(Y22="","",MIN(Y22,BC22)*'CONSTANTS &amp; REFERENCES'!$B$22)</f>
        <v>10267.432046230544</v>
      </c>
      <c r="AF22" s="21">
        <f>IF(Y22="","",Y22*'CONSTANTS &amp; REFERENCES'!$B$24+MAX(0,Y22-IF(AK22="Married Filing Jointly",'CONSTANTS &amp; REFERENCES'!$C$26,IF(AK22="Married Filing Separately",'CONSTANTS &amp; REFERENCES'!$C$27,IF(AK22="Head of Household",'CONSTANTS &amp; REFERENCES'!$C$28,'CONSTANTS &amp; REFERENCES'!$C$25))))*'CONSTANTS &amp; REFERENCES'!$B$25)</f>
        <v>2401.2542688764984</v>
      </c>
      <c r="AG22" s="21">
        <f t="shared" si="15"/>
        <v>12668.686315107043</v>
      </c>
      <c r="AH22" s="21">
        <f t="shared" si="16"/>
        <v>20050.135436843579</v>
      </c>
      <c r="AI22" s="21">
        <f t="shared" si="17"/>
        <v>145553.60724429422</v>
      </c>
      <c r="AJ22" s="21">
        <f t="shared" si="18"/>
        <v>0</v>
      </c>
      <c r="AK22" s="7" t="str">
        <f>IF(A22="","",IF(AND(INPUTS!$C$43="Yes",A22&gt;=INPUTS!$C$45),INPUTS!$C$44,INPUTS!$C$19))</f>
        <v>Married Filing Jointly</v>
      </c>
      <c r="AL22" s="23">
        <f t="shared" si="7"/>
        <v>2.8662010870387009</v>
      </c>
      <c r="AM22" s="24">
        <f>IF(A22="","",(IF(OR(AK22="Single",AK22="Married Filing Separately"),'CONSTANTS &amp; REFERENCES'!$B$13,IF(AK22="Married Filing Jointly",'CONSTANTS &amp; REFERENCES'!$G$13,IF(AK22="Head of Household",'CONSTANTS &amp; REFERENCES'!$L$13,""))))*AL22)</f>
        <v>92291.675002646167</v>
      </c>
      <c r="AN22" s="21">
        <f>IF(AM22="","",IF(A22=0,IF(OR(AK22="Single",AK22="Married Filing Separately"),'CONSTANTS &amp; REFERENCES'!$B$13,IF(AK22="Married Filing Jointly",'CONSTANTS &amp; REFERENCES'!$G$13,IF(AK22="Head of Household",'CONSTANTS &amp; REFERENCES'!$L$13,""))),_xlfn.FLOOR.MATH(AM22,IF(AK22="Married Filing Separately",Bracket_Round_MFS,Bracket_Round_Standard))))</f>
        <v>92250</v>
      </c>
      <c r="AO22" s="24">
        <f>IF(A22="","",(IF(OR(AK22="Single",AK22="Married Filing Separately"),'CONSTANTS &amp; REFERENCES'!$C$5,IF(AK22="Married Filing Jointly",'CONSTANTS &amp; REFERENCES'!$H$5,IF(AK22="Head of Household",'CONSTANTS &amp; REFERENCES'!$M$5,""))))*AL22)</f>
        <v>71081.78695855978</v>
      </c>
      <c r="AP22" s="21">
        <f>IF(AO22="","",IF(A22=0,IF(OR(AK22="Single",AK22="Married Filing Separately"),'CONSTANTS &amp; REFERENCES'!$C$5,IF(AK22="Married Filing Jointly",'CONSTANTS &amp; REFERENCES'!$H$5,IF(AK22="Head of Household",'CONSTANTS &amp; REFERENCES'!$M$5,""))),_xlfn.FLOOR.MATH(AO22,IF(AK22="Married Filing Separately",Bracket_Round_MFS,Bracket_Round_Standard))))</f>
        <v>71050</v>
      </c>
      <c r="AQ22" s="24">
        <f>IF(A22="","",(IF(OR(AK22="Single",AK22="Married Filing Separately"),'CONSTANTS &amp; REFERENCES'!$C$6,IF(AK22="Married Filing Jointly",'CONSTANTS &amp; REFERENCES'!$H$6,IF(AK22="Head of Household",'CONSTANTS &amp; REFERENCES'!$M$6,""))))*AL22)</f>
        <v>288913.06957350107</v>
      </c>
      <c r="AR22" s="21">
        <f>IF(AQ22="","",IF(A22=0,IF(OR(AK22="Single",AK22="Married Filing Separately"),'CONSTANTS &amp; REFERENCES'!$C$6,IF(AK22="Married Filing Jointly",'CONSTANTS &amp; REFERENCES'!$H$6,IF(AK22="Head of Household",'CONSTANTS &amp; REFERENCES'!$M$6,""))),_xlfn.FLOOR.MATH(AQ22,IF(AK22="Married Filing Separately",Bracket_Round_MFS,Bracket_Round_Standard))))</f>
        <v>288900</v>
      </c>
      <c r="AS22" s="24">
        <f>IF(A22="","",(IF(OR(AK22="Single",AK22="Married Filing Separately"),'CONSTANTS &amp; REFERENCES'!$C$7,IF(AK22="Married Filing Jointly",'CONSTANTS &amp; REFERENCES'!$H$7,IF(AK22="Head of Household",'CONSTANTS &amp; REFERENCES'!$M$7,""))))*AL22)</f>
        <v>605914.9097999814</v>
      </c>
      <c r="AT22" s="21">
        <f>IF(AS22="","",IF(A22=0,IF(OR(AK22="Single",AK22="Married Filing Separately"),'CONSTANTS &amp; REFERENCES'!$C$7,IF(AK22="Married Filing Jointly",'CONSTANTS &amp; REFERENCES'!$H$7,IF(AK22="Head of Household",'CONSTANTS &amp; REFERENCES'!$M$7,""))),_xlfn.FLOOR.MATH(AS22,IF(AK22="Married Filing Separately",Bracket_Round_MFS,Bracket_Round_Standard))))</f>
        <v>605900</v>
      </c>
      <c r="AU22" s="24">
        <f>IF(A22="","",(IF(OR(AK22="Single",AK22="Married Filing Separately"),'CONSTANTS &amp; REFERENCES'!$C$8,IF(AK22="Married Filing Jointly",'CONSTANTS &amp; REFERENCES'!$H$8,IF(AK22="Head of Household",'CONSTANTS &amp; REFERENCES'!$M$8,""))))*AL22)</f>
        <v>1156655.4486744679</v>
      </c>
      <c r="AV22" s="21">
        <f>IF(AU22="","",IF(A22=0,IF(OR(AK22="Single",AK22="Married Filing Separately"),'CONSTANTS &amp; REFERENCES'!$C$8,IF(AK22="Married Filing Jointly",'CONSTANTS &amp; REFERENCES'!$H$8,IF(AK22="Head of Household",'CONSTANTS &amp; REFERENCES'!$M$8,""))),_xlfn.FLOOR.MATH(AU22,IF(AK22="Married Filing Separately",Bracket_Round_MFS,Bracket_Round_Standard))))</f>
        <v>1156650</v>
      </c>
      <c r="AW22" s="24">
        <f>IF(A22="","",(IF(OR(AK22="Single",AK22="Married Filing Separately"),'CONSTANTS &amp; REFERENCES'!$C$9,IF(AK22="Married Filing Jointly",'CONSTANTS &amp; REFERENCES'!$H$9,IF(AK22="Head of Household",'CONSTANTS &amp; REFERENCES'!$M$9,""))))*AL22)</f>
        <v>1468784.7470529822</v>
      </c>
      <c r="AX22" s="21">
        <f>IF(AW22="","",IF(A22=0,IF(OR(AK22="Single",AK22="Married Filing Separately"),'CONSTANTS &amp; REFERENCES'!$C$9,IF(AK22="Married Filing Jointly",'CONSTANTS &amp; REFERENCES'!$H$9,IF(AK22="Head of Household",'CONSTANTS &amp; REFERENCES'!$M$9,""))),_xlfn.FLOOR.MATH(AW22,IF(AK22="Married Filing Separately",Bracket_Round_MFS,Bracket_Round_Standard))))</f>
        <v>1468750</v>
      </c>
      <c r="AY22" s="24">
        <f>IF(A22="","",(IF(OR(AK22="Single",AK22="Married Filing Separately"),'CONSTANTS &amp; REFERENCES'!$C$10,IF(AK22="Married Filing Jointly",'CONSTANTS &amp; REFERENCES'!$H$10,IF(AK22="Head of Household",'CONSTANTS &amp; REFERENCES'!$M$10,""))))*AL22)</f>
        <v>2202962.1554979454</v>
      </c>
      <c r="AZ22" s="21">
        <f>IF(AY22="","",IF(A22=0,IF(OR(AK22="Single",AK22="Married Filing Separately"),'CONSTANTS &amp; REFERENCES'!$C$10,IF(AK22="Married Filing Jointly",'CONSTANTS &amp; REFERENCES'!$H$10,IF(AK22="Head of Household",'CONSTANTS &amp; REFERENCES'!$M$10,""))),_xlfn.FLOOR.MATH(AY22,IF(AK22="Married Filing Separately",Bracket_Round_MFS,Bracket_Round_Standard))))</f>
        <v>2202950</v>
      </c>
      <c r="BA22" s="7" t="str">
        <f t="shared" si="8"/>
        <v>Illustrative future tax assumptions under simplified C-CPI-U indexing; not an IRS forecast.</v>
      </c>
      <c r="BB22" s="7">
        <f>IF(A22="","",'CONSTANTS &amp; REFERENCES'!$C$22*AL22)</f>
        <v>528814.10055864032</v>
      </c>
      <c r="BC22" s="21">
        <f t="shared" si="19"/>
        <v>528800</v>
      </c>
    </row>
    <row r="23" spans="1:55" ht="18" customHeight="1" x14ac:dyDescent="0.3">
      <c r="A23" s="10">
        <f>IF(A22&lt;INPUTS!$C$7-INPUTS!$C$6,A22+1,"")</f>
        <v>21</v>
      </c>
      <c r="B23" s="10">
        <f>IF(A23="","",INPUTS!$C$6+A23)</f>
        <v>43</v>
      </c>
      <c r="C23" s="11">
        <f t="shared" si="9"/>
        <v>804761.31049218692</v>
      </c>
      <c r="D23" s="11">
        <f>IF(A23="","",IF(A23&lt;INPUTS!$C$13,0,J23))</f>
        <v>25000</v>
      </c>
      <c r="E23" s="12" t="str">
        <f>IF(A23="","",IF(D23=0,"—",IF(Y23&lt;IF(AK23="Married Filing Jointly",'CONSTANTS &amp; REFERENCES'!$B$44,IF(AK23="Married Filing Separately",'CONSTANTS &amp; REFERENCES'!$B$45,'CONSTANTS &amp; REFERENCES'!$B$43)),"Direct","Backdoor")))</f>
        <v>Direct</v>
      </c>
      <c r="F23" s="13">
        <f t="shared" si="0"/>
        <v>25496.727004092147</v>
      </c>
      <c r="G23" s="14">
        <f t="shared" si="1"/>
        <v>25000</v>
      </c>
      <c r="H23" s="13">
        <f t="shared" si="2"/>
        <v>3739.5199606001815</v>
      </c>
      <c r="I23" s="14">
        <f t="shared" si="3"/>
        <v>3700</v>
      </c>
      <c r="J23" s="14">
        <f t="shared" si="4"/>
        <v>25000</v>
      </c>
      <c r="K23" s="11">
        <f>IF(A23="","",IF(INPUTS!$C$12="Beginning",(C23+D23)*INPUTS!$C$10,C23*INPUTS!$C$10))</f>
        <v>82976.131049218704</v>
      </c>
      <c r="L23" s="11">
        <f>IF(A23="","",IF(INPUTS!$C$12="Beginning",(C23+D23)*(1+INPUTS!$C$10),C23*(1+INPUTS!$C$10)+D23))</f>
        <v>912737.44154140574</v>
      </c>
      <c r="M23" s="15">
        <f>IF(A23="","",(1+INPUTS!$C$11)^A23)</f>
        <v>3.3995636005456196</v>
      </c>
      <c r="N23" s="11">
        <f t="shared" si="10"/>
        <v>268486.6496967182</v>
      </c>
      <c r="O23" s="11">
        <f t="shared" si="11"/>
        <v>319000</v>
      </c>
      <c r="P23" s="11">
        <f>IF(A23="","",L23-INPUTS!$C$8-O23)</f>
        <v>593737.44154140574</v>
      </c>
      <c r="Q23" s="16"/>
      <c r="R23" s="16"/>
      <c r="S23" s="16">
        <f t="shared" si="12"/>
        <v>43</v>
      </c>
      <c r="T23" s="18">
        <f t="shared" si="13"/>
        <v>912737.44154140574</v>
      </c>
      <c r="U23" s="18">
        <f t="shared" si="14"/>
        <v>268486.6496967182</v>
      </c>
      <c r="V23" s="19">
        <f>IF(A23="","",FV(INPUTS!$C$10,INPUTS!$C$7-INPUTS!$C$6-A23+IF(INPUTS!$C$12="Beginning",1,0),0,-D23,0))</f>
        <v>223857.56081380972</v>
      </c>
      <c r="W23" s="7"/>
      <c r="X23" s="7"/>
      <c r="Y23" s="21">
        <f>IF(A23="","",IF(INPUTS!$C$17="Yes",MIN(Y22*(1+INPUTS!$C$15)+IF(INPUTS!$C$27="Yes",(Z23-Z22)*INPUTS!$C$31+IF(AND(INPUTS!$C$28="Not yet credentialed",A23=INPUTS!$C$33),INPUTS!$C$32,0)+IF(AND(INPUTS!$C$28&lt;&gt;"FSA / FCAS",A23=INPUTS!$C$35),INPUTS!$C$34,0),0),INPUTS!$C$18),Y22*(1+INPUTS!$C$15)+IF(INPUTS!$C$27="Yes",(Z23-Z22)*INPUTS!$C$31+IF(AND(INPUTS!$C$28="Not yet credentialed",A23=INPUTS!$C$33),INPUTS!$C$32,0)+IF(AND(INPUTS!$C$28&lt;&gt;"FSA / FCAS",A23=INPUTS!$C$35),INPUTS!$C$34,0),0)))</f>
        <v>170571.85496157195</v>
      </c>
      <c r="Z23" s="22">
        <f>IF(A23="","",IF(AND(INPUTS!$C$27="Yes",INPUTS!$C$28&lt;&gt;"FSA / FCAS",ISNUMBER(INPUTS!$C$37)),MIN(A23*INPUTS!$C$37,INPUTS!$C$30),0))</f>
        <v>3</v>
      </c>
      <c r="AA23" s="21">
        <f t="shared" si="5"/>
        <v>97250</v>
      </c>
      <c r="AB23" s="21">
        <f t="shared" si="6"/>
        <v>73321.854961571953</v>
      </c>
      <c r="AC23" s="21">
        <f>IF(A23="","",MIN(AB23,AP23)*'CONSTANTS &amp; REFERENCES'!$A$5+MAX(MIN(AB23,AR23)-AP23,0)*'CONSTANTS &amp; REFERENCES'!$A$6+MAX(MIN(AB23,AT23)-AR23,0)*'CONSTANTS &amp; REFERENCES'!$A$7+MAX(MIN(AB23,AV23)-AT23,0)*'CONSTANTS &amp; REFERENCES'!$A$8+MAX(MIN(AB23,AX23)-AV23,0)*'CONSTANTS &amp; REFERENCES'!$A$9+MAX(MIN(AB23,AZ23)-AX23,0)*'CONSTANTS &amp; REFERENCES'!$A$10+MAX(AB23-AZ23,0)*'CONSTANTS &amp; REFERENCES'!$A$11)</f>
        <v>7332.1854961571953</v>
      </c>
      <c r="AD23" s="21">
        <f>IF(AB23="","",IF(INPUTS!$C$20="Yes",AB23*INPUTS!$C$21,0))</f>
        <v>0</v>
      </c>
      <c r="AE23" s="21">
        <f>IF(Y23="","",MIN(Y23,BC23)*'CONSTANTS &amp; REFERENCES'!$B$22)</f>
        <v>10575.455007617462</v>
      </c>
      <c r="AF23" s="21">
        <f>IF(Y23="","",Y23*'CONSTANTS &amp; REFERENCES'!$B$24+MAX(0,Y23-IF(AK23="Married Filing Jointly",'CONSTANTS &amp; REFERENCES'!$C$26,IF(AK23="Married Filing Separately",'CONSTANTS &amp; REFERENCES'!$C$27,IF(AK23="Head of Household",'CONSTANTS &amp; REFERENCES'!$C$28,'CONSTANTS &amp; REFERENCES'!$C$25))))*'CONSTANTS &amp; REFERENCES'!$B$25)</f>
        <v>2473.2918969427933</v>
      </c>
      <c r="AG23" s="21">
        <f t="shared" si="15"/>
        <v>13048.746904560256</v>
      </c>
      <c r="AH23" s="21">
        <f t="shared" si="16"/>
        <v>20380.932400717451</v>
      </c>
      <c r="AI23" s="21">
        <f t="shared" si="17"/>
        <v>150190.92256085449</v>
      </c>
      <c r="AJ23" s="21">
        <f t="shared" si="18"/>
        <v>0</v>
      </c>
      <c r="AK23" s="7" t="str">
        <f>IF(A23="","",IF(AND(INPUTS!$C$43="Yes",A23&gt;=INPUTS!$C$45),INPUTS!$C$44,INPUTS!$C$19))</f>
        <v>Married Filing Jointly</v>
      </c>
      <c r="AL23" s="23">
        <f t="shared" si="7"/>
        <v>3.0211479178040128</v>
      </c>
      <c r="AM23" s="24">
        <f>IF(A23="","",(IF(OR(AK23="Single",AK23="Married Filing Separately"),'CONSTANTS &amp; REFERENCES'!$B$13,IF(AK23="Married Filing Jointly",'CONSTANTS &amp; REFERENCES'!$G$13,IF(AK23="Head of Household",'CONSTANTS &amp; REFERENCES'!$L$13,""))))*AL23)</f>
        <v>97280.962953289214</v>
      </c>
      <c r="AN23" s="21">
        <f>IF(AM23="","",IF(A23=0,IF(OR(AK23="Single",AK23="Married Filing Separately"),'CONSTANTS &amp; REFERENCES'!$B$13,IF(AK23="Married Filing Jointly",'CONSTANTS &amp; REFERENCES'!$G$13,IF(AK23="Head of Household",'CONSTANTS &amp; REFERENCES'!$L$13,""))),_xlfn.FLOOR.MATH(AM23,IF(AK23="Married Filing Separately",Bracket_Round_MFS,Bracket_Round_Standard))))</f>
        <v>97250</v>
      </c>
      <c r="AO23" s="24">
        <f>IF(A23="","",(IF(OR(AK23="Single",AK23="Married Filing Separately"),'CONSTANTS &amp; REFERENCES'!$C$5,IF(AK23="Married Filing Jointly",'CONSTANTS &amp; REFERENCES'!$H$5,IF(AK23="Head of Household",'CONSTANTS &amp; REFERENCES'!$M$5,""))))*AL23)</f>
        <v>74924.468361539519</v>
      </c>
      <c r="AP23" s="21">
        <f>IF(AO23="","",IF(A23=0,IF(OR(AK23="Single",AK23="Married Filing Separately"),'CONSTANTS &amp; REFERENCES'!$C$5,IF(AK23="Married Filing Jointly",'CONSTANTS &amp; REFERENCES'!$H$5,IF(AK23="Head of Household",'CONSTANTS &amp; REFERENCES'!$M$5,""))),_xlfn.FLOOR.MATH(AO23,IF(AK23="Married Filing Separately",Bracket_Round_MFS,Bracket_Round_Standard))))</f>
        <v>74900</v>
      </c>
      <c r="AQ23" s="24">
        <f>IF(A23="","",(IF(OR(AK23="Single",AK23="Married Filing Separately"),'CONSTANTS &amp; REFERENCES'!$C$6,IF(AK23="Married Filing Jointly",'CONSTANTS &amp; REFERENCES'!$H$6,IF(AK23="Head of Household",'CONSTANTS &amp; REFERENCES'!$M$6,""))))*AL23)</f>
        <v>304531.71011464449</v>
      </c>
      <c r="AR23" s="21">
        <f>IF(AQ23="","",IF(A23=0,IF(OR(AK23="Single",AK23="Married Filing Separately"),'CONSTANTS &amp; REFERENCES'!$C$6,IF(AK23="Married Filing Jointly",'CONSTANTS &amp; REFERENCES'!$H$6,IF(AK23="Head of Household",'CONSTANTS &amp; REFERENCES'!$M$6,""))),_xlfn.FLOOR.MATH(AQ23,IF(AK23="Married Filing Separately",Bracket_Round_MFS,Bracket_Round_Standard))))</f>
        <v>304500</v>
      </c>
      <c r="AS23" s="24">
        <f>IF(A23="","",(IF(OR(AK23="Single",AK23="Married Filing Separately"),'CONSTANTS &amp; REFERENCES'!$C$7,IF(AK23="Married Filing Jointly",'CONSTANTS &amp; REFERENCES'!$H$7,IF(AK23="Head of Household",'CONSTANTS &amp; REFERENCES'!$M$7,""))))*AL23)</f>
        <v>638670.66982376832</v>
      </c>
      <c r="AT23" s="21">
        <f>IF(AS23="","",IF(A23=0,IF(OR(AK23="Single",AK23="Married Filing Separately"),'CONSTANTS &amp; REFERENCES'!$C$7,IF(AK23="Married Filing Jointly",'CONSTANTS &amp; REFERENCES'!$H$7,IF(AK23="Head of Household",'CONSTANTS &amp; REFERENCES'!$M$7,""))),_xlfn.FLOOR.MATH(AS23,IF(AK23="Married Filing Separately",Bracket_Round_MFS,Bracket_Round_Standard))))</f>
        <v>638650</v>
      </c>
      <c r="AU23" s="24">
        <f>IF(A23="","",(IF(OR(AK23="Single",AK23="Married Filing Separately"),'CONSTANTS &amp; REFERENCES'!$C$8,IF(AK23="Married Filing Jointly",'CONSTANTS &amp; REFERENCES'!$H$8,IF(AK23="Head of Household",'CONSTANTS &amp; REFERENCES'!$M$8,""))))*AL23)</f>
        <v>1219184.2422298093</v>
      </c>
      <c r="AV23" s="21">
        <f>IF(AU23="","",IF(A23=0,IF(OR(AK23="Single",AK23="Married Filing Separately"),'CONSTANTS &amp; REFERENCES'!$C$8,IF(AK23="Married Filing Jointly",'CONSTANTS &amp; REFERENCES'!$H$8,IF(AK23="Head of Household",'CONSTANTS &amp; REFERENCES'!$M$8,""))),_xlfn.FLOOR.MATH(AU23,IF(AK23="Married Filing Separately",Bracket_Round_MFS,Bracket_Round_Standard))))</f>
        <v>1219150</v>
      </c>
      <c r="AW23" s="24">
        <f>IF(A23="","",(IF(OR(AK23="Single",AK23="Married Filing Separately"),'CONSTANTS &amp; REFERENCES'!$C$9,IF(AK23="Married Filing Jointly",'CONSTANTS &amp; REFERENCES'!$H$9,IF(AK23="Head of Household",'CONSTANTS &amp; REFERENCES'!$M$9,""))))*AL23)</f>
        <v>1548187.2504786663</v>
      </c>
      <c r="AX23" s="21">
        <f>IF(AW23="","",IF(A23=0,IF(OR(AK23="Single",AK23="Married Filing Separately"),'CONSTANTS &amp; REFERENCES'!$C$9,IF(AK23="Married Filing Jointly",'CONSTANTS &amp; REFERENCES'!$H$9,IF(AK23="Head of Household",'CONSTANTS &amp; REFERENCES'!$M$9,""))),_xlfn.FLOOR.MATH(AW23,IF(AK23="Married Filing Separately",Bracket_Round_MFS,Bracket_Round_Standard))))</f>
        <v>1548150</v>
      </c>
      <c r="AY23" s="24">
        <f>IF(A23="","",(IF(OR(AK23="Single",AK23="Married Filing Separately"),'CONSTANTS &amp; REFERENCES'!$C$10,IF(AK23="Married Filing Jointly",'CONSTANTS &amp; REFERENCES'!$H$10,IF(AK23="Head of Household",'CONSTANTS &amp; REFERENCES'!$M$10,""))))*AL23)</f>
        <v>2322054.2896241643</v>
      </c>
      <c r="AZ23" s="21">
        <f>IF(AY23="","",IF(A23=0,IF(OR(AK23="Single",AK23="Married Filing Separately"),'CONSTANTS &amp; REFERENCES'!$C$10,IF(AK23="Married Filing Jointly",'CONSTANTS &amp; REFERENCES'!$H$10,IF(AK23="Head of Household",'CONSTANTS &amp; REFERENCES'!$M$10,""))),_xlfn.FLOOR.MATH(AY23,IF(AK23="Married Filing Separately",Bracket_Round_MFS,Bracket_Round_Standard))))</f>
        <v>2322050</v>
      </c>
      <c r="BA23" s="7" t="str">
        <f t="shared" si="8"/>
        <v>Illustrative future tax assumptions under simplified C-CPI-U indexing; not an IRS forecast.</v>
      </c>
      <c r="BB23" s="7">
        <f>IF(A23="","",'CONSTANTS &amp; REFERENCES'!$C$22*AL23)</f>
        <v>557401.79083484039</v>
      </c>
      <c r="BC23" s="21">
        <f t="shared" si="19"/>
        <v>557400</v>
      </c>
    </row>
    <row r="24" spans="1:55" ht="18" customHeight="1" x14ac:dyDescent="0.3">
      <c r="A24" s="10">
        <f>IF(A23&lt;INPUTS!$C$7-INPUTS!$C$6,A23+1,"")</f>
        <v>22</v>
      </c>
      <c r="B24" s="10">
        <f>IF(A24="","",INPUTS!$C$6+A24)</f>
        <v>44</v>
      </c>
      <c r="C24" s="11">
        <f t="shared" si="9"/>
        <v>912737.44154140574</v>
      </c>
      <c r="D24" s="11">
        <f>IF(A24="","",IF(A24&lt;INPUTS!$C$13,0,J24))</f>
        <v>27000</v>
      </c>
      <c r="E24" s="12" t="str">
        <f>IF(A24="","",IF(D24=0,"—",IF(Y24&lt;IF(AK24="Married Filing Jointly",'CONSTANTS &amp; REFERENCES'!$B$44,IF(AK24="Married Filing Separately",'CONSTANTS &amp; REFERENCES'!$B$45,'CONSTANTS &amp; REFERENCES'!$B$43)),"Direct","Backdoor")))</f>
        <v>Direct</v>
      </c>
      <c r="F24" s="13">
        <f t="shared" si="0"/>
        <v>27026.530624337676</v>
      </c>
      <c r="G24" s="14">
        <f t="shared" si="1"/>
        <v>27000</v>
      </c>
      <c r="H24" s="13">
        <f t="shared" si="2"/>
        <v>3963.8911582361925</v>
      </c>
      <c r="I24" s="14">
        <f t="shared" si="3"/>
        <v>3900</v>
      </c>
      <c r="J24" s="14">
        <f t="shared" si="4"/>
        <v>27000</v>
      </c>
      <c r="K24" s="11">
        <f>IF(A24="","",IF(INPUTS!$C$12="Beginning",(C24+D24)*INPUTS!$C$10,C24*INPUTS!$C$10))</f>
        <v>93973.744154140586</v>
      </c>
      <c r="L24" s="11">
        <f>IF(A24="","",IF(INPUTS!$C$12="Beginning",(C24+D24)*(1+INPUTS!$C$10),C24*(1+INPUTS!$C$10)+D24))</f>
        <v>1033711.1856955464</v>
      </c>
      <c r="M24" s="15">
        <f>IF(A24="","",(1+INPUTS!$C$11)^A24)</f>
        <v>3.6035374165783569</v>
      </c>
      <c r="N24" s="11">
        <f t="shared" si="10"/>
        <v>286860.12276156119</v>
      </c>
      <c r="O24" s="11">
        <f t="shared" si="11"/>
        <v>346000</v>
      </c>
      <c r="P24" s="11">
        <f>IF(A24="","",L24-INPUTS!$C$8-O24)</f>
        <v>687711.18569554645</v>
      </c>
      <c r="Q24" s="16"/>
      <c r="R24" s="16"/>
      <c r="S24" s="16">
        <f t="shared" si="12"/>
        <v>44</v>
      </c>
      <c r="T24" s="18">
        <f t="shared" si="13"/>
        <v>1033711.1856955464</v>
      </c>
      <c r="U24" s="18">
        <f t="shared" si="14"/>
        <v>286860.12276156119</v>
      </c>
      <c r="V24" s="19">
        <f>IF(A24="","",FV(INPUTS!$C$10,INPUTS!$C$7-INPUTS!$C$6-A24+IF(INPUTS!$C$12="Beginning",1,0),0,-D24,0))</f>
        <v>219787.42334446771</v>
      </c>
      <c r="W24" s="7"/>
      <c r="X24" s="7"/>
      <c r="Y24" s="21">
        <f>IF(A24="","",IF(INPUTS!$C$17="Yes",MIN(Y23*(1+INPUTS!$C$15)+IF(INPUTS!$C$27="Yes",(Z24-Z23)*INPUTS!$C$31+IF(AND(INPUTS!$C$28="Not yet credentialed",A24=INPUTS!$C$33),INPUTS!$C$32,0)+IF(AND(INPUTS!$C$28&lt;&gt;"FSA / FCAS",A24=INPUTS!$C$35),INPUTS!$C$34,0),0),INPUTS!$C$18),Y23*(1+INPUTS!$C$15)+IF(INPUTS!$C$27="Yes",(Z24-Z23)*INPUTS!$C$31+IF(AND(INPUTS!$C$28="Not yet credentialed",A24=INPUTS!$C$33),INPUTS!$C$32,0)+IF(AND(INPUTS!$C$28&lt;&gt;"FSA / FCAS",A24=INPUTS!$C$35),INPUTS!$C$34,0),0)))</f>
        <v>175689.01061041912</v>
      </c>
      <c r="Z24" s="22">
        <f>IF(A24="","",IF(AND(INPUTS!$C$27="Yes",INPUTS!$C$28&lt;&gt;"FSA / FCAS",ISNUMBER(INPUTS!$C$37)),MIN(A24*INPUTS!$C$37,INPUTS!$C$30),0))</f>
        <v>3</v>
      </c>
      <c r="AA24" s="21">
        <f t="shared" si="5"/>
        <v>102500</v>
      </c>
      <c r="AB24" s="21">
        <f t="shared" si="6"/>
        <v>73189.010610419122</v>
      </c>
      <c r="AC24" s="21">
        <f>IF(A24="","",MIN(AB24,AP24)*'CONSTANTS &amp; REFERENCES'!$A$5+MAX(MIN(AB24,AR24)-AP24,0)*'CONSTANTS &amp; REFERENCES'!$A$6+MAX(MIN(AB24,AT24)-AR24,0)*'CONSTANTS &amp; REFERENCES'!$A$7+MAX(MIN(AB24,AV24)-AT24,0)*'CONSTANTS &amp; REFERENCES'!$A$8+MAX(MIN(AB24,AX24)-AV24,0)*'CONSTANTS &amp; REFERENCES'!$A$9+MAX(MIN(AB24,AZ24)-AX24,0)*'CONSTANTS &amp; REFERENCES'!$A$10+MAX(AB24-AZ24,0)*'CONSTANTS &amp; REFERENCES'!$A$11)</f>
        <v>7318.9010610419127</v>
      </c>
      <c r="AD24" s="21">
        <f>IF(AB24="","",IF(INPUTS!$C$20="Yes",AB24*INPUTS!$C$21,0))</f>
        <v>0</v>
      </c>
      <c r="AE24" s="21">
        <f>IF(Y24="","",MIN(Y24,BC24)*'CONSTANTS &amp; REFERENCES'!$B$22)</f>
        <v>10892.718657845986</v>
      </c>
      <c r="AF24" s="21">
        <f>IF(Y24="","",Y24*'CONSTANTS &amp; REFERENCES'!$B$24+MAX(0,Y24-IF(AK24="Married Filing Jointly",'CONSTANTS &amp; REFERENCES'!$C$26,IF(AK24="Married Filing Separately",'CONSTANTS &amp; REFERENCES'!$C$27,IF(AK24="Head of Household",'CONSTANTS &amp; REFERENCES'!$C$28,'CONSTANTS &amp; REFERENCES'!$C$25))))*'CONSTANTS &amp; REFERENCES'!$B$25)</f>
        <v>2547.4906538510772</v>
      </c>
      <c r="AG24" s="21">
        <f t="shared" si="15"/>
        <v>13440.209311697063</v>
      </c>
      <c r="AH24" s="21">
        <f t="shared" si="16"/>
        <v>20759.110372738975</v>
      </c>
      <c r="AI24" s="21">
        <f t="shared" si="17"/>
        <v>154929.90023768015</v>
      </c>
      <c r="AJ24" s="21">
        <f t="shared" si="18"/>
        <v>0</v>
      </c>
      <c r="AK24" s="7" t="str">
        <f>IF(A24="","",IF(AND(INPUTS!$C$43="Yes",A24&gt;=INPUTS!$C$45),INPUTS!$C$44,INPUTS!$C$19))</f>
        <v>Married Filing Jointly</v>
      </c>
      <c r="AL24" s="23">
        <f t="shared" si="7"/>
        <v>3.1844711742404974</v>
      </c>
      <c r="AM24" s="24">
        <f>IF(A24="","",(IF(OR(AK24="Single",AK24="Married Filing Separately"),'CONSTANTS &amp; REFERENCES'!$B$13,IF(AK24="Married Filing Jointly",'CONSTANTS &amp; REFERENCES'!$G$13,IF(AK24="Head of Household",'CONSTANTS &amp; REFERENCES'!$L$13,""))))*AL24)</f>
        <v>102539.97181054401</v>
      </c>
      <c r="AN24" s="21">
        <f>IF(AM24="","",IF(A24=0,IF(OR(AK24="Single",AK24="Married Filing Separately"),'CONSTANTS &amp; REFERENCES'!$B$13,IF(AK24="Married Filing Jointly",'CONSTANTS &amp; REFERENCES'!$G$13,IF(AK24="Head of Household",'CONSTANTS &amp; REFERENCES'!$L$13,""))),_xlfn.FLOOR.MATH(AM24,IF(AK24="Married Filing Separately",Bracket_Round_MFS,Bracket_Round_Standard))))</f>
        <v>102500</v>
      </c>
      <c r="AO24" s="24">
        <f>IF(A24="","",(IF(OR(AK24="Single",AK24="Married Filing Separately"),'CONSTANTS &amp; REFERENCES'!$C$5,IF(AK24="Married Filing Jointly",'CONSTANTS &amp; REFERENCES'!$H$5,IF(AK24="Head of Household",'CONSTANTS &amp; REFERENCES'!$M$5,""))))*AL24)</f>
        <v>78974.885121164334</v>
      </c>
      <c r="AP24" s="21">
        <f>IF(AO24="","",IF(A24=0,IF(OR(AK24="Single",AK24="Married Filing Separately"),'CONSTANTS &amp; REFERENCES'!$C$5,IF(AK24="Married Filing Jointly",'CONSTANTS &amp; REFERENCES'!$H$5,IF(AK24="Head of Household",'CONSTANTS &amp; REFERENCES'!$M$5,""))),_xlfn.FLOOR.MATH(AO24,IF(AK24="Married Filing Separately",Bracket_Round_MFS,Bracket_Round_Standard))))</f>
        <v>78950</v>
      </c>
      <c r="AQ24" s="24">
        <f>IF(A24="","",(IF(OR(AK24="Single",AK24="Married Filing Separately"),'CONSTANTS &amp; REFERENCES'!$C$6,IF(AK24="Married Filing Jointly",'CONSTANTS &amp; REFERENCES'!$H$6,IF(AK24="Head of Household",'CONSTANTS &amp; REFERENCES'!$M$6,""))))*AL24)</f>
        <v>320994.69436344213</v>
      </c>
      <c r="AR24" s="21">
        <f>IF(AQ24="","",IF(A24=0,IF(OR(AK24="Single",AK24="Married Filing Separately"),'CONSTANTS &amp; REFERENCES'!$C$6,IF(AK24="Married Filing Jointly",'CONSTANTS &amp; REFERENCES'!$H$6,IF(AK24="Head of Household",'CONSTANTS &amp; REFERENCES'!$M$6,""))),_xlfn.FLOOR.MATH(AQ24,IF(AK24="Married Filing Separately",Bracket_Round_MFS,Bracket_Round_Standard))))</f>
        <v>320950</v>
      </c>
      <c r="AS24" s="24">
        <f>IF(A24="","",(IF(OR(AK24="Single",AK24="Married Filing Separately"),'CONSTANTS &amp; REFERENCES'!$C$7,IF(AK24="Married Filing Jointly",'CONSTANTS &amp; REFERENCES'!$H$7,IF(AK24="Head of Household",'CONSTANTS &amp; REFERENCES'!$M$7,""))))*AL24)</f>
        <v>673197.20623444114</v>
      </c>
      <c r="AT24" s="21">
        <f>IF(AS24="","",IF(A24=0,IF(OR(AK24="Single",AK24="Married Filing Separately"),'CONSTANTS &amp; REFERENCES'!$C$7,IF(AK24="Married Filing Jointly",'CONSTANTS &amp; REFERENCES'!$H$7,IF(AK24="Head of Household",'CONSTANTS &amp; REFERENCES'!$M$7,""))),_xlfn.FLOOR.MATH(AS24,IF(AK24="Married Filing Separately",Bracket_Round_MFS,Bracket_Round_Standard))))</f>
        <v>673150</v>
      </c>
      <c r="AU24" s="24">
        <f>IF(A24="","",(IF(OR(AK24="Single",AK24="Married Filing Separately"),'CONSTANTS &amp; REFERENCES'!$C$8,IF(AK24="Married Filing Jointly",'CONSTANTS &amp; REFERENCES'!$H$8,IF(AK24="Head of Household",'CONSTANTS &amp; REFERENCES'!$M$8,""))))*AL24)</f>
        <v>1285093.3423647527</v>
      </c>
      <c r="AV24" s="21">
        <f>IF(AU24="","",IF(A24=0,IF(OR(AK24="Single",AK24="Married Filing Separately"),'CONSTANTS &amp; REFERENCES'!$C$8,IF(AK24="Married Filing Jointly",'CONSTANTS &amp; REFERENCES'!$H$8,IF(AK24="Head of Household",'CONSTANTS &amp; REFERENCES'!$M$8,""))),_xlfn.FLOOR.MATH(AU24,IF(AK24="Married Filing Separately",Bracket_Round_MFS,Bracket_Round_Standard))))</f>
        <v>1285050</v>
      </c>
      <c r="AW24" s="24">
        <f>IF(A24="","",(IF(OR(AK24="Single",AK24="Married Filing Separately"),'CONSTANTS &amp; REFERENCES'!$C$9,IF(AK24="Married Filing Jointly",'CONSTANTS &amp; REFERENCES'!$H$9,IF(AK24="Head of Household",'CONSTANTS &amp; REFERENCES'!$M$9,""))))*AL24)</f>
        <v>1631882.2532395429</v>
      </c>
      <c r="AX24" s="21">
        <f>IF(AW24="","",IF(A24=0,IF(OR(AK24="Single",AK24="Married Filing Separately"),'CONSTANTS &amp; REFERENCES'!$C$9,IF(AK24="Married Filing Jointly",'CONSTANTS &amp; REFERENCES'!$H$9,IF(AK24="Head of Household",'CONSTANTS &amp; REFERENCES'!$M$9,""))),_xlfn.FLOOR.MATH(AW24,IF(AK24="Married Filing Separately",Bracket_Round_MFS,Bracket_Round_Standard))))</f>
        <v>1631850</v>
      </c>
      <c r="AY24" s="24">
        <f>IF(A24="","",(IF(OR(AK24="Single",AK24="Married Filing Separately"),'CONSTANTS &amp; REFERENCES'!$C$10,IF(AK24="Married Filing Jointly",'CONSTANTS &amp; REFERENCES'!$H$10,IF(AK24="Head of Household",'CONSTANTS &amp; REFERENCES'!$M$10,""))))*AL24)</f>
        <v>2447584.5445212461</v>
      </c>
      <c r="AZ24" s="21">
        <f>IF(AY24="","",IF(A24=0,IF(OR(AK24="Single",AK24="Married Filing Separately"),'CONSTANTS &amp; REFERENCES'!$C$10,IF(AK24="Married Filing Jointly",'CONSTANTS &amp; REFERENCES'!$H$10,IF(AK24="Head of Household",'CONSTANTS &amp; REFERENCES'!$M$10,""))),_xlfn.FLOOR.MATH(AY24,IF(AK24="Married Filing Separately",Bracket_Round_MFS,Bracket_Round_Standard))))</f>
        <v>2447550</v>
      </c>
      <c r="BA24" s="7" t="str">
        <f t="shared" si="8"/>
        <v>Illustrative future tax assumptions under simplified C-CPI-U indexing; not an IRS forecast.</v>
      </c>
      <c r="BB24" s="7">
        <f>IF(A24="","",'CONSTANTS &amp; REFERENCES'!$C$22*AL24)</f>
        <v>587534.93164737173</v>
      </c>
      <c r="BC24" s="21">
        <f t="shared" si="19"/>
        <v>587500</v>
      </c>
    </row>
    <row r="25" spans="1:55" ht="18" customHeight="1" x14ac:dyDescent="0.3">
      <c r="A25" s="10">
        <f>IF(A24&lt;INPUTS!$C$7-INPUTS!$C$6,A24+1,"")</f>
        <v>23</v>
      </c>
      <c r="B25" s="10">
        <f>IF(A25="","",INPUTS!$C$6+A25)</f>
        <v>45</v>
      </c>
      <c r="C25" s="11">
        <f t="shared" si="9"/>
        <v>1033711.1856955464</v>
      </c>
      <c r="D25" s="11">
        <f>IF(A25="","",IF(A25&lt;INPUTS!$C$13,0,J25))</f>
        <v>28500</v>
      </c>
      <c r="E25" s="12" t="str">
        <f>IF(A25="","",IF(D25=0,"—",IF(Y25&lt;IF(AK25="Married Filing Jointly",'CONSTANTS &amp; REFERENCES'!$B$44,IF(AK25="Married Filing Separately",'CONSTANTS &amp; REFERENCES'!$B$45,'CONSTANTS &amp; REFERENCES'!$B$43)),"Direct","Backdoor")))</f>
        <v>Direct</v>
      </c>
      <c r="F25" s="13">
        <f t="shared" si="0"/>
        <v>28648.122461797942</v>
      </c>
      <c r="G25" s="14">
        <f t="shared" si="1"/>
        <v>28500</v>
      </c>
      <c r="H25" s="13">
        <f t="shared" si="2"/>
        <v>4201.7246277303648</v>
      </c>
      <c r="I25" s="14">
        <f t="shared" si="3"/>
        <v>4200</v>
      </c>
      <c r="J25" s="14">
        <f t="shared" si="4"/>
        <v>28500</v>
      </c>
      <c r="K25" s="11">
        <f>IF(A25="","",IF(INPUTS!$C$12="Beginning",(C25+D25)*INPUTS!$C$10,C25*INPUTS!$C$10))</f>
        <v>106221.11856955464</v>
      </c>
      <c r="L25" s="11">
        <f>IF(A25="","",IF(INPUTS!$C$12="Beginning",(C25+D25)*(1+INPUTS!$C$10),C25*(1+INPUTS!$C$10)+D25))</f>
        <v>1168432.3042651012</v>
      </c>
      <c r="M25" s="15">
        <f>IF(A25="","",(1+INPUTS!$C$11)^A25)</f>
        <v>3.8197496615730588</v>
      </c>
      <c r="N25" s="11">
        <f t="shared" si="10"/>
        <v>305892.37719414168</v>
      </c>
      <c r="O25" s="11">
        <f t="shared" si="11"/>
        <v>374500</v>
      </c>
      <c r="P25" s="11">
        <f>IF(A25="","",L25-INPUTS!$C$8-O25)</f>
        <v>793932.30426510121</v>
      </c>
      <c r="Q25" s="16"/>
      <c r="R25" s="16"/>
      <c r="S25" s="16">
        <f t="shared" si="12"/>
        <v>45</v>
      </c>
      <c r="T25" s="18">
        <f t="shared" si="13"/>
        <v>1168432.3042651012</v>
      </c>
      <c r="U25" s="18">
        <f t="shared" si="14"/>
        <v>305892.37719414168</v>
      </c>
      <c r="V25" s="19">
        <f>IF(A25="","",FV(INPUTS!$C$10,INPUTS!$C$7-INPUTS!$C$6-A25+IF(INPUTS!$C$12="Beginning",1,0),0,-D25,0))</f>
        <v>210907.12341135787</v>
      </c>
      <c r="W25" s="7"/>
      <c r="X25" s="7"/>
      <c r="Y25" s="21">
        <f>IF(A25="","",IF(INPUTS!$C$17="Yes",MIN(Y24*(1+INPUTS!$C$15)+IF(INPUTS!$C$27="Yes",(Z25-Z24)*INPUTS!$C$31+IF(AND(INPUTS!$C$28="Not yet credentialed",A25=INPUTS!$C$33),INPUTS!$C$32,0)+IF(AND(INPUTS!$C$28&lt;&gt;"FSA / FCAS",A25=INPUTS!$C$35),INPUTS!$C$34,0),0),INPUTS!$C$18),Y24*(1+INPUTS!$C$15)+IF(INPUTS!$C$27="Yes",(Z25-Z24)*INPUTS!$C$31+IF(AND(INPUTS!$C$28="Not yet credentialed",A25=INPUTS!$C$33),INPUTS!$C$32,0)+IF(AND(INPUTS!$C$28&lt;&gt;"FSA / FCAS",A25=INPUTS!$C$35),INPUTS!$C$34,0),0)))</f>
        <v>180959.68092873169</v>
      </c>
      <c r="Z25" s="22">
        <f>IF(A25="","",IF(AND(INPUTS!$C$27="Yes",INPUTS!$C$28&lt;&gt;"FSA / FCAS",ISNUMBER(INPUTS!$C$37)),MIN(A25*INPUTS!$C$37,INPUTS!$C$30),0))</f>
        <v>3</v>
      </c>
      <c r="AA25" s="21">
        <f t="shared" si="5"/>
        <v>108050</v>
      </c>
      <c r="AB25" s="21">
        <f t="shared" si="6"/>
        <v>72909.680928731686</v>
      </c>
      <c r="AC25" s="21">
        <f>IF(A25="","",MIN(AB25,AP25)*'CONSTANTS &amp; REFERENCES'!$A$5+MAX(MIN(AB25,AR25)-AP25,0)*'CONSTANTS &amp; REFERENCES'!$A$6+MAX(MIN(AB25,AT25)-AR25,0)*'CONSTANTS &amp; REFERENCES'!$A$7+MAX(MIN(AB25,AV25)-AT25,0)*'CONSTANTS &amp; REFERENCES'!$A$8+MAX(MIN(AB25,AX25)-AV25,0)*'CONSTANTS &amp; REFERENCES'!$A$9+MAX(MIN(AB25,AZ25)-AX25,0)*'CONSTANTS &amp; REFERENCES'!$A$10+MAX(AB25-AZ25,0)*'CONSTANTS &amp; REFERENCES'!$A$11)</f>
        <v>7290.9680928731686</v>
      </c>
      <c r="AD25" s="21">
        <f>IF(AB25="","",IF(INPUTS!$C$20="Yes",AB25*INPUTS!$C$21,0))</f>
        <v>0</v>
      </c>
      <c r="AE25" s="21">
        <f>IF(Y25="","",MIN(Y25,BC25)*'CONSTANTS &amp; REFERENCES'!$B$22)</f>
        <v>11219.500217581364</v>
      </c>
      <c r="AF25" s="21">
        <f>IF(Y25="","",Y25*'CONSTANTS &amp; REFERENCES'!$B$24+MAX(0,Y25-IF(AK25="Married Filing Jointly",'CONSTANTS &amp; REFERENCES'!$C$26,IF(AK25="Married Filing Separately",'CONSTANTS &amp; REFERENCES'!$C$27,IF(AK25="Head of Household",'CONSTANTS &amp; REFERENCES'!$C$28,'CONSTANTS &amp; REFERENCES'!$C$25))))*'CONSTANTS &amp; REFERENCES'!$B$25)</f>
        <v>2623.9153734666097</v>
      </c>
      <c r="AG25" s="21">
        <f t="shared" si="15"/>
        <v>13843.415591047975</v>
      </c>
      <c r="AH25" s="21">
        <f t="shared" si="16"/>
        <v>21134.383683921144</v>
      </c>
      <c r="AI25" s="21">
        <f t="shared" si="17"/>
        <v>159825.29724481056</v>
      </c>
      <c r="AJ25" s="21">
        <f t="shared" si="18"/>
        <v>0</v>
      </c>
      <c r="AK25" s="7" t="str">
        <f>IF(A25="","",IF(AND(INPUTS!$C$43="Yes",A25&gt;=INPUTS!$C$45),INPUTS!$C$44,INPUTS!$C$19))</f>
        <v>Married Filing Jointly</v>
      </c>
      <c r="AL25" s="23">
        <f t="shared" si="7"/>
        <v>3.3566236859199394</v>
      </c>
      <c r="AM25" s="24">
        <f>IF(A25="","",(IF(OR(AK25="Single",AK25="Married Filing Separately"),'CONSTANTS &amp; REFERENCES'!$B$13,IF(AK25="Married Filing Jointly",'CONSTANTS &amp; REFERENCES'!$G$13,IF(AK25="Head of Household",'CONSTANTS &amp; REFERENCES'!$L$13,""))))*AL25)</f>
        <v>108083.28268662206</v>
      </c>
      <c r="AN25" s="21">
        <f>IF(AM25="","",IF(A25=0,IF(OR(AK25="Single",AK25="Married Filing Separately"),'CONSTANTS &amp; REFERENCES'!$B$13,IF(AK25="Married Filing Jointly",'CONSTANTS &amp; REFERENCES'!$G$13,IF(AK25="Head of Household",'CONSTANTS &amp; REFERENCES'!$L$13,""))),_xlfn.FLOOR.MATH(AM25,IF(AK25="Married Filing Separately",Bracket_Round_MFS,Bracket_Round_Standard))))</f>
        <v>108050</v>
      </c>
      <c r="AO25" s="24">
        <f>IF(A25="","",(IF(OR(AK25="Single",AK25="Married Filing Separately"),'CONSTANTS &amp; REFERENCES'!$C$5,IF(AK25="Married Filing Jointly",'CONSTANTS &amp; REFERENCES'!$H$5,IF(AK25="Head of Household",'CONSTANTS &amp; REFERENCES'!$M$5,""))))*AL25)</f>
        <v>83244.2674108145</v>
      </c>
      <c r="AP25" s="21">
        <f>IF(AO25="","",IF(A25=0,IF(OR(AK25="Single",AK25="Married Filing Separately"),'CONSTANTS &amp; REFERENCES'!$C$5,IF(AK25="Married Filing Jointly",'CONSTANTS &amp; REFERENCES'!$H$5,IF(AK25="Head of Household",'CONSTANTS &amp; REFERENCES'!$M$5,""))),_xlfn.FLOOR.MATH(AO25,IF(AK25="Married Filing Separately",Bracket_Round_MFS,Bracket_Round_Standard))))</f>
        <v>83200</v>
      </c>
      <c r="AQ25" s="24">
        <f>IF(A25="","",(IF(OR(AK25="Single",AK25="Married Filing Separately"),'CONSTANTS &amp; REFERENCES'!$C$6,IF(AK25="Married Filing Jointly",'CONSTANTS &amp; REFERENCES'!$H$6,IF(AK25="Head of Household",'CONSTANTS &amp; REFERENCES'!$M$6,""))))*AL25)</f>
        <v>338347.66754072992</v>
      </c>
      <c r="AR25" s="21">
        <f>IF(AQ25="","",IF(A25=0,IF(OR(AK25="Single",AK25="Married Filing Separately"),'CONSTANTS &amp; REFERENCES'!$C$6,IF(AK25="Married Filing Jointly",'CONSTANTS &amp; REFERENCES'!$H$6,IF(AK25="Head of Household",'CONSTANTS &amp; REFERENCES'!$M$6,""))),_xlfn.FLOOR.MATH(AQ25,IF(AK25="Married Filing Separately",Bracket_Round_MFS,Bracket_Round_Standard))))</f>
        <v>338300</v>
      </c>
      <c r="AS25" s="24">
        <f>IF(A25="","",(IF(OR(AK25="Single",AK25="Married Filing Separately"),'CONSTANTS &amp; REFERENCES'!$C$7,IF(AK25="Married Filing Jointly",'CONSTANTS &amp; REFERENCES'!$H$7,IF(AK25="Head of Household",'CONSTANTS &amp; REFERENCES'!$M$7,""))))*AL25)</f>
        <v>709590.24720347521</v>
      </c>
      <c r="AT25" s="21">
        <f>IF(AS25="","",IF(A25=0,IF(OR(AK25="Single",AK25="Married Filing Separately"),'CONSTANTS &amp; REFERENCES'!$C$7,IF(AK25="Married Filing Jointly",'CONSTANTS &amp; REFERENCES'!$H$7,IF(AK25="Head of Household",'CONSTANTS &amp; REFERENCES'!$M$7,""))),_xlfn.FLOOR.MATH(AS25,IF(AK25="Married Filing Separately",Bracket_Round_MFS,Bracket_Round_Standard))))</f>
        <v>709550</v>
      </c>
      <c r="AU25" s="24">
        <f>IF(A25="","",(IF(OR(AK25="Single",AK25="Married Filing Separately"),'CONSTANTS &amp; REFERENCES'!$C$8,IF(AK25="Married Filing Jointly",'CONSTANTS &amp; REFERENCES'!$H$8,IF(AK25="Head of Household",'CONSTANTS &amp; REFERENCES'!$M$8,""))))*AL25)</f>
        <v>1354565.4884529915</v>
      </c>
      <c r="AV25" s="21">
        <f>IF(AU25="","",IF(A25=0,IF(OR(AK25="Single",AK25="Married Filing Separately"),'CONSTANTS &amp; REFERENCES'!$C$8,IF(AK25="Married Filing Jointly",'CONSTANTS &amp; REFERENCES'!$H$8,IF(AK25="Head of Household",'CONSTANTS &amp; REFERENCES'!$M$8,""))),_xlfn.FLOOR.MATH(AU25,IF(AK25="Married Filing Separately",Bracket_Round_MFS,Bracket_Round_Standard))))</f>
        <v>1354550</v>
      </c>
      <c r="AW25" s="24">
        <f>IF(A25="","",(IF(OR(AK25="Single",AK25="Married Filing Separately"),'CONSTANTS &amp; REFERENCES'!$C$9,IF(AK25="Married Filing Jointly",'CONSTANTS &amp; REFERENCES'!$H$9,IF(AK25="Head of Household",'CONSTANTS &amp; REFERENCES'!$M$9,""))))*AL25)</f>
        <v>1720101.8078496729</v>
      </c>
      <c r="AX25" s="21">
        <f>IF(AW25="","",IF(A25=0,IF(OR(AK25="Single",AK25="Married Filing Separately"),'CONSTANTS &amp; REFERENCES'!$C$9,IF(AK25="Married Filing Jointly",'CONSTANTS &amp; REFERENCES'!$H$9,IF(AK25="Head of Household",'CONSTANTS &amp; REFERENCES'!$M$9,""))),_xlfn.FLOOR.MATH(AW25,IF(AK25="Married Filing Separately",Bracket_Round_MFS,Bracket_Round_Standard))))</f>
        <v>1720100</v>
      </c>
      <c r="AY25" s="24">
        <f>IF(A25="","",(IF(OR(AK25="Single",AK25="Married Filing Separately"),'CONSTANTS &amp; REFERENCES'!$C$10,IF(AK25="Married Filing Jointly",'CONSTANTS &amp; REFERENCES'!$H$10,IF(AK25="Head of Household",'CONSTANTS &amp; REFERENCES'!$M$10,""))))*AL25)</f>
        <v>2579900.9649980655</v>
      </c>
      <c r="AZ25" s="21">
        <f>IF(AY25="","",IF(A25=0,IF(OR(AK25="Single",AK25="Married Filing Separately"),'CONSTANTS &amp; REFERENCES'!$C$10,IF(AK25="Married Filing Jointly",'CONSTANTS &amp; REFERENCES'!$H$10,IF(AK25="Head of Household",'CONSTANTS &amp; REFERENCES'!$M$10,""))),_xlfn.FLOOR.MATH(AY25,IF(AK25="Married Filing Separately",Bracket_Round_MFS,Bracket_Round_Standard))))</f>
        <v>2579900</v>
      </c>
      <c r="BA25" s="7" t="str">
        <f t="shared" si="8"/>
        <v>Illustrative future tax assumptions under simplified C-CPI-U indexing; not an IRS forecast.</v>
      </c>
      <c r="BB25" s="7">
        <f>IF(A25="","",'CONSTANTS &amp; REFERENCES'!$C$22*AL25)</f>
        <v>619297.07005222887</v>
      </c>
      <c r="BC25" s="21">
        <f t="shared" si="19"/>
        <v>619200</v>
      </c>
    </row>
    <row r="26" spans="1:55" ht="18" customHeight="1" x14ac:dyDescent="0.3">
      <c r="A26" s="10">
        <f>IF(A25&lt;INPUTS!$C$7-INPUTS!$C$6,A25+1,"")</f>
        <v>24</v>
      </c>
      <c r="B26" s="10">
        <f>IF(A26="","",INPUTS!$C$6+A26)</f>
        <v>46</v>
      </c>
      <c r="C26" s="11">
        <f t="shared" si="9"/>
        <v>1168432.3042651012</v>
      </c>
      <c r="D26" s="11">
        <f>IF(A26="","",IF(A26&lt;INPUTS!$C$13,0,J26))</f>
        <v>30000</v>
      </c>
      <c r="E26" s="12" t="str">
        <f>IF(A26="","",IF(D26=0,"—",IF(Y26&lt;IF(AK26="Married Filing Jointly",'CONSTANTS &amp; REFERENCES'!$B$44,IF(AK26="Married Filing Separately",'CONSTANTS &amp; REFERENCES'!$B$45,'CONSTANTS &amp; REFERENCES'!$B$43)),"Direct","Backdoor")))</f>
        <v>Direct</v>
      </c>
      <c r="F26" s="13">
        <f t="shared" si="0"/>
        <v>30367.009809505813</v>
      </c>
      <c r="G26" s="14">
        <f t="shared" si="1"/>
        <v>30000</v>
      </c>
      <c r="H26" s="13">
        <f t="shared" si="2"/>
        <v>4453.8281053941864</v>
      </c>
      <c r="I26" s="14">
        <f t="shared" si="3"/>
        <v>4400</v>
      </c>
      <c r="J26" s="14">
        <f t="shared" si="4"/>
        <v>30000</v>
      </c>
      <c r="K26" s="11">
        <f>IF(A26="","",IF(INPUTS!$C$12="Beginning",(C26+D26)*INPUTS!$C$10,C26*INPUTS!$C$10))</f>
        <v>119843.23042651013</v>
      </c>
      <c r="L26" s="11">
        <f>IF(A26="","",IF(INPUTS!$C$12="Beginning",(C26+D26)*(1+INPUTS!$C$10),C26*(1+INPUTS!$C$10)+D26))</f>
        <v>1318275.5346916115</v>
      </c>
      <c r="M26" s="15">
        <f>IF(A26="","",(1+INPUTS!$C$11)^A26)</f>
        <v>4.0489346412674418</v>
      </c>
      <c r="N26" s="11">
        <f t="shared" si="10"/>
        <v>325585.77786253189</v>
      </c>
      <c r="O26" s="11">
        <f t="shared" si="11"/>
        <v>404500</v>
      </c>
      <c r="P26" s="11">
        <f>IF(A26="","",L26-INPUTS!$C$8-O26)</f>
        <v>913775.53469161154</v>
      </c>
      <c r="Q26" s="16"/>
      <c r="R26" s="16"/>
      <c r="S26" s="16">
        <f t="shared" si="12"/>
        <v>46</v>
      </c>
      <c r="T26" s="18">
        <f t="shared" si="13"/>
        <v>1318275.5346916115</v>
      </c>
      <c r="U26" s="18">
        <f t="shared" si="14"/>
        <v>325585.77786253189</v>
      </c>
      <c r="V26" s="19">
        <f>IF(A26="","",FV(INPUTS!$C$10,INPUTS!$C$7-INPUTS!$C$6-A26+IF(INPUTS!$C$12="Beginning",1,0),0,-D26,0))</f>
        <v>201824.99847976828</v>
      </c>
      <c r="W26" s="7"/>
      <c r="X26" s="7"/>
      <c r="Y26" s="21">
        <f>IF(A26="","",IF(INPUTS!$C$17="Yes",MIN(Y25*(1+INPUTS!$C$15)+IF(INPUTS!$C$27="Yes",(Z26-Z25)*INPUTS!$C$31+IF(AND(INPUTS!$C$28="Not yet credentialed",A26=INPUTS!$C$33),INPUTS!$C$32,0)+IF(AND(INPUTS!$C$28&lt;&gt;"FSA / FCAS",A26=INPUTS!$C$35),INPUTS!$C$34,0),0),INPUTS!$C$18),Y25*(1+INPUTS!$C$15)+IF(INPUTS!$C$27="Yes",(Z26-Z25)*INPUTS!$C$31+IF(AND(INPUTS!$C$28="Not yet credentialed",A26=INPUTS!$C$33),INPUTS!$C$32,0)+IF(AND(INPUTS!$C$28&lt;&gt;"FSA / FCAS",A26=INPUTS!$C$35),INPUTS!$C$34,0),0)))</f>
        <v>186388.47135659365</v>
      </c>
      <c r="Z26" s="22">
        <f>IF(A26="","",IF(AND(INPUTS!$C$27="Yes",INPUTS!$C$28&lt;&gt;"FSA / FCAS",ISNUMBER(INPUTS!$C$37)),MIN(A26*INPUTS!$C$37,INPUTS!$C$30),0))</f>
        <v>3</v>
      </c>
      <c r="AA26" s="21">
        <f t="shared" si="5"/>
        <v>113900</v>
      </c>
      <c r="AB26" s="21">
        <f t="shared" si="6"/>
        <v>72488.471356593654</v>
      </c>
      <c r="AC26" s="21">
        <f>IF(A26="","",MIN(AB26,AP26)*'CONSTANTS &amp; REFERENCES'!$A$5+MAX(MIN(AB26,AR26)-AP26,0)*'CONSTANTS &amp; REFERENCES'!$A$6+MAX(MIN(AB26,AT26)-AR26,0)*'CONSTANTS &amp; REFERENCES'!$A$7+MAX(MIN(AB26,AV26)-AT26,0)*'CONSTANTS &amp; REFERENCES'!$A$8+MAX(MIN(AB26,AX26)-AV26,0)*'CONSTANTS &amp; REFERENCES'!$A$9+MAX(MIN(AB26,AZ26)-AX26,0)*'CONSTANTS &amp; REFERENCES'!$A$10+MAX(AB26-AZ26,0)*'CONSTANTS &amp; REFERENCES'!$A$11)</f>
        <v>7248.8471356593654</v>
      </c>
      <c r="AD26" s="21">
        <f>IF(AB26="","",IF(INPUTS!$C$20="Yes",AB26*INPUTS!$C$21,0))</f>
        <v>0</v>
      </c>
      <c r="AE26" s="21">
        <f>IF(Y26="","",MIN(Y26,BC26)*'CONSTANTS &amp; REFERENCES'!$B$22)</f>
        <v>11556.085224108807</v>
      </c>
      <c r="AF26" s="21">
        <f>IF(Y26="","",Y26*'CONSTANTS &amp; REFERENCES'!$B$24+MAX(0,Y26-IF(AK26="Married Filing Jointly",'CONSTANTS &amp; REFERENCES'!$C$26,IF(AK26="Married Filing Separately",'CONSTANTS &amp; REFERENCES'!$C$27,IF(AK26="Head of Household",'CONSTANTS &amp; REFERENCES'!$C$28,'CONSTANTS &amp; REFERENCES'!$C$25))))*'CONSTANTS &amp; REFERENCES'!$B$25)</f>
        <v>2702.6328346706082</v>
      </c>
      <c r="AG26" s="21">
        <f t="shared" si="15"/>
        <v>14258.718058779416</v>
      </c>
      <c r="AH26" s="21">
        <f t="shared" si="16"/>
        <v>21507.565194438779</v>
      </c>
      <c r="AI26" s="21">
        <f t="shared" si="17"/>
        <v>164880.90616215486</v>
      </c>
      <c r="AJ26" s="21">
        <f t="shared" si="18"/>
        <v>0</v>
      </c>
      <c r="AK26" s="7" t="str">
        <f>IF(A26="","",IF(AND(INPUTS!$C$43="Yes",A26&gt;=INPUTS!$C$45),INPUTS!$C$44,INPUTS!$C$19))</f>
        <v>Married Filing Jointly</v>
      </c>
      <c r="AL26" s="23">
        <f t="shared" si="7"/>
        <v>3.5380827623807707</v>
      </c>
      <c r="AM26" s="24">
        <f>IF(A26="","",(IF(OR(AK26="Single",AK26="Married Filing Separately"),'CONSTANTS &amp; REFERENCES'!$B$13,IF(AK26="Married Filing Jointly",'CONSTANTS &amp; REFERENCES'!$G$13,IF(AK26="Head of Household",'CONSTANTS &amp; REFERENCES'!$L$13,""))))*AL26)</f>
        <v>113926.26494866081</v>
      </c>
      <c r="AN26" s="21">
        <f>IF(AM26="","",IF(A26=0,IF(OR(AK26="Single",AK26="Married Filing Separately"),'CONSTANTS &amp; REFERENCES'!$B$13,IF(AK26="Married Filing Jointly",'CONSTANTS &amp; REFERENCES'!$G$13,IF(AK26="Head of Household",'CONSTANTS &amp; REFERENCES'!$L$13,""))),_xlfn.FLOOR.MATH(AM26,IF(AK26="Married Filing Separately",Bracket_Round_MFS,Bracket_Round_Standard))))</f>
        <v>113900</v>
      </c>
      <c r="AO26" s="24">
        <f>IF(A26="","",(IF(OR(AK26="Single",AK26="Married Filing Separately"),'CONSTANTS &amp; REFERENCES'!$C$5,IF(AK26="Married Filing Jointly",'CONSTANTS &amp; REFERENCES'!$H$5,IF(AK26="Head of Household",'CONSTANTS &amp; REFERENCES'!$M$5,""))))*AL26)</f>
        <v>87744.452507043112</v>
      </c>
      <c r="AP26" s="21">
        <f>IF(AO26="","",IF(A26=0,IF(OR(AK26="Single",AK26="Married Filing Separately"),'CONSTANTS &amp; REFERENCES'!$C$5,IF(AK26="Married Filing Jointly",'CONSTANTS &amp; REFERENCES'!$H$5,IF(AK26="Head of Household",'CONSTANTS &amp; REFERENCES'!$M$5,""))),_xlfn.FLOOR.MATH(AO26,IF(AK26="Married Filing Separately",Bracket_Round_MFS,Bracket_Round_Standard))))</f>
        <v>87700</v>
      </c>
      <c r="AQ26" s="24">
        <f>IF(A26="","",(IF(OR(AK26="Single",AK26="Married Filing Separately"),'CONSTANTS &amp; REFERENCES'!$C$6,IF(AK26="Married Filing Jointly",'CONSTANTS &amp; REFERENCES'!$H$6,IF(AK26="Head of Household",'CONSTANTS &amp; REFERENCES'!$M$6,""))))*AL26)</f>
        <v>356638.74244798167</v>
      </c>
      <c r="AR26" s="21">
        <f>IF(AQ26="","",IF(A26=0,IF(OR(AK26="Single",AK26="Married Filing Separately"),'CONSTANTS &amp; REFERENCES'!$C$6,IF(AK26="Married Filing Jointly",'CONSTANTS &amp; REFERENCES'!$H$6,IF(AK26="Head of Household",'CONSTANTS &amp; REFERENCES'!$M$6,""))),_xlfn.FLOOR.MATH(AQ26,IF(AK26="Married Filing Separately",Bracket_Round_MFS,Bracket_Round_Standard))))</f>
        <v>356600</v>
      </c>
      <c r="AS26" s="24">
        <f>IF(A26="","",(IF(OR(AK26="Single",AK26="Married Filing Separately"),'CONSTANTS &amp; REFERENCES'!$C$7,IF(AK26="Married Filing Jointly",'CONSTANTS &amp; REFERENCES'!$H$7,IF(AK26="Head of Household",'CONSTANTS &amp; REFERENCES'!$M$7,""))))*AL26)</f>
        <v>747950.69596729497</v>
      </c>
      <c r="AT26" s="21">
        <f>IF(AS26="","",IF(A26=0,IF(OR(AK26="Single",AK26="Married Filing Separately"),'CONSTANTS &amp; REFERENCES'!$C$7,IF(AK26="Married Filing Jointly",'CONSTANTS &amp; REFERENCES'!$H$7,IF(AK26="Head of Household",'CONSTANTS &amp; REFERENCES'!$M$7,""))),_xlfn.FLOOR.MATH(AS26,IF(AK26="Married Filing Separately",Bracket_Round_MFS,Bracket_Round_Standard))))</f>
        <v>747950</v>
      </c>
      <c r="AU26" s="24">
        <f>IF(A26="","",(IF(OR(AK26="Single",AK26="Married Filing Separately"),'CONSTANTS &amp; REFERENCES'!$C$8,IF(AK26="Married Filing Jointly",'CONSTANTS &amp; REFERENCES'!$H$8,IF(AK26="Head of Household",'CONSTANTS &amp; REFERENCES'!$M$8,""))))*AL26)</f>
        <v>1427793.2987587601</v>
      </c>
      <c r="AV26" s="21">
        <f>IF(AU26="","",IF(A26=0,IF(OR(AK26="Single",AK26="Married Filing Separately"),'CONSTANTS &amp; REFERENCES'!$C$8,IF(AK26="Married Filing Jointly",'CONSTANTS &amp; REFERENCES'!$H$8,IF(AK26="Head of Household",'CONSTANTS &amp; REFERENCES'!$M$8,""))),_xlfn.FLOOR.MATH(AU26,IF(AK26="Married Filing Separately",Bracket_Round_MFS,Bracket_Round_Standard))))</f>
        <v>1427750</v>
      </c>
      <c r="AW26" s="24">
        <f>IF(A26="","",(IF(OR(AK26="Single",AK26="Married Filing Separately"),'CONSTANTS &amp; REFERENCES'!$C$9,IF(AK26="Married Filing Jointly",'CONSTANTS &amp; REFERENCES'!$H$9,IF(AK26="Head of Household",'CONSTANTS &amp; REFERENCES'!$M$9,""))))*AL26)</f>
        <v>1813090.511582026</v>
      </c>
      <c r="AX26" s="21">
        <f>IF(AW26="","",IF(A26=0,IF(OR(AK26="Single",AK26="Married Filing Separately"),'CONSTANTS &amp; REFERENCES'!$C$9,IF(AK26="Married Filing Jointly",'CONSTANTS &amp; REFERENCES'!$H$9,IF(AK26="Head of Household",'CONSTANTS &amp; REFERENCES'!$M$9,""))),_xlfn.FLOOR.MATH(AW26,IF(AK26="Married Filing Separately",Bracket_Round_MFS,Bracket_Round_Standard))))</f>
        <v>1813050</v>
      </c>
      <c r="AY26" s="24">
        <f>IF(A26="","",(IF(OR(AK26="Single",AK26="Married Filing Separately"),'CONSTANTS &amp; REFERENCES'!$C$10,IF(AK26="Married Filing Jointly",'CONSTANTS &amp; REFERENCES'!$H$10,IF(AK26="Head of Household",'CONSTANTS &amp; REFERENCES'!$M$10,""))))*AL26)</f>
        <v>2719370.4111658605</v>
      </c>
      <c r="AZ26" s="21">
        <f>IF(AY26="","",IF(A26=0,IF(OR(AK26="Single",AK26="Married Filing Separately"),'CONSTANTS &amp; REFERENCES'!$C$10,IF(AK26="Married Filing Jointly",'CONSTANTS &amp; REFERENCES'!$H$10,IF(AK26="Head of Household",'CONSTANTS &amp; REFERENCES'!$M$10,""))),_xlfn.FLOOR.MATH(AY26,IF(AK26="Married Filing Separately",Bracket_Round_MFS,Bracket_Round_Standard))))</f>
        <v>2719350</v>
      </c>
      <c r="BA26" s="7" t="str">
        <f t="shared" si="8"/>
        <v>Illustrative future tax assumptions under simplified C-CPI-U indexing; not an IRS forecast.</v>
      </c>
      <c r="BB26" s="7">
        <f>IF(A26="","",'CONSTANTS &amp; REFERENCES'!$C$22*AL26)</f>
        <v>652776.26965925214</v>
      </c>
      <c r="BC26" s="21">
        <f t="shared" si="19"/>
        <v>652700</v>
      </c>
    </row>
    <row r="27" spans="1:55" ht="18" customHeight="1" x14ac:dyDescent="0.3">
      <c r="A27" s="10">
        <f>IF(A26&lt;INPUTS!$C$7-INPUTS!$C$6,A26+1,"")</f>
        <v>25</v>
      </c>
      <c r="B27" s="10">
        <f>IF(A27="","",INPUTS!$C$6+A27)</f>
        <v>47</v>
      </c>
      <c r="C27" s="11">
        <f t="shared" si="9"/>
        <v>1318275.5346916115</v>
      </c>
      <c r="D27" s="11">
        <f>IF(A27="","",IF(A27&lt;INPUTS!$C$13,0,J27))</f>
        <v>32000</v>
      </c>
      <c r="E27" s="12" t="str">
        <f>IF(A27="","",IF(D27=0,"—",IF(Y27&lt;IF(AK27="Married Filing Jointly",'CONSTANTS &amp; REFERENCES'!$B$44,IF(AK27="Married Filing Separately",'CONSTANTS &amp; REFERENCES'!$B$45,'CONSTANTS &amp; REFERENCES'!$B$43)),"Direct","Backdoor")))</f>
        <v>Direct</v>
      </c>
      <c r="F27" s="13">
        <f t="shared" si="0"/>
        <v>32189.03039807616</v>
      </c>
      <c r="G27" s="14">
        <f t="shared" si="1"/>
        <v>32000</v>
      </c>
      <c r="H27" s="13">
        <f t="shared" si="2"/>
        <v>4721.0577917178371</v>
      </c>
      <c r="I27" s="14">
        <f t="shared" si="3"/>
        <v>4700</v>
      </c>
      <c r="J27" s="14">
        <f t="shared" si="4"/>
        <v>32000</v>
      </c>
      <c r="K27" s="11">
        <f>IF(A27="","",IF(INPUTS!$C$12="Beginning",(C27+D27)*INPUTS!$C$10,C27*INPUTS!$C$10))</f>
        <v>135027.55346916115</v>
      </c>
      <c r="L27" s="11">
        <f>IF(A27="","",IF(INPUTS!$C$12="Beginning",(C27+D27)*(1+INPUTS!$C$10),C27*(1+INPUTS!$C$10)+D27))</f>
        <v>1485303.0881607728</v>
      </c>
      <c r="M27" s="15">
        <f>IF(A27="","",(1+INPUTS!$C$11)^A27)</f>
        <v>4.2918707197434882</v>
      </c>
      <c r="N27" s="11">
        <f t="shared" si="10"/>
        <v>346073.58542466647</v>
      </c>
      <c r="O27" s="11">
        <f t="shared" si="11"/>
        <v>436500</v>
      </c>
      <c r="P27" s="11">
        <f>IF(A27="","",L27-INPUTS!$C$8-O27)</f>
        <v>1048803.0881607728</v>
      </c>
      <c r="Q27" s="16"/>
      <c r="R27" s="16"/>
      <c r="S27" s="16">
        <f t="shared" si="12"/>
        <v>47</v>
      </c>
      <c r="T27" s="18">
        <f t="shared" si="13"/>
        <v>1485303.0881607728</v>
      </c>
      <c r="U27" s="18">
        <f t="shared" si="14"/>
        <v>346073.58542466647</v>
      </c>
      <c r="V27" s="19">
        <f>IF(A27="","",FV(INPUTS!$C$10,INPUTS!$C$7-INPUTS!$C$6-A27+IF(INPUTS!$C$12="Beginning",1,0),0,-D27,0))</f>
        <v>195709.08943492683</v>
      </c>
      <c r="W27" s="7"/>
      <c r="X27" s="7"/>
      <c r="Y27" s="21">
        <f>IF(A27="","",IF(INPUTS!$C$17="Yes",MIN(Y26*(1+INPUTS!$C$15)+IF(INPUTS!$C$27="Yes",(Z27-Z26)*INPUTS!$C$31+IF(AND(INPUTS!$C$28="Not yet credentialed",A27=INPUTS!$C$33),INPUTS!$C$32,0)+IF(AND(INPUTS!$C$28&lt;&gt;"FSA / FCAS",A27=INPUTS!$C$35),INPUTS!$C$34,0),0),INPUTS!$C$18),Y26*(1+INPUTS!$C$15)+IF(INPUTS!$C$27="Yes",(Z27-Z26)*INPUTS!$C$31+IF(AND(INPUTS!$C$28="Not yet credentialed",A27=INPUTS!$C$33),INPUTS!$C$32,0)+IF(AND(INPUTS!$C$28&lt;&gt;"FSA / FCAS",A27=INPUTS!$C$35),INPUTS!$C$34,0),0)))</f>
        <v>191980.12549729148</v>
      </c>
      <c r="Z27" s="22">
        <f>IF(A27="","",IF(AND(INPUTS!$C$27="Yes",INPUTS!$C$28&lt;&gt;"FSA / FCAS",ISNUMBER(INPUTS!$C$37)),MIN(A27*INPUTS!$C$37,INPUTS!$C$30),0))</f>
        <v>3</v>
      </c>
      <c r="AA27" s="21">
        <f t="shared" si="5"/>
        <v>120050</v>
      </c>
      <c r="AB27" s="21">
        <f t="shared" si="6"/>
        <v>71930.125497291476</v>
      </c>
      <c r="AC27" s="21">
        <f>IF(A27="","",MIN(AB27,AP27)*'CONSTANTS &amp; REFERENCES'!$A$5+MAX(MIN(AB27,AR27)-AP27,0)*'CONSTANTS &amp; REFERENCES'!$A$6+MAX(MIN(AB27,AT27)-AR27,0)*'CONSTANTS &amp; REFERENCES'!$A$7+MAX(MIN(AB27,AV27)-AT27,0)*'CONSTANTS &amp; REFERENCES'!$A$8+MAX(MIN(AB27,AX27)-AV27,0)*'CONSTANTS &amp; REFERENCES'!$A$9+MAX(MIN(AB27,AZ27)-AX27,0)*'CONSTANTS &amp; REFERENCES'!$A$10+MAX(AB27-AZ27,0)*'CONSTANTS &amp; REFERENCES'!$A$11)</f>
        <v>7193.0125497291483</v>
      </c>
      <c r="AD27" s="21">
        <f>IF(AB27="","",IF(INPUTS!$C$20="Yes",AB27*INPUTS!$C$21,0))</f>
        <v>0</v>
      </c>
      <c r="AE27" s="21">
        <f>IF(Y27="","",MIN(Y27,BC27)*'CONSTANTS &amp; REFERENCES'!$B$22)</f>
        <v>11902.767780832071</v>
      </c>
      <c r="AF27" s="21">
        <f>IF(Y27="","",Y27*'CONSTANTS &amp; REFERENCES'!$B$24+MAX(0,Y27-IF(AK27="Married Filing Jointly",'CONSTANTS &amp; REFERENCES'!$C$26,IF(AK27="Married Filing Separately",'CONSTANTS &amp; REFERENCES'!$C$27,IF(AK27="Head of Household",'CONSTANTS &amp; REFERENCES'!$C$28,'CONSTANTS &amp; REFERENCES'!$C$25))))*'CONSTANTS &amp; REFERENCES'!$B$25)</f>
        <v>2783.7118197107266</v>
      </c>
      <c r="AG27" s="21">
        <f t="shared" si="15"/>
        <v>14686.479600542798</v>
      </c>
      <c r="AH27" s="21">
        <f t="shared" si="16"/>
        <v>21879.492150271944</v>
      </c>
      <c r="AI27" s="21">
        <f t="shared" si="17"/>
        <v>170100.63334701952</v>
      </c>
      <c r="AJ27" s="21">
        <f t="shared" si="18"/>
        <v>0</v>
      </c>
      <c r="AK27" s="7" t="str">
        <f>IF(A27="","",IF(AND(INPUTS!$C$43="Yes",A27&gt;=INPUTS!$C$45),INPUTS!$C$44,INPUTS!$C$19))</f>
        <v>Married Filing Jointly</v>
      </c>
      <c r="AL27" s="23">
        <f t="shared" si="7"/>
        <v>3.729351516515075</v>
      </c>
      <c r="AM27" s="24">
        <f>IF(A27="","",(IF(OR(AK27="Single",AK27="Married Filing Separately"),'CONSTANTS &amp; REFERENCES'!$B$13,IF(AK27="Married Filing Jointly",'CONSTANTS &amp; REFERENCES'!$G$13,IF(AK27="Head of Household",'CONSTANTS &amp; REFERENCES'!$L$13,""))))*AL27)</f>
        <v>120085.11883178541</v>
      </c>
      <c r="AN27" s="21">
        <f>IF(AM27="","",IF(A27=0,IF(OR(AK27="Single",AK27="Married Filing Separately"),'CONSTANTS &amp; REFERENCES'!$B$13,IF(AK27="Married Filing Jointly",'CONSTANTS &amp; REFERENCES'!$G$13,IF(AK27="Head of Household",'CONSTANTS &amp; REFERENCES'!$L$13,""))),_xlfn.FLOOR.MATH(AM27,IF(AK27="Married Filing Separately",Bracket_Round_MFS,Bracket_Round_Standard))))</f>
        <v>120050</v>
      </c>
      <c r="AO27" s="24">
        <f>IF(A27="","",(IF(OR(AK27="Single",AK27="Married Filing Separately"),'CONSTANTS &amp; REFERENCES'!$C$5,IF(AK27="Married Filing Jointly",'CONSTANTS &amp; REFERENCES'!$H$5,IF(AK27="Head of Household",'CONSTANTS &amp; REFERENCES'!$M$5,""))))*AL27)</f>
        <v>92487.917609573866</v>
      </c>
      <c r="AP27" s="21">
        <f>IF(AO27="","",IF(A27=0,IF(OR(AK27="Single",AK27="Married Filing Separately"),'CONSTANTS &amp; REFERENCES'!$C$5,IF(AK27="Married Filing Jointly",'CONSTANTS &amp; REFERENCES'!$H$5,IF(AK27="Head of Household",'CONSTANTS &amp; REFERENCES'!$M$5,""))),_xlfn.FLOOR.MATH(AO27,IF(AK27="Married Filing Separately",Bracket_Round_MFS,Bracket_Round_Standard))))</f>
        <v>92450</v>
      </c>
      <c r="AQ27" s="24">
        <f>IF(A27="","",(IF(OR(AK27="Single",AK27="Married Filing Separately"),'CONSTANTS &amp; REFERENCES'!$C$6,IF(AK27="Married Filing Jointly",'CONSTANTS &amp; REFERENCES'!$H$6,IF(AK27="Head of Household",'CONSTANTS &amp; REFERENCES'!$M$6,""))))*AL27)</f>
        <v>375918.63286471955</v>
      </c>
      <c r="AR27" s="21">
        <f>IF(AQ27="","",IF(A27=0,IF(OR(AK27="Single",AK27="Married Filing Separately"),'CONSTANTS &amp; REFERENCES'!$C$6,IF(AK27="Married Filing Jointly",'CONSTANTS &amp; REFERENCES'!$H$6,IF(AK27="Head of Household",'CONSTANTS &amp; REFERENCES'!$M$6,""))),_xlfn.FLOOR.MATH(AQ27,IF(AK27="Married Filing Separately",Bracket_Round_MFS,Bracket_Round_Standard))))</f>
        <v>375900</v>
      </c>
      <c r="AS27" s="24">
        <f>IF(A27="","",(IF(OR(AK27="Single",AK27="Married Filing Separately"),'CONSTANTS &amp; REFERENCES'!$C$7,IF(AK27="Married Filing Jointly",'CONSTANTS &amp; REFERENCES'!$H$7,IF(AK27="Head of Household",'CONSTANTS &amp; REFERENCES'!$M$7,""))))*AL27)</f>
        <v>788384.91059128684</v>
      </c>
      <c r="AT27" s="21">
        <f>IF(AS27="","",IF(A27=0,IF(OR(AK27="Single",AK27="Married Filing Separately"),'CONSTANTS &amp; REFERENCES'!$C$7,IF(AK27="Married Filing Jointly",'CONSTANTS &amp; REFERENCES'!$H$7,IF(AK27="Head of Household",'CONSTANTS &amp; REFERENCES'!$M$7,""))),_xlfn.FLOOR.MATH(AS27,IF(AK27="Married Filing Separately",Bracket_Round_MFS,Bracket_Round_Standard))))</f>
        <v>788350</v>
      </c>
      <c r="AU27" s="24">
        <f>IF(A27="","",(IF(OR(AK27="Single",AK27="Married Filing Separately"),'CONSTANTS &amp; REFERENCES'!$C$8,IF(AK27="Married Filing Jointly",'CONSTANTS &amp; REFERENCES'!$H$8,IF(AK27="Head of Household",'CONSTANTS &amp; REFERENCES'!$M$8,""))))*AL27)</f>
        <v>1504979.8044896584</v>
      </c>
      <c r="AV27" s="21">
        <f>IF(AU27="","",IF(A27=0,IF(OR(AK27="Single",AK27="Married Filing Separately"),'CONSTANTS &amp; REFERENCES'!$C$8,IF(AK27="Married Filing Jointly",'CONSTANTS &amp; REFERENCES'!$H$8,IF(AK27="Head of Household",'CONSTANTS &amp; REFERENCES'!$M$8,""))),_xlfn.FLOOR.MATH(AU27,IF(AK27="Married Filing Separately",Bracket_Round_MFS,Bracket_Round_Standard))))</f>
        <v>1504950</v>
      </c>
      <c r="AW27" s="24">
        <f>IF(A27="","",(IF(OR(AK27="Single",AK27="Married Filing Separately"),'CONSTANTS &amp; REFERENCES'!$C$9,IF(AK27="Married Filing Jointly",'CONSTANTS &amp; REFERENCES'!$H$9,IF(AK27="Head of Household",'CONSTANTS &amp; REFERENCES'!$M$9,""))))*AL27)</f>
        <v>1911106.1846381503</v>
      </c>
      <c r="AX27" s="21">
        <f>IF(AW27="","",IF(A27=0,IF(OR(AK27="Single",AK27="Married Filing Separately"),'CONSTANTS &amp; REFERENCES'!$C$9,IF(AK27="Married Filing Jointly",'CONSTANTS &amp; REFERENCES'!$H$9,IF(AK27="Head of Household",'CONSTANTS &amp; REFERENCES'!$M$9,""))),_xlfn.FLOOR.MATH(AW27,IF(AK27="Married Filing Separately",Bracket_Round_MFS,Bracket_Round_Standard))))</f>
        <v>1911100</v>
      </c>
      <c r="AY27" s="24">
        <f>IF(A27="","",(IF(OR(AK27="Single",AK27="Married Filing Separately"),'CONSTANTS &amp; REFERENCES'!$C$10,IF(AK27="Married Filing Jointly",'CONSTANTS &amp; REFERENCES'!$H$10,IF(AK27="Head of Household",'CONSTANTS &amp; REFERENCES'!$M$10,""))))*AL27)</f>
        <v>2866379.5755934864</v>
      </c>
      <c r="AZ27" s="21">
        <f>IF(AY27="","",IF(A27=0,IF(OR(AK27="Single",AK27="Married Filing Separately"),'CONSTANTS &amp; REFERENCES'!$C$10,IF(AK27="Married Filing Jointly",'CONSTANTS &amp; REFERENCES'!$H$10,IF(AK27="Head of Household",'CONSTANTS &amp; REFERENCES'!$M$10,""))),_xlfn.FLOOR.MATH(AY27,IF(AK27="Married Filing Separately",Bracket_Round_MFS,Bracket_Round_Standard))))</f>
        <v>2866350</v>
      </c>
      <c r="BA27" s="7" t="str">
        <f t="shared" si="8"/>
        <v>Illustrative future tax assumptions under simplified C-CPI-U indexing; not an IRS forecast.</v>
      </c>
      <c r="BB27" s="7">
        <f>IF(A27="","",'CONSTANTS &amp; REFERENCES'!$C$22*AL27)</f>
        <v>688065.35479703138</v>
      </c>
      <c r="BC27" s="21">
        <f t="shared" si="19"/>
        <v>688000</v>
      </c>
    </row>
    <row r="28" spans="1:55" ht="18" customHeight="1" x14ac:dyDescent="0.3">
      <c r="A28" s="10">
        <f>IF(A27&lt;INPUTS!$C$7-INPUTS!$C$6,A27+1,"")</f>
        <v>26</v>
      </c>
      <c r="B28" s="10">
        <f>IF(A28="","",INPUTS!$C$6+A28)</f>
        <v>48</v>
      </c>
      <c r="C28" s="11">
        <f>IF(A28="","",L27)</f>
        <v>1485303.0881607728</v>
      </c>
      <c r="D28" s="11">
        <f>IF(A28="","",IF(A28&lt;INPUTS!$C$13,0,J28))</f>
        <v>34000</v>
      </c>
      <c r="E28" s="12" t="str">
        <f>IF(A28="","",IF(D28=0,"—",IF(Y28&lt;IF(AK28="Married Filing Jointly",'CONSTANTS &amp; REFERENCES'!$B$44,IF(AK28="Married Filing Separately",'CONSTANTS &amp; REFERENCES'!$B$45,'CONSTANTS &amp; REFERENCES'!$B$43)),"Direct","Backdoor")))</f>
        <v>Direct</v>
      </c>
      <c r="F28" s="13">
        <f t="shared" si="0"/>
        <v>34120.37222196073</v>
      </c>
      <c r="G28" s="14">
        <f t="shared" si="1"/>
        <v>34000</v>
      </c>
      <c r="H28" s="13">
        <f t="shared" si="2"/>
        <v>5004.3212592209075</v>
      </c>
      <c r="I28" s="14">
        <f t="shared" si="3"/>
        <v>5000</v>
      </c>
      <c r="J28" s="14">
        <f t="shared" si="4"/>
        <v>34000</v>
      </c>
      <c r="K28" s="11">
        <f>IF(A28="","",IF(INPUTS!$C$12="Beginning",(C28+D28)*INPUTS!$C$10,C28*INPUTS!$C$10))</f>
        <v>151930.30881607727</v>
      </c>
      <c r="L28" s="11">
        <f>IF(A28="","",IF(INPUTS!$C$12="Beginning",(C28+D28)*(1+INPUTS!$C$10),C28*(1+INPUTS!$C$10)+D28))</f>
        <v>1671233.3969768502</v>
      </c>
      <c r="M28" s="15">
        <f>IF(A28="","",(1+INPUTS!$C$11)^A28)</f>
        <v>4.5493829629280977</v>
      </c>
      <c r="N28" s="11">
        <f t="shared" si="10"/>
        <v>367353.86108299886</v>
      </c>
      <c r="O28" s="11">
        <f>IF(A28="","",O27+D28)</f>
        <v>470500</v>
      </c>
      <c r="P28" s="11">
        <f>IF(A28="","",L28-INPUTS!$C$8-O28)</f>
        <v>1200733.3969768502</v>
      </c>
      <c r="Q28" s="16"/>
      <c r="R28" s="16"/>
      <c r="S28" s="16">
        <f t="shared" si="12"/>
        <v>48</v>
      </c>
      <c r="T28" s="18">
        <f t="shared" si="13"/>
        <v>1671233.3969768502</v>
      </c>
      <c r="U28" s="18">
        <f t="shared" si="14"/>
        <v>367353.86108299886</v>
      </c>
      <c r="V28" s="19">
        <f>IF(A28="","",FV(INPUTS!$C$10,INPUTS!$C$7-INPUTS!$C$6-A28+IF(INPUTS!$C$12="Beginning",1,0),0,-D28,0))</f>
        <v>189037.18865873609</v>
      </c>
      <c r="W28" s="7"/>
      <c r="X28" s="7"/>
      <c r="Y28" s="21">
        <f>IF(A28="","",IF(INPUTS!$C$17="Yes",MIN(Y27*(1+INPUTS!$C$15)+IF(INPUTS!$C$27="Yes",(Z28-Z27)*INPUTS!$C$31+IF(AND(INPUTS!$C$28="Not yet credentialed",A28=INPUTS!$C$33),INPUTS!$C$32,0)+IF(AND(INPUTS!$C$28&lt;&gt;"FSA / FCAS",A28=INPUTS!$C$35),INPUTS!$C$34,0),0),INPUTS!$C$18),Y27*(1+INPUTS!$C$15)+IF(INPUTS!$C$27="Yes",(Z28-Z27)*INPUTS!$C$31+IF(AND(INPUTS!$C$28="Not yet credentialed",A28=INPUTS!$C$33),INPUTS!$C$32,0)+IF(AND(INPUTS!$C$28&lt;&gt;"FSA / FCAS",A28=INPUTS!$C$35),INPUTS!$C$34,0),0)))</f>
        <v>197739.52926221021</v>
      </c>
      <c r="Z28" s="22">
        <f>IF(A28="","",IF(AND(INPUTS!$C$27="Yes",INPUTS!$C$28&lt;&gt;"FSA / FCAS",ISNUMBER(INPUTS!$C$37)),MIN(A28*INPUTS!$C$37,INPUTS!$C$30),0))</f>
        <v>3</v>
      </c>
      <c r="AA28" s="21">
        <f t="shared" si="5"/>
        <v>126550</v>
      </c>
      <c r="AB28" s="21">
        <f t="shared" si="6"/>
        <v>71189.529262210213</v>
      </c>
      <c r="AC28" s="21">
        <f>IF(A28="","",MIN(AB28,AP28)*'CONSTANTS &amp; REFERENCES'!$A$5+MAX(MIN(AB28,AR28)-AP28,0)*'CONSTANTS &amp; REFERENCES'!$A$6+MAX(MIN(AB28,AT28)-AR28,0)*'CONSTANTS &amp; REFERENCES'!$A$7+MAX(MIN(AB28,AV28)-AT28,0)*'CONSTANTS &amp; REFERENCES'!$A$8+MAX(MIN(AB28,AX28)-AV28,0)*'CONSTANTS &amp; REFERENCES'!$A$9+MAX(MIN(AB28,AZ28)-AX28,0)*'CONSTANTS &amp; REFERENCES'!$A$10+MAX(AB28-AZ28,0)*'CONSTANTS &amp; REFERENCES'!$A$11)</f>
        <v>7118.9529262210217</v>
      </c>
      <c r="AD28" s="21">
        <f>IF(AB28="","",IF(INPUTS!$C$20="Yes",AB28*INPUTS!$C$21,0))</f>
        <v>0</v>
      </c>
      <c r="AE28" s="21">
        <f>IF(Y28="","",MIN(Y28,BC28)*'CONSTANTS &amp; REFERENCES'!$B$22)</f>
        <v>12259.850814257034</v>
      </c>
      <c r="AF28" s="21">
        <f>IF(Y28="","",Y28*'CONSTANTS &amp; REFERENCES'!$B$24+MAX(0,Y28-IF(AK28="Married Filing Jointly",'CONSTANTS &amp; REFERENCES'!$C$26,IF(AK28="Married Filing Separately",'CONSTANTS &amp; REFERENCES'!$C$27,IF(AK28="Head of Household",'CONSTANTS &amp; REFERENCES'!$C$28,'CONSTANTS &amp; REFERENCES'!$C$25))))*'CONSTANTS &amp; REFERENCES'!$B$25)</f>
        <v>2867.2231743020484</v>
      </c>
      <c r="AG28" s="21">
        <f t="shared" si="15"/>
        <v>15127.073988559081</v>
      </c>
      <c r="AH28" s="21">
        <f t="shared" si="16"/>
        <v>22246.026914780101</v>
      </c>
      <c r="AI28" s="21">
        <f t="shared" si="17"/>
        <v>175493.5023474301</v>
      </c>
      <c r="AJ28" s="21">
        <f t="shared" si="18"/>
        <v>0</v>
      </c>
      <c r="AK28" s="7" t="str">
        <f>IF(A28="","",IF(AND(INPUTS!$C$43="Yes",A28&gt;=INPUTS!$C$45),INPUTS!$C$44,INPUTS!$C$19))</f>
        <v>Married Filing Jointly</v>
      </c>
      <c r="AL28" s="23">
        <f t="shared" si="7"/>
        <v>3.9309602594978794</v>
      </c>
      <c r="AM28" s="24">
        <f>IF(A28="","",(IF(OR(AK28="Single",AK28="Married Filing Separately"),'CONSTANTS &amp; REFERENCES'!$B$13,IF(AK28="Married Filing Jointly",'CONSTANTS &amp; REFERENCES'!$G$13,IF(AK28="Head of Household",'CONSTANTS &amp; REFERENCES'!$L$13,""))))*AL28)</f>
        <v>126576.92035583172</v>
      </c>
      <c r="AN28" s="21">
        <f>IF(AM28="","",IF(A28=0,IF(OR(AK28="Single",AK28="Married Filing Separately"),'CONSTANTS &amp; REFERENCES'!$B$13,IF(AK28="Married Filing Jointly",'CONSTANTS &amp; REFERENCES'!$G$13,IF(AK28="Head of Household",'CONSTANTS &amp; REFERENCES'!$L$13,""))),_xlfn.FLOOR.MATH(AM28,IF(AK28="Married Filing Separately",Bracket_Round_MFS,Bracket_Round_Standard))))</f>
        <v>126550</v>
      </c>
      <c r="AO28" s="24">
        <f>IF(A28="","",(IF(OR(AK28="Single",AK28="Married Filing Separately"),'CONSTANTS &amp; REFERENCES'!$C$5,IF(AK28="Married Filing Jointly",'CONSTANTS &amp; REFERENCES'!$H$5,IF(AK28="Head of Household",'CONSTANTS &amp; REFERENCES'!$M$5,""))))*AL28)</f>
        <v>97487.814435547407</v>
      </c>
      <c r="AP28" s="21">
        <f>IF(AO28="","",IF(A28=0,IF(OR(AK28="Single",AK28="Married Filing Separately"),'CONSTANTS &amp; REFERENCES'!$C$5,IF(AK28="Married Filing Jointly",'CONSTANTS &amp; REFERENCES'!$H$5,IF(AK28="Head of Household",'CONSTANTS &amp; REFERENCES'!$M$5,""))),_xlfn.FLOOR.MATH(AO28,IF(AK28="Married Filing Separately",Bracket_Round_MFS,Bracket_Round_Standard))))</f>
        <v>97450</v>
      </c>
      <c r="AQ28" s="24">
        <f>IF(A28="","",(IF(OR(AK28="Single",AK28="Married Filing Separately"),'CONSTANTS &amp; REFERENCES'!$C$6,IF(AK28="Married Filing Jointly",'CONSTANTS &amp; REFERENCES'!$H$6,IF(AK28="Head of Household",'CONSTANTS &amp; REFERENCES'!$M$6,""))))*AL28)</f>
        <v>396240.79415738623</v>
      </c>
      <c r="AR28" s="21">
        <f>IF(AQ28="","",IF(A28=0,IF(OR(AK28="Single",AK28="Married Filing Separately"),'CONSTANTS &amp; REFERENCES'!$C$6,IF(AK28="Married Filing Jointly",'CONSTANTS &amp; REFERENCES'!$H$6,IF(AK28="Head of Household",'CONSTANTS &amp; REFERENCES'!$M$6,""))),_xlfn.FLOOR.MATH(AQ28,IF(AK28="Married Filing Separately",Bracket_Round_MFS,Bracket_Round_Standard))))</f>
        <v>396200</v>
      </c>
      <c r="AS28" s="24">
        <f>IF(A28="","",(IF(OR(AK28="Single",AK28="Married Filing Separately"),'CONSTANTS &amp; REFERENCES'!$C$7,IF(AK28="Married Filing Jointly",'CONSTANTS &amp; REFERENCES'!$H$7,IF(AK28="Head of Household",'CONSTANTS &amp; REFERENCES'!$M$7,""))))*AL28)</f>
        <v>831004.99885785172</v>
      </c>
      <c r="AT28" s="21">
        <f>IF(AS28="","",IF(A28=0,IF(OR(AK28="Single",AK28="Married Filing Separately"),'CONSTANTS &amp; REFERENCES'!$C$7,IF(AK28="Married Filing Jointly",'CONSTANTS &amp; REFERENCES'!$H$7,IF(AK28="Head of Household",'CONSTANTS &amp; REFERENCES'!$M$7,""))),_xlfn.FLOOR.MATH(AS28,IF(AK28="Married Filing Separately",Bracket_Round_MFS,Bracket_Round_Standard))))</f>
        <v>831000</v>
      </c>
      <c r="AU28" s="24">
        <f>IF(A28="","",(IF(OR(AK28="Single",AK28="Married Filing Separately"),'CONSTANTS &amp; REFERENCES'!$C$8,IF(AK28="Married Filing Jointly",'CONSTANTS &amp; REFERENCES'!$H$8,IF(AK28="Head of Household",'CONSTANTS &amp; REFERENCES'!$M$8,""))))*AL28)</f>
        <v>1586339.0127203693</v>
      </c>
      <c r="AV28" s="21">
        <f>IF(AU28="","",IF(A28=0,IF(OR(AK28="Single",AK28="Married Filing Separately"),'CONSTANTS &amp; REFERENCES'!$C$8,IF(AK28="Married Filing Jointly",'CONSTANTS &amp; REFERENCES'!$H$8,IF(AK28="Head of Household",'CONSTANTS &amp; REFERENCES'!$M$8,""))),_xlfn.FLOOR.MATH(AU28,IF(AK28="Married Filing Separately",Bracket_Round_MFS,Bracket_Round_Standard))))</f>
        <v>1586300</v>
      </c>
      <c r="AW28" s="24">
        <f>IF(A28="","",(IF(OR(AK28="Single",AK28="Married Filing Separately"),'CONSTANTS &amp; REFERENCES'!$C$9,IF(AK28="Married Filing Jointly",'CONSTANTS &amp; REFERENCES'!$H$9,IF(AK28="Head of Household",'CONSTANTS &amp; REFERENCES'!$M$9,""))))*AL28)</f>
        <v>2014420.5849796883</v>
      </c>
      <c r="AX28" s="21">
        <f>IF(AW28="","",IF(A28=0,IF(OR(AK28="Single",AK28="Married Filing Separately"),'CONSTANTS &amp; REFERENCES'!$C$9,IF(AK28="Married Filing Jointly",'CONSTANTS &amp; REFERENCES'!$H$9,IF(AK28="Head of Household",'CONSTANTS &amp; REFERENCES'!$M$9,""))),_xlfn.FLOOR.MATH(AW28,IF(AK28="Married Filing Separately",Bracket_Round_MFS,Bracket_Round_Standard))))</f>
        <v>2014400</v>
      </c>
      <c r="AY28" s="24">
        <f>IF(A28="","",(IF(OR(AK28="Single",AK28="Married Filing Separately"),'CONSTANTS &amp; REFERENCES'!$C$10,IF(AK28="Married Filing Jointly",'CONSTANTS &amp; REFERENCES'!$H$10,IF(AK28="Head of Household",'CONSTANTS &amp; REFERENCES'!$M$10,""))))*AL28)</f>
        <v>3021336.0554500702</v>
      </c>
      <c r="AZ28" s="21">
        <f>IF(AY28="","",IF(A28=0,IF(OR(AK28="Single",AK28="Married Filing Separately"),'CONSTANTS &amp; REFERENCES'!$C$10,IF(AK28="Married Filing Jointly",'CONSTANTS &amp; REFERENCES'!$H$10,IF(AK28="Head of Household",'CONSTANTS &amp; REFERENCES'!$M$10,""))),_xlfn.FLOOR.MATH(AY28,IF(AK28="Married Filing Separately",Bracket_Round_MFS,Bracket_Round_Standard))))</f>
        <v>3021300</v>
      </c>
      <c r="BA28" s="7" t="str">
        <f t="shared" si="8"/>
        <v>Illustrative future tax assumptions under simplified C-CPI-U indexing; not an IRS forecast.</v>
      </c>
      <c r="BB28" s="7">
        <f>IF(A28="","",'CONSTANTS &amp; REFERENCES'!$C$22*AL28)</f>
        <v>725262.16787735873</v>
      </c>
      <c r="BC28" s="21">
        <f t="shared" si="19"/>
        <v>725200</v>
      </c>
    </row>
    <row r="29" spans="1:55" ht="18" customHeight="1" x14ac:dyDescent="0.3">
      <c r="A29" s="10">
        <f>IF(A28&lt;INPUTS!$C$7-INPUTS!$C$6,A28+1,"")</f>
        <v>27</v>
      </c>
      <c r="B29" s="10">
        <f>IF(A29="","",INPUTS!$C$6+A29)</f>
        <v>49</v>
      </c>
      <c r="C29" s="11">
        <f t="shared" si="9"/>
        <v>1671233.3969768502</v>
      </c>
      <c r="D29" s="11">
        <f>IF(A29="","",IF(A29&lt;INPUTS!$C$13,0,J29))</f>
        <v>36000</v>
      </c>
      <c r="E29" s="12" t="str">
        <f>IF(A29="","",IF(D29=0,"—",IF(Y29&lt;IF(AK29="Married Filing Jointly",'CONSTANTS &amp; REFERENCES'!$B$44,IF(AK29="Married Filing Separately",'CONSTANTS &amp; REFERENCES'!$B$45,'CONSTANTS &amp; REFERENCES'!$B$43)),"Direct","Backdoor")))</f>
        <v>Direct</v>
      </c>
      <c r="F29" s="13">
        <f t="shared" si="0"/>
        <v>36167.594555278381</v>
      </c>
      <c r="G29" s="14">
        <f t="shared" si="1"/>
        <v>36000</v>
      </c>
      <c r="H29" s="13">
        <f t="shared" si="2"/>
        <v>5304.5805347741634</v>
      </c>
      <c r="I29" s="14">
        <f t="shared" si="3"/>
        <v>5300</v>
      </c>
      <c r="J29" s="14">
        <f t="shared" si="4"/>
        <v>36000</v>
      </c>
      <c r="K29" s="11">
        <f>IF(A29="","",IF(INPUTS!$C$12="Beginning",(C29+D29)*INPUTS!$C$10,C29*INPUTS!$C$10))</f>
        <v>170723.33969768503</v>
      </c>
      <c r="L29" s="11">
        <f>IF(A29="","",IF(INPUTS!$C$12="Beginning",(C29+D29)*(1+INPUTS!$C$10),C29*(1+INPUTS!$C$10)+D29))</f>
        <v>1877956.7366745353</v>
      </c>
      <c r="M29" s="15">
        <f>IF(A29="","",(1+INPUTS!$C$11)^A29)</f>
        <v>4.8223459407037845</v>
      </c>
      <c r="N29" s="11">
        <f t="shared" si="10"/>
        <v>389428.04182158317</v>
      </c>
      <c r="O29" s="11">
        <f t="shared" si="11"/>
        <v>506500</v>
      </c>
      <c r="P29" s="11">
        <f>IF(A29="","",L29-INPUTS!$C$8-O29)</f>
        <v>1371456.7366745353</v>
      </c>
      <c r="Q29" s="16"/>
      <c r="R29" s="16"/>
      <c r="S29" s="16">
        <f t="shared" si="12"/>
        <v>49</v>
      </c>
      <c r="T29" s="18">
        <f t="shared" si="13"/>
        <v>1877956.7366745353</v>
      </c>
      <c r="U29" s="18">
        <f t="shared" si="14"/>
        <v>389428.04182158317</v>
      </c>
      <c r="V29" s="19">
        <f>IF(A29="","",FV(INPUTS!$C$10,INPUTS!$C$7-INPUTS!$C$6-A29+IF(INPUTS!$C$12="Beginning",1,0),0,-D29,0))</f>
        <v>181960.93025974595</v>
      </c>
      <c r="W29" s="7"/>
      <c r="X29" s="7"/>
      <c r="Y29" s="21">
        <f>IF(A29="","",IF(INPUTS!$C$17="Yes",MIN(Y28*(1+INPUTS!$C$15)+IF(INPUTS!$C$27="Yes",(Z29-Z28)*INPUTS!$C$31+IF(AND(INPUTS!$C$28="Not yet credentialed",A29=INPUTS!$C$33),INPUTS!$C$32,0)+IF(AND(INPUTS!$C$28&lt;&gt;"FSA / FCAS",A29=INPUTS!$C$35),INPUTS!$C$34,0),0),INPUTS!$C$18),Y28*(1+INPUTS!$C$15)+IF(INPUTS!$C$27="Yes",(Z29-Z28)*INPUTS!$C$31+IF(AND(INPUTS!$C$28="Not yet credentialed",A29=INPUTS!$C$33),INPUTS!$C$32,0)+IF(AND(INPUTS!$C$28&lt;&gt;"FSA / FCAS",A29=INPUTS!$C$35),INPUTS!$C$34,0),0)))</f>
        <v>203671.71514007653</v>
      </c>
      <c r="Z29" s="22">
        <f>IF(A29="","",IF(AND(INPUTS!$C$27="Yes",INPUTS!$C$28&lt;&gt;"FSA / FCAS",ISNUMBER(INPUTS!$C$37)),MIN(A29*INPUTS!$C$37,INPUTS!$C$30),0))</f>
        <v>3</v>
      </c>
      <c r="AA29" s="21">
        <f t="shared" si="5"/>
        <v>133400</v>
      </c>
      <c r="AB29" s="21">
        <f t="shared" si="6"/>
        <v>70271.715140076529</v>
      </c>
      <c r="AC29" s="21">
        <f>IF(A29="","",MIN(AB29,AP29)*'CONSTANTS &amp; REFERENCES'!$A$5+MAX(MIN(AB29,AR29)-AP29,0)*'CONSTANTS &amp; REFERENCES'!$A$6+MAX(MIN(AB29,AT29)-AR29,0)*'CONSTANTS &amp; REFERENCES'!$A$7+MAX(MIN(AB29,AV29)-AT29,0)*'CONSTANTS &amp; REFERENCES'!$A$8+MAX(MIN(AB29,AX29)-AV29,0)*'CONSTANTS &amp; REFERENCES'!$A$9+MAX(MIN(AB29,AZ29)-AX29,0)*'CONSTANTS &amp; REFERENCES'!$A$10+MAX(AB29-AZ29,0)*'CONSTANTS &amp; REFERENCES'!$A$11)</f>
        <v>7027.1715140076531</v>
      </c>
      <c r="AD29" s="21">
        <f>IF(AB29="","",IF(INPUTS!$C$20="Yes",AB29*INPUTS!$C$21,0))</f>
        <v>0</v>
      </c>
      <c r="AE29" s="21">
        <f>IF(Y29="","",MIN(Y29,BC29)*'CONSTANTS &amp; REFERENCES'!$B$22)</f>
        <v>12627.646338684744</v>
      </c>
      <c r="AF29" s="21">
        <f>IF(Y29="","",Y29*'CONSTANTS &amp; REFERENCES'!$B$24+MAX(0,Y29-IF(AK29="Married Filing Jointly",'CONSTANTS &amp; REFERENCES'!$C$26,IF(AK29="Married Filing Separately",'CONSTANTS &amp; REFERENCES'!$C$27,IF(AK29="Head of Household",'CONSTANTS &amp; REFERENCES'!$C$28,'CONSTANTS &amp; REFERENCES'!$C$25))))*'CONSTANTS &amp; REFERENCES'!$B$25)</f>
        <v>2953.2398695311099</v>
      </c>
      <c r="AG29" s="21">
        <f t="shared" si="15"/>
        <v>15580.886208215854</v>
      </c>
      <c r="AH29" s="21">
        <f t="shared" si="16"/>
        <v>22608.057722223508</v>
      </c>
      <c r="AI29" s="21">
        <f t="shared" si="17"/>
        <v>181063.65741785301</v>
      </c>
      <c r="AJ29" s="21">
        <f t="shared" si="18"/>
        <v>0</v>
      </c>
      <c r="AK29" s="7" t="str">
        <f>IF(A29="","",IF(AND(INPUTS!$C$43="Yes",A29&gt;=INPUTS!$C$45),INPUTS!$C$44,INPUTS!$C$19))</f>
        <v>Married Filing Jointly</v>
      </c>
      <c r="AL29" s="23">
        <f t="shared" si="7"/>
        <v>4.1434679711263351</v>
      </c>
      <c r="AM29" s="24">
        <f>IF(A29="","",(IF(OR(AK29="Single",AK29="Married Filing Separately"),'CONSTANTS &amp; REFERENCES'!$B$13,IF(AK29="Married Filing Jointly",'CONSTANTS &amp; REFERENCES'!$G$13,IF(AK29="Head of Household",'CONSTANTS &amp; REFERENCES'!$L$13,""))))*AL29)</f>
        <v>133419.668670268</v>
      </c>
      <c r="AN29" s="21">
        <f>IF(AM29="","",IF(A29=0,IF(OR(AK29="Single",AK29="Married Filing Separately"),'CONSTANTS &amp; REFERENCES'!$B$13,IF(AK29="Married Filing Jointly",'CONSTANTS &amp; REFERENCES'!$G$13,IF(AK29="Head of Household",'CONSTANTS &amp; REFERENCES'!$L$13,""))),_xlfn.FLOOR.MATH(AM29,IF(AK29="Married Filing Separately",Bracket_Round_MFS,Bracket_Round_Standard))))</f>
        <v>133400</v>
      </c>
      <c r="AO29" s="24">
        <f>IF(A29="","",(IF(OR(AK29="Single",AK29="Married Filing Separately"),'CONSTANTS &amp; REFERENCES'!$C$5,IF(AK29="Married Filing Jointly",'CONSTANTS &amp; REFERENCES'!$H$5,IF(AK29="Head of Household",'CONSTANTS &amp; REFERENCES'!$M$5,""))))*AL29)</f>
        <v>102758.00568393311</v>
      </c>
      <c r="AP29" s="21">
        <f>IF(AO29="","",IF(A29=0,IF(OR(AK29="Single",AK29="Married Filing Separately"),'CONSTANTS &amp; REFERENCES'!$C$5,IF(AK29="Married Filing Jointly",'CONSTANTS &amp; REFERENCES'!$H$5,IF(AK29="Head of Household",'CONSTANTS &amp; REFERENCES'!$M$5,""))),_xlfn.FLOOR.MATH(AO29,IF(AK29="Married Filing Separately",Bracket_Round_MFS,Bracket_Round_Standard))))</f>
        <v>102750</v>
      </c>
      <c r="AQ29" s="24">
        <f>IF(A29="","",(IF(OR(AK29="Single",AK29="Married Filing Separately"),'CONSTANTS &amp; REFERENCES'!$C$6,IF(AK29="Married Filing Jointly",'CONSTANTS &amp; REFERENCES'!$H$6,IF(AK29="Head of Household",'CONSTANTS &amp; REFERENCES'!$M$6,""))))*AL29)</f>
        <v>417661.57148953457</v>
      </c>
      <c r="AR29" s="21">
        <f>IF(AQ29="","",IF(A29=0,IF(OR(AK29="Single",AK29="Married Filing Separately"),'CONSTANTS &amp; REFERENCES'!$C$6,IF(AK29="Married Filing Jointly",'CONSTANTS &amp; REFERENCES'!$H$6,IF(AK29="Head of Household",'CONSTANTS &amp; REFERENCES'!$M$6,""))),_xlfn.FLOOR.MATH(AQ29,IF(AK29="Married Filing Separately",Bracket_Round_MFS,Bracket_Round_Standard))))</f>
        <v>417650</v>
      </c>
      <c r="AS29" s="24">
        <f>IF(A29="","",(IF(OR(AK29="Single",AK29="Married Filing Separately"),'CONSTANTS &amp; REFERENCES'!$C$7,IF(AK29="Married Filing Jointly",'CONSTANTS &amp; REFERENCES'!$H$7,IF(AK29="Head of Household",'CONSTANTS &amp; REFERENCES'!$M$7,""))))*AL29)</f>
        <v>875929.12909610721</v>
      </c>
      <c r="AT29" s="21">
        <f>IF(AS29="","",IF(A29=0,IF(OR(AK29="Single",AK29="Married Filing Separately"),'CONSTANTS &amp; REFERENCES'!$C$7,IF(AK29="Married Filing Jointly",'CONSTANTS &amp; REFERENCES'!$H$7,IF(AK29="Head of Household",'CONSTANTS &amp; REFERENCES'!$M$7,""))),_xlfn.FLOOR.MATH(AS29,IF(AK29="Married Filing Separately",Bracket_Round_MFS,Bracket_Round_Standard))))</f>
        <v>875900</v>
      </c>
      <c r="AU29" s="24">
        <f>IF(A29="","",(IF(OR(AK29="Single",AK29="Married Filing Separately"),'CONSTANTS &amp; REFERENCES'!$C$8,IF(AK29="Married Filing Jointly",'CONSTANTS &amp; REFERENCES'!$H$8,IF(AK29="Head of Household",'CONSTANTS &amp; REFERENCES'!$M$8,""))))*AL29)</f>
        <v>1672096.4997480325</v>
      </c>
      <c r="AV29" s="21">
        <f>IF(AU29="","",IF(A29=0,IF(OR(AK29="Single",AK29="Married Filing Separately"),'CONSTANTS &amp; REFERENCES'!$C$8,IF(AK29="Married Filing Jointly",'CONSTANTS &amp; REFERENCES'!$H$8,IF(AK29="Head of Household",'CONSTANTS &amp; REFERENCES'!$M$8,""))),_xlfn.FLOOR.MATH(AU29,IF(AK29="Married Filing Separately",Bracket_Round_MFS,Bracket_Round_Standard))))</f>
        <v>1672050</v>
      </c>
      <c r="AW29" s="24">
        <f>IF(A29="","",(IF(OR(AK29="Single",AK29="Married Filing Separately"),'CONSTANTS &amp; REFERENCES'!$C$9,IF(AK29="Married Filing Jointly",'CONSTANTS &amp; REFERENCES'!$H$9,IF(AK29="Head of Household",'CONSTANTS &amp; REFERENCES'!$M$9,""))))*AL29)</f>
        <v>2123320.1618036903</v>
      </c>
      <c r="AX29" s="21">
        <f>IF(AW29="","",IF(A29=0,IF(OR(AK29="Single",AK29="Married Filing Separately"),'CONSTANTS &amp; REFERENCES'!$C$9,IF(AK29="Married Filing Jointly",'CONSTANTS &amp; REFERENCES'!$H$9,IF(AK29="Head of Household",'CONSTANTS &amp; REFERENCES'!$M$9,""))),_xlfn.FLOOR.MATH(AW29,IF(AK29="Married Filing Separately",Bracket_Round_MFS,Bracket_Round_Standard))))</f>
        <v>2123300</v>
      </c>
      <c r="AY29" s="24">
        <f>IF(A29="","",(IF(OR(AK29="Single",AK29="Married Filing Separately"),'CONSTANTS &amp; REFERENCES'!$C$10,IF(AK29="Married Filing Jointly",'CONSTANTS &amp; REFERENCES'!$H$10,IF(AK29="Head of Household",'CONSTANTS &amp; REFERENCES'!$M$10,""))))*AL29)</f>
        <v>3184669.4826077013</v>
      </c>
      <c r="AZ29" s="21">
        <f>IF(AY29="","",IF(A29=0,IF(OR(AK29="Single",AK29="Married Filing Separately"),'CONSTANTS &amp; REFERENCES'!$C$10,IF(AK29="Married Filing Jointly",'CONSTANTS &amp; REFERENCES'!$H$10,IF(AK29="Head of Household",'CONSTANTS &amp; REFERENCES'!$M$10,""))),_xlfn.FLOOR.MATH(AY29,IF(AK29="Married Filing Separately",Bracket_Round_MFS,Bracket_Round_Standard))))</f>
        <v>3184650</v>
      </c>
      <c r="BA29" s="7" t="str">
        <f t="shared" si="8"/>
        <v>Illustrative future tax assumptions under simplified C-CPI-U indexing; not an IRS forecast.</v>
      </c>
      <c r="BB29" s="7">
        <f>IF(A29="","",'CONSTANTS &amp; REFERENCES'!$C$22*AL29)</f>
        <v>764469.84067280882</v>
      </c>
      <c r="BC29" s="21">
        <f t="shared" si="19"/>
        <v>764400</v>
      </c>
    </row>
    <row r="30" spans="1:55" ht="18" customHeight="1" x14ac:dyDescent="0.3">
      <c r="A30" s="10">
        <f>IF(A29&lt;INPUTS!$C$7-INPUTS!$C$6,A29+1,"")</f>
        <v>28</v>
      </c>
      <c r="B30" s="10">
        <f>IF(A30="","",INPUTS!$C$6+A30)</f>
        <v>50</v>
      </c>
      <c r="C30" s="11">
        <f t="shared" si="9"/>
        <v>1877956.7366745353</v>
      </c>
      <c r="D30" s="11">
        <f>IF(A30="","",IF(A30&lt;INPUTS!$C$13,0,J30))</f>
        <v>43600</v>
      </c>
      <c r="E30" s="12" t="str">
        <f>IF(A30="","",IF(D30=0,"—",IF(Y30&lt;IF(AK30="Married Filing Jointly",'CONSTANTS &amp; REFERENCES'!$B$44,IF(AK30="Married Filing Separately",'CONSTANTS &amp; REFERENCES'!$B$45,'CONSTANTS &amp; REFERENCES'!$B$43)),"Direct","Backdoor")))</f>
        <v>Direct</v>
      </c>
      <c r="F30" s="13">
        <f t="shared" si="0"/>
        <v>38337.650228595085</v>
      </c>
      <c r="G30" s="14">
        <f t="shared" si="1"/>
        <v>38000</v>
      </c>
      <c r="H30" s="13">
        <f t="shared" si="2"/>
        <v>5622.8553668606128</v>
      </c>
      <c r="I30" s="14">
        <f t="shared" si="3"/>
        <v>5600</v>
      </c>
      <c r="J30" s="14">
        <f t="shared" si="4"/>
        <v>43600</v>
      </c>
      <c r="K30" s="11">
        <f>IF(A30="","",IF(INPUTS!$C$12="Beginning",(C30+D30)*INPUTS!$C$10,C30*INPUTS!$C$10))</f>
        <v>192155.67366745355</v>
      </c>
      <c r="L30" s="11">
        <f>IF(A30="","",IF(INPUTS!$C$12="Beginning",(C30+D30)*(1+INPUTS!$C$10),C30*(1+INPUTS!$C$10)+D30))</f>
        <v>2113712.4103419892</v>
      </c>
      <c r="M30" s="15">
        <f>IF(A30="","",(1+INPUTS!$C$11)^A30)</f>
        <v>5.1116866971460118</v>
      </c>
      <c r="N30" s="11">
        <f t="shared" si="10"/>
        <v>413505.8612888247</v>
      </c>
      <c r="O30" s="11">
        <f t="shared" si="11"/>
        <v>550100</v>
      </c>
      <c r="P30" s="11">
        <f>IF(A30="","",L30-INPUTS!$C$8-O30)</f>
        <v>1563612.4103419892</v>
      </c>
      <c r="Q30" s="16"/>
      <c r="R30" s="16"/>
      <c r="S30" s="16">
        <f t="shared" si="12"/>
        <v>50</v>
      </c>
      <c r="T30" s="18">
        <f t="shared" si="13"/>
        <v>2113712.4103419892</v>
      </c>
      <c r="U30" s="18">
        <f t="shared" si="14"/>
        <v>413505.8612888247</v>
      </c>
      <c r="V30" s="19">
        <f>IF(A30="","",FV(INPUTS!$C$10,INPUTS!$C$7-INPUTS!$C$6-A30+IF(INPUTS!$C$12="Beginning",1,0),0,-D30,0))</f>
        <v>200340.82220517483</v>
      </c>
      <c r="W30" s="7"/>
      <c r="X30" s="7"/>
      <c r="Y30" s="21">
        <f>IF(A30="","",IF(INPUTS!$C$17="Yes",MIN(Y29*(1+INPUTS!$C$15)+IF(INPUTS!$C$27="Yes",(Z30-Z29)*INPUTS!$C$31+IF(AND(INPUTS!$C$28="Not yet credentialed",A30=INPUTS!$C$33),INPUTS!$C$32,0)+IF(AND(INPUTS!$C$28&lt;&gt;"FSA / FCAS",A30=INPUTS!$C$35),INPUTS!$C$34,0),0),INPUTS!$C$18),Y29*(1+INPUTS!$C$15)+IF(INPUTS!$C$27="Yes",(Z30-Z29)*INPUTS!$C$31+IF(AND(INPUTS!$C$28="Not yet credentialed",A30=INPUTS!$C$33),INPUTS!$C$32,0)+IF(AND(INPUTS!$C$28&lt;&gt;"FSA / FCAS",A30=INPUTS!$C$35),INPUTS!$C$34,0),0)))</f>
        <v>209781.86659427884</v>
      </c>
      <c r="Z30" s="22">
        <f>IF(A30="","",IF(AND(INPUTS!$C$27="Yes",INPUTS!$C$28&lt;&gt;"FSA / FCAS",ISNUMBER(INPUTS!$C$37)),MIN(A30*INPUTS!$C$37,INPUTS!$C$30),0))</f>
        <v>3</v>
      </c>
      <c r="AA30" s="21">
        <f t="shared" si="5"/>
        <v>140600</v>
      </c>
      <c r="AB30" s="21">
        <f t="shared" si="6"/>
        <v>69181.866594278836</v>
      </c>
      <c r="AC30" s="21">
        <f>IF(A30="","",MIN(AB30,AP30)*'CONSTANTS &amp; REFERENCES'!$A$5+MAX(MIN(AB30,AR30)-AP30,0)*'CONSTANTS &amp; REFERENCES'!$A$6+MAX(MIN(AB30,AT30)-AR30,0)*'CONSTANTS &amp; REFERENCES'!$A$7+MAX(MIN(AB30,AV30)-AT30,0)*'CONSTANTS &amp; REFERENCES'!$A$8+MAX(MIN(AB30,AX30)-AV30,0)*'CONSTANTS &amp; REFERENCES'!$A$9+MAX(MIN(AB30,AZ30)-AX30,0)*'CONSTANTS &amp; REFERENCES'!$A$10+MAX(AB30-AZ30,0)*'CONSTANTS &amp; REFERENCES'!$A$11)</f>
        <v>6918.1866594278836</v>
      </c>
      <c r="AD30" s="21">
        <f>IF(AB30="","",IF(INPUTS!$C$20="Yes",AB30*INPUTS!$C$21,0))</f>
        <v>0</v>
      </c>
      <c r="AE30" s="21">
        <f>IF(Y30="","",MIN(Y30,BC30)*'CONSTANTS &amp; REFERENCES'!$B$22)</f>
        <v>13006.475728845287</v>
      </c>
      <c r="AF30" s="21">
        <f>IF(Y30="","",Y30*'CONSTANTS &amp; REFERENCES'!$B$24+MAX(0,Y30-IF(AK30="Married Filing Jointly",'CONSTANTS &amp; REFERENCES'!$C$26,IF(AK30="Married Filing Separately",'CONSTANTS &amp; REFERENCES'!$C$27,IF(AK30="Head of Household",'CONSTANTS &amp; REFERENCES'!$C$28,'CONSTANTS &amp; REFERENCES'!$C$25))))*'CONSTANTS &amp; REFERENCES'!$B$25)</f>
        <v>3041.8370656170432</v>
      </c>
      <c r="AG30" s="21">
        <f t="shared" si="15"/>
        <v>16048.31279446233</v>
      </c>
      <c r="AH30" s="21">
        <f t="shared" si="16"/>
        <v>22966.499453890214</v>
      </c>
      <c r="AI30" s="21">
        <f t="shared" si="17"/>
        <v>186815.36714038861</v>
      </c>
      <c r="AJ30" s="21">
        <f t="shared" si="18"/>
        <v>0</v>
      </c>
      <c r="AK30" s="7" t="str">
        <f>IF(A30="","",IF(AND(INPUTS!$C$43="Yes",A30&gt;=INPUTS!$C$45),INPUTS!$C$44,INPUTS!$C$19))</f>
        <v>Married Filing Jointly</v>
      </c>
      <c r="AL30" s="23">
        <f t="shared" si="7"/>
        <v>4.367463849645425</v>
      </c>
      <c r="AM30" s="24">
        <f>IF(A30="","",(IF(OR(AK30="Single",AK30="Married Filing Separately"),'CONSTANTS &amp; REFERENCES'!$B$13,IF(AK30="Married Filing Jointly",'CONSTANTS &amp; REFERENCES'!$G$13,IF(AK30="Head of Household",'CONSTANTS &amp; REFERENCES'!$L$13,""))))*AL30)</f>
        <v>140632.3359585827</v>
      </c>
      <c r="AN30" s="21">
        <f>IF(AM30="","",IF(A30=0,IF(OR(AK30="Single",AK30="Married Filing Separately"),'CONSTANTS &amp; REFERENCES'!$B$13,IF(AK30="Married Filing Jointly",'CONSTANTS &amp; REFERENCES'!$G$13,IF(AK30="Head of Household",'CONSTANTS &amp; REFERENCES'!$L$13,""))),_xlfn.FLOOR.MATH(AM30,IF(AK30="Married Filing Separately",Bracket_Round_MFS,Bracket_Round_Standard))))</f>
        <v>140600</v>
      </c>
      <c r="AO30" s="24">
        <f>IF(A30="","",(IF(OR(AK30="Single",AK30="Married Filing Separately"),'CONSTANTS &amp; REFERENCES'!$C$5,IF(AK30="Married Filing Jointly",'CONSTANTS &amp; REFERENCES'!$H$5,IF(AK30="Head of Household",'CONSTANTS &amp; REFERENCES'!$M$5,""))))*AL30)</f>
        <v>108313.10347120654</v>
      </c>
      <c r="AP30" s="21">
        <f>IF(AO30="","",IF(A30=0,IF(OR(AK30="Single",AK30="Married Filing Separately"),'CONSTANTS &amp; REFERENCES'!$C$5,IF(AK30="Married Filing Jointly",'CONSTANTS &amp; REFERENCES'!$H$5,IF(AK30="Head of Household",'CONSTANTS &amp; REFERENCES'!$M$5,""))),_xlfn.FLOOR.MATH(AO30,IF(AK30="Married Filing Separately",Bracket_Round_MFS,Bracket_Round_Standard))))</f>
        <v>108300</v>
      </c>
      <c r="AQ30" s="24">
        <f>IF(A30="","",(IF(OR(AK30="Single",AK30="Married Filing Separately"),'CONSTANTS &amp; REFERENCES'!$C$6,IF(AK30="Married Filing Jointly",'CONSTANTS &amp; REFERENCES'!$H$6,IF(AK30="Head of Household",'CONSTANTS &amp; REFERENCES'!$M$6,""))))*AL30)</f>
        <v>440240.35604425886</v>
      </c>
      <c r="AR30" s="21">
        <f>IF(AQ30="","",IF(A30=0,IF(OR(AK30="Single",AK30="Married Filing Separately"),'CONSTANTS &amp; REFERENCES'!$C$6,IF(AK30="Married Filing Jointly",'CONSTANTS &amp; REFERENCES'!$H$6,IF(AK30="Head of Household",'CONSTANTS &amp; REFERENCES'!$M$6,""))),_xlfn.FLOOR.MATH(AQ30,IF(AK30="Married Filing Separately",Bracket_Round_MFS,Bracket_Round_Standard))))</f>
        <v>440200</v>
      </c>
      <c r="AS30" s="24">
        <f>IF(A30="","",(IF(OR(AK30="Single",AK30="Married Filing Separately"),'CONSTANTS &amp; REFERENCES'!$C$7,IF(AK30="Married Filing Jointly",'CONSTANTS &amp; REFERENCES'!$H$7,IF(AK30="Head of Household",'CONSTANTS &amp; REFERENCES'!$M$7,""))))*AL30)</f>
        <v>923281.85781504284</v>
      </c>
      <c r="AT30" s="21">
        <f>IF(AS30="","",IF(A30=0,IF(OR(AK30="Single",AK30="Married Filing Separately"),'CONSTANTS &amp; REFERENCES'!$C$7,IF(AK30="Married Filing Jointly",'CONSTANTS &amp; REFERENCES'!$H$7,IF(AK30="Head of Household",'CONSTANTS &amp; REFERENCES'!$M$7,""))),_xlfn.FLOOR.MATH(AS30,IF(AK30="Married Filing Separately",Bracket_Round_MFS,Bracket_Round_Standard))))</f>
        <v>923250</v>
      </c>
      <c r="AU30" s="24">
        <f>IF(A30="","",(IF(OR(AK30="Single",AK30="Married Filing Separately"),'CONSTANTS &amp; REFERENCES'!$C$8,IF(AK30="Married Filing Jointly",'CONSTANTS &amp; REFERENCES'!$H$8,IF(AK30="Head of Household",'CONSTANTS &amp; REFERENCES'!$M$8,""))))*AL30)</f>
        <v>1762490.0365244113</v>
      </c>
      <c r="AV30" s="21">
        <f>IF(AU30="","",IF(A30=0,IF(OR(AK30="Single",AK30="Married Filing Separately"),'CONSTANTS &amp; REFERENCES'!$C$8,IF(AK30="Married Filing Jointly",'CONSTANTS &amp; REFERENCES'!$H$8,IF(AK30="Head of Household",'CONSTANTS &amp; REFERENCES'!$M$8,""))),_xlfn.FLOOR.MATH(AU30,IF(AK30="Married Filing Separately",Bracket_Round_MFS,Bracket_Round_Standard))))</f>
        <v>1762450</v>
      </c>
      <c r="AW30" s="24">
        <f>IF(A30="","",(IF(OR(AK30="Single",AK30="Married Filing Separately"),'CONSTANTS &amp; REFERENCES'!$C$9,IF(AK30="Married Filing Jointly",'CONSTANTS &amp; REFERENCES'!$H$9,IF(AK30="Head of Household",'CONSTANTS &amp; REFERENCES'!$M$9,""))))*AL30)</f>
        <v>2238106.8497507982</v>
      </c>
      <c r="AX30" s="21">
        <f>IF(AW30="","",IF(A30=0,IF(OR(AK30="Single",AK30="Married Filing Separately"),'CONSTANTS &amp; REFERENCES'!$C$9,IF(AK30="Married Filing Jointly",'CONSTANTS &amp; REFERENCES'!$H$9,IF(AK30="Head of Household",'CONSTANTS &amp; REFERENCES'!$M$9,""))),_xlfn.FLOOR.MATH(AW30,IF(AK30="Married Filing Separately",Bracket_Round_MFS,Bracket_Round_Standard))))</f>
        <v>2238100</v>
      </c>
      <c r="AY30" s="24">
        <f>IF(A30="","",(IF(OR(AK30="Single",AK30="Married Filing Separately"),'CONSTANTS &amp; REFERENCES'!$C$10,IF(AK30="Married Filing Jointly",'CONSTANTS &amp; REFERENCES'!$H$10,IF(AK30="Head of Household",'CONSTANTS &amp; REFERENCES'!$M$10,""))))*AL30)</f>
        <v>3356832.7148374738</v>
      </c>
      <c r="AZ30" s="21">
        <f>IF(AY30="","",IF(A30=0,IF(OR(AK30="Single",AK30="Married Filing Separately"),'CONSTANTS &amp; REFERENCES'!$C$10,IF(AK30="Married Filing Jointly",'CONSTANTS &amp; REFERENCES'!$H$10,IF(AK30="Head of Household",'CONSTANTS &amp; REFERENCES'!$M$10,""))),_xlfn.FLOOR.MATH(AY30,IF(AK30="Married Filing Separately",Bracket_Round_MFS,Bracket_Round_Standard))))</f>
        <v>3356800</v>
      </c>
      <c r="BA30" s="7" t="str">
        <f t="shared" si="8"/>
        <v>Illustrative future tax assumptions under simplified C-CPI-U indexing; not an IRS forecast.</v>
      </c>
      <c r="BB30" s="7">
        <f>IF(A30="","",'CONSTANTS &amp; REFERENCES'!$C$22*AL30)</f>
        <v>805797.08025958086</v>
      </c>
      <c r="BC30" s="21">
        <f t="shared" si="19"/>
        <v>805700</v>
      </c>
    </row>
    <row r="31" spans="1:55" ht="18" customHeight="1" x14ac:dyDescent="0.3">
      <c r="A31" s="10">
        <f>IF(A30&lt;INPUTS!$C$7-INPUTS!$C$6,A30+1,"")</f>
        <v>29</v>
      </c>
      <c r="B31" s="10">
        <f>IF(A31="","",INPUTS!$C$6+A31)</f>
        <v>51</v>
      </c>
      <c r="C31" s="11">
        <f t="shared" si="9"/>
        <v>2113712.4103419892</v>
      </c>
      <c r="D31" s="11">
        <f>IF(A31="","",IF(A31&lt;INPUTS!$C$13,0,J31))</f>
        <v>46400</v>
      </c>
      <c r="E31" s="12" t="str">
        <f>IF(A31="","",IF(D31=0,"—",IF(Y31&lt;IF(AK31="Married Filing Jointly",'CONSTANTS &amp; REFERENCES'!$B$44,IF(AK31="Married Filing Separately",'CONSTANTS &amp; REFERENCES'!$B$45,'CONSTANTS &amp; REFERENCES'!$B$43)),"Direct","Backdoor")))</f>
        <v>Direct</v>
      </c>
      <c r="F31" s="13">
        <f t="shared" si="0"/>
        <v>40637.909242310794</v>
      </c>
      <c r="G31" s="14">
        <f t="shared" si="1"/>
        <v>40500</v>
      </c>
      <c r="H31" s="13">
        <f t="shared" si="2"/>
        <v>5960.2266888722506</v>
      </c>
      <c r="I31" s="14">
        <f t="shared" si="3"/>
        <v>5900</v>
      </c>
      <c r="J31" s="14">
        <f t="shared" si="4"/>
        <v>46400</v>
      </c>
      <c r="K31" s="11">
        <f>IF(A31="","",IF(INPUTS!$C$12="Beginning",(C31+D31)*INPUTS!$C$10,C31*INPUTS!$C$10))</f>
        <v>216011.24103419893</v>
      </c>
      <c r="L31" s="11">
        <f>IF(A31="","",IF(INPUTS!$C$12="Beginning",(C31+D31)*(1+INPUTS!$C$10),C31*(1+INPUTS!$C$10)+D31))</f>
        <v>2376123.6513761883</v>
      </c>
      <c r="M31" s="15">
        <f>IF(A31="","",(1+INPUTS!$C$11)^A31)</f>
        <v>5.4183878989747729</v>
      </c>
      <c r="N31" s="11">
        <f t="shared" si="10"/>
        <v>438529.63200102019</v>
      </c>
      <c r="O31" s="11">
        <f t="shared" si="11"/>
        <v>596500</v>
      </c>
      <c r="P31" s="11">
        <f>IF(A31="","",L31-INPUTS!$C$8-O31)</f>
        <v>1779623.6513761883</v>
      </c>
      <c r="Q31" s="16"/>
      <c r="R31" s="16"/>
      <c r="S31" s="16">
        <f t="shared" si="12"/>
        <v>51</v>
      </c>
      <c r="T31" s="18">
        <f t="shared" si="13"/>
        <v>2376123.6513761883</v>
      </c>
      <c r="U31" s="18">
        <f t="shared" si="14"/>
        <v>438529.63200102019</v>
      </c>
      <c r="V31" s="19">
        <f>IF(A31="","",FV(INPUTS!$C$10,INPUTS!$C$7-INPUTS!$C$6-A31+IF(INPUTS!$C$12="Beginning",1,0),0,-D31,0))</f>
        <v>193824.31506088641</v>
      </c>
      <c r="W31" s="7"/>
      <c r="X31" s="7"/>
      <c r="Y31" s="21">
        <f>IF(A31="","",IF(INPUTS!$C$17="Yes",MIN(Y30*(1+INPUTS!$C$15)+IF(INPUTS!$C$27="Yes",(Z31-Z30)*INPUTS!$C$31+IF(AND(INPUTS!$C$28="Not yet credentialed",A31=INPUTS!$C$33),INPUTS!$C$32,0)+IF(AND(INPUTS!$C$28&lt;&gt;"FSA / FCAS",A31=INPUTS!$C$35),INPUTS!$C$34,0),0),INPUTS!$C$18),Y30*(1+INPUTS!$C$15)+IF(INPUTS!$C$27="Yes",(Z31-Z30)*INPUTS!$C$31+IF(AND(INPUTS!$C$28="Not yet credentialed",A31=INPUTS!$C$33),INPUTS!$C$32,0)+IF(AND(INPUTS!$C$28&lt;&gt;"FSA / FCAS",A31=INPUTS!$C$35),INPUTS!$C$34,0),0)))</f>
        <v>216075.3225921072</v>
      </c>
      <c r="Z31" s="22">
        <f>IF(A31="","",IF(AND(INPUTS!$C$27="Yes",INPUTS!$C$28&lt;&gt;"FSA / FCAS",ISNUMBER(INPUTS!$C$37)),MIN(A31*INPUTS!$C$37,INPUTS!$C$30),0))</f>
        <v>3</v>
      </c>
      <c r="AA31" s="21">
        <f t="shared" si="5"/>
        <v>148200</v>
      </c>
      <c r="AB31" s="21">
        <f t="shared" si="6"/>
        <v>67875.322592107201</v>
      </c>
      <c r="AC31" s="21">
        <f>IF(A31="","",MIN(AB31,AP31)*'CONSTANTS &amp; REFERENCES'!$A$5+MAX(MIN(AB31,AR31)-AP31,0)*'CONSTANTS &amp; REFERENCES'!$A$6+MAX(MIN(AB31,AT31)-AR31,0)*'CONSTANTS &amp; REFERENCES'!$A$7+MAX(MIN(AB31,AV31)-AT31,0)*'CONSTANTS &amp; REFERENCES'!$A$8+MAX(MIN(AB31,AX31)-AV31,0)*'CONSTANTS &amp; REFERENCES'!$A$9+MAX(MIN(AB31,AZ31)-AX31,0)*'CONSTANTS &amp; REFERENCES'!$A$10+MAX(AB31-AZ31,0)*'CONSTANTS &amp; REFERENCES'!$A$11)</f>
        <v>6787.5322592107204</v>
      </c>
      <c r="AD31" s="21">
        <f>IF(AB31="","",IF(INPUTS!$C$20="Yes",AB31*INPUTS!$C$21,0))</f>
        <v>0</v>
      </c>
      <c r="AE31" s="21">
        <f>IF(Y31="","",MIN(Y31,BC31)*'CONSTANTS &amp; REFERENCES'!$B$22)</f>
        <v>13396.670000710646</v>
      </c>
      <c r="AF31" s="21">
        <f>IF(Y31="","",Y31*'CONSTANTS &amp; REFERENCES'!$B$24+MAX(0,Y31-IF(AK31="Married Filing Jointly",'CONSTANTS &amp; REFERENCES'!$C$26,IF(AK31="Married Filing Separately",'CONSTANTS &amp; REFERENCES'!$C$27,IF(AK31="Head of Household",'CONSTANTS &amp; REFERENCES'!$C$28,'CONSTANTS &amp; REFERENCES'!$C$25))))*'CONSTANTS &amp; REFERENCES'!$B$25)</f>
        <v>3133.0921775855545</v>
      </c>
      <c r="AG31" s="21">
        <f t="shared" si="15"/>
        <v>16529.762178296201</v>
      </c>
      <c r="AH31" s="21">
        <f t="shared" si="16"/>
        <v>23317.29443750692</v>
      </c>
      <c r="AI31" s="21">
        <f t="shared" si="17"/>
        <v>192758.0281546003</v>
      </c>
      <c r="AJ31" s="21">
        <f t="shared" si="18"/>
        <v>0</v>
      </c>
      <c r="AK31" s="7" t="str">
        <f>IF(A31="","",IF(AND(INPUTS!$C$43="Yes",A31&gt;=INPUTS!$C$45),INPUTS!$C$44,INPUTS!$C$19))</f>
        <v>Married Filing Jointly</v>
      </c>
      <c r="AL31" s="23">
        <f t="shared" si="7"/>
        <v>4.6035689453572566</v>
      </c>
      <c r="AM31" s="24">
        <f>IF(A31="","",(IF(OR(AK31="Single",AK31="Married Filing Separately"),'CONSTANTS &amp; REFERENCES'!$B$13,IF(AK31="Married Filing Jointly",'CONSTANTS &amp; REFERENCES'!$G$13,IF(AK31="Head of Household",'CONSTANTS &amp; REFERENCES'!$L$13,""))))*AL31)</f>
        <v>148234.92004050367</v>
      </c>
      <c r="AN31" s="21">
        <f>IF(AM31="","",IF(A31=0,IF(OR(AK31="Single",AK31="Married Filing Separately"),'CONSTANTS &amp; REFERENCES'!$B$13,IF(AK31="Married Filing Jointly",'CONSTANTS &amp; REFERENCES'!$G$13,IF(AK31="Head of Household",'CONSTANTS &amp; REFERENCES'!$L$13,""))),_xlfn.FLOOR.MATH(AM31,IF(AK31="Married Filing Separately",Bracket_Round_MFS,Bracket_Round_Standard))))</f>
        <v>148200</v>
      </c>
      <c r="AO31" s="24">
        <f>IF(A31="","",(IF(OR(AK31="Single",AK31="Married Filing Separately"),'CONSTANTS &amp; REFERENCES'!$C$5,IF(AK31="Married Filing Jointly",'CONSTANTS &amp; REFERENCES'!$H$5,IF(AK31="Head of Household",'CONSTANTS &amp; REFERENCES'!$M$5,""))))*AL31)</f>
        <v>114168.50984485996</v>
      </c>
      <c r="AP31" s="21">
        <f>IF(AO31="","",IF(A31=0,IF(OR(AK31="Single",AK31="Married Filing Separately"),'CONSTANTS &amp; REFERENCES'!$C$5,IF(AK31="Married Filing Jointly",'CONSTANTS &amp; REFERENCES'!$H$5,IF(AK31="Head of Household",'CONSTANTS &amp; REFERENCES'!$M$5,""))),_xlfn.FLOOR.MATH(AO31,IF(AK31="Married Filing Separately",Bracket_Round_MFS,Bracket_Round_Standard))))</f>
        <v>114150</v>
      </c>
      <c r="AQ31" s="24">
        <f>IF(A31="","",(IF(OR(AK31="Single",AK31="Married Filing Separately"),'CONSTANTS &amp; REFERENCES'!$C$6,IF(AK31="Married Filing Jointly",'CONSTANTS &amp; REFERENCES'!$H$6,IF(AK31="Head of Household",'CONSTANTS &amp; REFERENCES'!$M$6,""))))*AL31)</f>
        <v>464039.74969201145</v>
      </c>
      <c r="AR31" s="21">
        <f>IF(AQ31="","",IF(A31=0,IF(OR(AK31="Single",AK31="Married Filing Separately"),'CONSTANTS &amp; REFERENCES'!$C$6,IF(AK31="Married Filing Jointly",'CONSTANTS &amp; REFERENCES'!$H$6,IF(AK31="Head of Household",'CONSTANTS &amp; REFERENCES'!$M$6,""))),_xlfn.FLOOR.MATH(AQ31,IF(AK31="Married Filing Separately",Bracket_Round_MFS,Bracket_Round_Standard))))</f>
        <v>464000</v>
      </c>
      <c r="AS31" s="24">
        <f>IF(A31="","",(IF(OR(AK31="Single",AK31="Married Filing Separately"),'CONSTANTS &amp; REFERENCES'!$C$7,IF(AK31="Married Filing Jointly",'CONSTANTS &amp; REFERENCES'!$H$7,IF(AK31="Head of Household",'CONSTANTS &amp; REFERENCES'!$M$7,""))))*AL31)</f>
        <v>973194.47504852409</v>
      </c>
      <c r="AT31" s="21">
        <f>IF(AS31="","",IF(A31=0,IF(OR(AK31="Single",AK31="Married Filing Separately"),'CONSTANTS &amp; REFERENCES'!$C$7,IF(AK31="Married Filing Jointly",'CONSTANTS &amp; REFERENCES'!$H$7,IF(AK31="Head of Household",'CONSTANTS &amp; REFERENCES'!$M$7,""))),_xlfn.FLOOR.MATH(AS31,IF(AK31="Married Filing Separately",Bracket_Round_MFS,Bracket_Round_Standard))))</f>
        <v>973150</v>
      </c>
      <c r="AU31" s="24">
        <f>IF(A31="","",(IF(OR(AK31="Single",AK31="Married Filing Separately"),'CONSTANTS &amp; REFERENCES'!$C$8,IF(AK31="Married Filing Jointly",'CONSTANTS &amp; REFERENCES'!$H$8,IF(AK31="Head of Household",'CONSTANTS &amp; REFERENCES'!$M$8,""))))*AL31)</f>
        <v>1857770.2478989209</v>
      </c>
      <c r="AV31" s="21">
        <f>IF(AU31="","",IF(A31=0,IF(OR(AK31="Single",AK31="Married Filing Separately"),'CONSTANTS &amp; REFERENCES'!$C$8,IF(AK31="Married Filing Jointly",'CONSTANTS &amp; REFERENCES'!$H$8,IF(AK31="Head of Household",'CONSTANTS &amp; REFERENCES'!$M$8,""))),_xlfn.FLOOR.MATH(AU31,IF(AK31="Married Filing Separately",Bracket_Round_MFS,Bracket_Round_Standard))))</f>
        <v>1857750</v>
      </c>
      <c r="AW31" s="24">
        <f>IF(A31="","",(IF(OR(AK31="Single",AK31="Married Filing Separately"),'CONSTANTS &amp; REFERENCES'!$C$9,IF(AK31="Married Filing Jointly",'CONSTANTS &amp; REFERENCES'!$H$9,IF(AK31="Head of Household",'CONSTANTS &amp; REFERENCES'!$M$9,""))))*AL31)</f>
        <v>2359098.9060483263</v>
      </c>
      <c r="AX31" s="21">
        <f>IF(AW31="","",IF(A31=0,IF(OR(AK31="Single",AK31="Married Filing Separately"),'CONSTANTS &amp; REFERENCES'!$C$9,IF(AK31="Married Filing Jointly",'CONSTANTS &amp; REFERENCES'!$H$9,IF(AK31="Head of Household",'CONSTANTS &amp; REFERENCES'!$M$9,""))),_xlfn.FLOOR.MATH(AW31,IF(AK31="Married Filing Separately",Bracket_Round_MFS,Bracket_Round_Standard))))</f>
        <v>2359050</v>
      </c>
      <c r="AY31" s="24">
        <f>IF(A31="","",(IF(OR(AK31="Single",AK31="Married Filing Separately"),'CONSTANTS &amp; REFERENCES'!$C$10,IF(AK31="Married Filing Jointly",'CONSTANTS &amp; REFERENCES'!$H$10,IF(AK31="Head of Household",'CONSTANTS &amp; REFERENCES'!$M$10,""))))*AL31)</f>
        <v>3538303.0914015872</v>
      </c>
      <c r="AZ31" s="21">
        <f>IF(AY31="","",IF(A31=0,IF(OR(AK31="Single",AK31="Married Filing Separately"),'CONSTANTS &amp; REFERENCES'!$C$10,IF(AK31="Married Filing Jointly",'CONSTANTS &amp; REFERENCES'!$H$10,IF(AK31="Head of Household",'CONSTANTS &amp; REFERENCES'!$M$10,""))),_xlfn.FLOOR.MATH(AY31,IF(AK31="Married Filing Separately",Bracket_Round_MFS,Bracket_Round_Standard))))</f>
        <v>3538300</v>
      </c>
      <c r="BA31" s="7" t="str">
        <f t="shared" si="8"/>
        <v>Illustrative future tax assumptions under simplified C-CPI-U indexing; not an IRS forecast.</v>
      </c>
      <c r="BB31" s="7">
        <f>IF(A31="","",'CONSTANTS &amp; REFERENCES'!$C$22*AL31)</f>
        <v>849358.47041841387</v>
      </c>
      <c r="BC31" s="21">
        <f t="shared" si="19"/>
        <v>849300</v>
      </c>
    </row>
    <row r="32" spans="1:55" ht="18" customHeight="1" x14ac:dyDescent="0.3">
      <c r="A32" s="10">
        <f>IF(A31&lt;INPUTS!$C$7-INPUTS!$C$6,A31+1,"")</f>
        <v>30</v>
      </c>
      <c r="B32" s="10">
        <f>IF(A32="","",INPUTS!$C$6+A32)</f>
        <v>52</v>
      </c>
      <c r="C32" s="11">
        <f t="shared" si="9"/>
        <v>2376123.6513761883</v>
      </c>
      <c r="D32" s="11">
        <f>IF(A32="","",IF(A32&lt;INPUTS!$C$13,0,J32))</f>
        <v>49300</v>
      </c>
      <c r="E32" s="12" t="str">
        <f>IF(A32="","",IF(D32=0,"—",IF(Y32&lt;IF(AK32="Married Filing Jointly",'CONSTANTS &amp; REFERENCES'!$B$44,IF(AK32="Married Filing Separately",'CONSTANTS &amp; REFERENCES'!$B$45,'CONSTANTS &amp; REFERENCES'!$B$43)),"Direct","Backdoor")))</f>
        <v>Direct</v>
      </c>
      <c r="F32" s="13">
        <f t="shared" si="0"/>
        <v>43076.183796849444</v>
      </c>
      <c r="G32" s="14">
        <f t="shared" si="1"/>
        <v>43000</v>
      </c>
      <c r="H32" s="13">
        <f t="shared" si="2"/>
        <v>6317.8402902045855</v>
      </c>
      <c r="I32" s="14">
        <f t="shared" si="3"/>
        <v>6300</v>
      </c>
      <c r="J32" s="14">
        <f t="shared" si="4"/>
        <v>49300</v>
      </c>
      <c r="K32" s="11">
        <f>IF(A32="","",IF(INPUTS!$C$12="Beginning",(C32+D32)*INPUTS!$C$10,C32*INPUTS!$C$10))</f>
        <v>242542.36513761885</v>
      </c>
      <c r="L32" s="11">
        <f>IF(A32="","",IF(INPUTS!$C$12="Beginning",(C32+D32)*(1+INPUTS!$C$10),C32*(1+INPUTS!$C$10)+D32))</f>
        <v>2667966.0165138072</v>
      </c>
      <c r="M32" s="15">
        <f>IF(A32="","",(1+INPUTS!$C$11)^A32)</f>
        <v>5.7434911729132594</v>
      </c>
      <c r="N32" s="11">
        <f t="shared" si="10"/>
        <v>464519.91240034241</v>
      </c>
      <c r="O32" s="11">
        <f t="shared" si="11"/>
        <v>645800</v>
      </c>
      <c r="P32" s="11">
        <f>IF(A32="","",L32-INPUTS!$C$8-O32)</f>
        <v>2022166.0165138072</v>
      </c>
      <c r="Q32" s="16"/>
      <c r="R32" s="16"/>
      <c r="S32" s="16">
        <f t="shared" si="12"/>
        <v>52</v>
      </c>
      <c r="T32" s="18">
        <f t="shared" si="13"/>
        <v>2667966.0165138072</v>
      </c>
      <c r="U32" s="18">
        <f t="shared" si="14"/>
        <v>464519.91240034241</v>
      </c>
      <c r="V32" s="19">
        <f>IF(A32="","",FV(INPUTS!$C$10,INPUTS!$C$7-INPUTS!$C$6-A32+IF(INPUTS!$C$12="Beginning",1,0),0,-D32,0))</f>
        <v>187216.667956538</v>
      </c>
      <c r="W32" s="7"/>
      <c r="X32" s="7"/>
      <c r="Y32" s="21">
        <f>IF(A32="","",IF(INPUTS!$C$17="Yes",MIN(Y31*(1+INPUTS!$C$15)+IF(INPUTS!$C$27="Yes",(Z32-Z31)*INPUTS!$C$31+IF(AND(INPUTS!$C$28="Not yet credentialed",A32=INPUTS!$C$33),INPUTS!$C$32,0)+IF(AND(INPUTS!$C$28&lt;&gt;"FSA / FCAS",A32=INPUTS!$C$35),INPUTS!$C$34,0),0),INPUTS!$C$18),Y31*(1+INPUTS!$C$15)+IF(INPUTS!$C$27="Yes",(Z32-Z31)*INPUTS!$C$31+IF(AND(INPUTS!$C$28="Not yet credentialed",A32=INPUTS!$C$33),INPUTS!$C$32,0)+IF(AND(INPUTS!$C$28&lt;&gt;"FSA / FCAS",A32=INPUTS!$C$35),INPUTS!$C$34,0),0)))</f>
        <v>222557.58226987041</v>
      </c>
      <c r="Z32" s="22">
        <f>IF(A32="","",IF(AND(INPUTS!$C$27="Yes",INPUTS!$C$28&lt;&gt;"FSA / FCAS",ISNUMBER(INPUTS!$C$37)),MIN(A32*INPUTS!$C$37,INPUTS!$C$30),0))</f>
        <v>3</v>
      </c>
      <c r="AA32" s="21">
        <f t="shared" si="5"/>
        <v>156200</v>
      </c>
      <c r="AB32" s="21">
        <f t="shared" si="6"/>
        <v>66357.582269870414</v>
      </c>
      <c r="AC32" s="21">
        <f>IF(A32="","",MIN(AB32,AP32)*'CONSTANTS &amp; REFERENCES'!$A$5+MAX(MIN(AB32,AR32)-AP32,0)*'CONSTANTS &amp; REFERENCES'!$A$6+MAX(MIN(AB32,AT32)-AR32,0)*'CONSTANTS &amp; REFERENCES'!$A$7+MAX(MIN(AB32,AV32)-AT32,0)*'CONSTANTS &amp; REFERENCES'!$A$8+MAX(MIN(AB32,AX32)-AV32,0)*'CONSTANTS &amp; REFERENCES'!$A$9+MAX(MIN(AB32,AZ32)-AX32,0)*'CONSTANTS &amp; REFERENCES'!$A$10+MAX(AB32-AZ32,0)*'CONSTANTS &amp; REFERENCES'!$A$11)</f>
        <v>6635.7582269870418</v>
      </c>
      <c r="AD32" s="21">
        <f>IF(AB32="","",IF(INPUTS!$C$20="Yes",AB32*INPUTS!$C$21,0))</f>
        <v>0</v>
      </c>
      <c r="AE32" s="21">
        <f>IF(Y32="","",MIN(Y32,BC32)*'CONSTANTS &amp; REFERENCES'!$B$22)</f>
        <v>13798.570100731966</v>
      </c>
      <c r="AF32" s="21">
        <f>IF(Y32="","",Y32*'CONSTANTS &amp; REFERENCES'!$B$24+MAX(0,Y32-IF(AK32="Married Filing Jointly",'CONSTANTS &amp; REFERENCES'!$C$26,IF(AK32="Married Filing Separately",'CONSTANTS &amp; REFERENCES'!$C$27,IF(AK32="Head of Household",'CONSTANTS &amp; REFERENCES'!$C$28,'CONSTANTS &amp; REFERENCES'!$C$25))))*'CONSTANTS &amp; REFERENCES'!$B$25)</f>
        <v>3227.0849429131213</v>
      </c>
      <c r="AG32" s="21">
        <f t="shared" si="15"/>
        <v>17025.655043645085</v>
      </c>
      <c r="AH32" s="21">
        <f t="shared" si="16"/>
        <v>23661.413270632125</v>
      </c>
      <c r="AI32" s="21">
        <f t="shared" si="17"/>
        <v>198896.16899923829</v>
      </c>
      <c r="AJ32" s="21">
        <f t="shared" si="18"/>
        <v>0</v>
      </c>
      <c r="AK32" s="7" t="str">
        <f>IF(A32="","",IF(AND(INPUTS!$C$43="Yes",A32&gt;=INPUTS!$C$45),INPUTS!$C$44,INPUTS!$C$19))</f>
        <v>Married Filing Jointly</v>
      </c>
      <c r="AL32" s="23">
        <f t="shared" si="7"/>
        <v>4.8524378825432688</v>
      </c>
      <c r="AM32" s="24">
        <f>IF(A32="","",(IF(OR(AK32="Single",AK32="Married Filing Separately"),'CONSTANTS &amp; REFERENCES'!$B$13,IF(AK32="Married Filing Jointly",'CONSTANTS &amp; REFERENCES'!$G$13,IF(AK32="Head of Household",'CONSTANTS &amp; REFERENCES'!$L$13,""))))*AL32)</f>
        <v>156248.49981789326</v>
      </c>
      <c r="AN32" s="21">
        <f>IF(AM32="","",IF(A32=0,IF(OR(AK32="Single",AK32="Married Filing Separately"),'CONSTANTS &amp; REFERENCES'!$B$13,IF(AK32="Married Filing Jointly",'CONSTANTS &amp; REFERENCES'!$G$13,IF(AK32="Head of Household",'CONSTANTS &amp; REFERENCES'!$L$13,""))),_xlfn.FLOOR.MATH(AM32,IF(AK32="Married Filing Separately",Bracket_Round_MFS,Bracket_Round_Standard))))</f>
        <v>156200</v>
      </c>
      <c r="AO32" s="24">
        <f>IF(A32="","",(IF(OR(AK32="Single",AK32="Married Filing Separately"),'CONSTANTS &amp; REFERENCES'!$C$5,IF(AK32="Married Filing Jointly",'CONSTANTS &amp; REFERENCES'!$H$5,IF(AK32="Head of Household",'CONSTANTS &amp; REFERENCES'!$M$5,""))))*AL32)</f>
        <v>120340.45948707307</v>
      </c>
      <c r="AP32" s="21">
        <f>IF(AO32="","",IF(A32=0,IF(OR(AK32="Single",AK32="Married Filing Separately"),'CONSTANTS &amp; REFERENCES'!$C$5,IF(AK32="Married Filing Jointly",'CONSTANTS &amp; REFERENCES'!$H$5,IF(AK32="Head of Household",'CONSTANTS &amp; REFERENCES'!$M$5,""))),_xlfn.FLOOR.MATH(AO32,IF(AK32="Married Filing Separately",Bracket_Round_MFS,Bracket_Round_Standard))))</f>
        <v>120300</v>
      </c>
      <c r="AQ32" s="24">
        <f>IF(A32="","",(IF(OR(AK32="Single",AK32="Married Filing Separately"),'CONSTANTS &amp; REFERENCES'!$C$6,IF(AK32="Married Filing Jointly",'CONSTANTS &amp; REFERENCES'!$H$6,IF(AK32="Head of Household",'CONSTANTS &amp; REFERENCES'!$M$6,""))))*AL32)</f>
        <v>489125.7385603615</v>
      </c>
      <c r="AR32" s="21">
        <f>IF(AQ32="","",IF(A32=0,IF(OR(AK32="Single",AK32="Married Filing Separately"),'CONSTANTS &amp; REFERENCES'!$C$6,IF(AK32="Married Filing Jointly",'CONSTANTS &amp; REFERENCES'!$H$6,IF(AK32="Head of Household",'CONSTANTS &amp; REFERENCES'!$M$6,""))),_xlfn.FLOOR.MATH(AQ32,IF(AK32="Married Filing Separately",Bracket_Round_MFS,Bracket_Round_Standard))))</f>
        <v>489100</v>
      </c>
      <c r="AS32" s="24">
        <f>IF(A32="","",(IF(OR(AK32="Single",AK32="Married Filing Separately"),'CONSTANTS &amp; REFERENCES'!$C$7,IF(AK32="Married Filing Jointly",'CONSTANTS &amp; REFERENCES'!$H$7,IF(AK32="Head of Household",'CONSTANTS &amp; REFERENCES'!$M$7,""))))*AL32)</f>
        <v>1025805.3683696471</v>
      </c>
      <c r="AT32" s="21">
        <f>IF(AS32="","",IF(A32=0,IF(OR(AK32="Single",AK32="Married Filing Separately"),'CONSTANTS &amp; REFERENCES'!$C$7,IF(AK32="Married Filing Jointly",'CONSTANTS &amp; REFERENCES'!$H$7,IF(AK32="Head of Household",'CONSTANTS &amp; REFERENCES'!$M$7,""))),_xlfn.FLOOR.MATH(AS32,IF(AK32="Married Filing Separately",Bracket_Round_MFS,Bracket_Round_Standard))))</f>
        <v>1025800</v>
      </c>
      <c r="AU32" s="24">
        <f>IF(A32="","",(IF(OR(AK32="Single",AK32="Married Filing Separately"),'CONSTANTS &amp; REFERENCES'!$C$8,IF(AK32="Married Filing Jointly",'CONSTANTS &amp; REFERENCES'!$H$8,IF(AK32="Head of Household",'CONSTANTS &amp; REFERENCES'!$M$8,""))))*AL32)</f>
        <v>1958201.3075003361</v>
      </c>
      <c r="AV32" s="21">
        <f>IF(AU32="","",IF(A32=0,IF(OR(AK32="Single",AK32="Married Filing Separately"),'CONSTANTS &amp; REFERENCES'!$C$8,IF(AK32="Married Filing Jointly",'CONSTANTS &amp; REFERENCES'!$H$8,IF(AK32="Head of Household",'CONSTANTS &amp; REFERENCES'!$M$8,""))),_xlfn.FLOOR.MATH(AU32,IF(AK32="Married Filing Separately",Bracket_Round_MFS,Bracket_Round_Standard))))</f>
        <v>1958200</v>
      </c>
      <c r="AW32" s="24">
        <f>IF(A32="","",(IF(OR(AK32="Single",AK32="Married Filing Separately"),'CONSTANTS &amp; REFERENCES'!$C$9,IF(AK32="Married Filing Jointly",'CONSTANTS &amp; REFERENCES'!$H$9,IF(AK32="Head of Household",'CONSTANTS &amp; REFERENCES'!$M$9,""))))*AL32)</f>
        <v>2486631.7929092981</v>
      </c>
      <c r="AX32" s="21">
        <f>IF(AW32="","",IF(A32=0,IF(OR(AK32="Single",AK32="Married Filing Separately"),'CONSTANTS &amp; REFERENCES'!$C$9,IF(AK32="Married Filing Jointly",'CONSTANTS &amp; REFERENCES'!$H$9,IF(AK32="Head of Household",'CONSTANTS &amp; REFERENCES'!$M$9,""))),_xlfn.FLOOR.MATH(AW32,IF(AK32="Married Filing Separately",Bracket_Round_MFS,Bracket_Round_Standard))))</f>
        <v>2486600</v>
      </c>
      <c r="AY32" s="24">
        <f>IF(A32="","",(IF(OR(AK32="Single",AK32="Married Filing Separately"),'CONSTANTS &amp; REFERENCES'!$C$10,IF(AK32="Married Filing Jointly",'CONSTANTS &amp; REFERENCES'!$H$10,IF(AK32="Head of Household",'CONSTANTS &amp; REFERENCES'!$M$10,""))))*AL32)</f>
        <v>3729583.7565227565</v>
      </c>
      <c r="AZ32" s="21">
        <f>IF(AY32="","",IF(A32=0,IF(OR(AK32="Single",AK32="Married Filing Separately"),'CONSTANTS &amp; REFERENCES'!$C$10,IF(AK32="Married Filing Jointly",'CONSTANTS &amp; REFERENCES'!$H$10,IF(AK32="Head of Household",'CONSTANTS &amp; REFERENCES'!$M$10,""))),_xlfn.FLOOR.MATH(AY32,IF(AK32="Married Filing Separately",Bracket_Round_MFS,Bracket_Round_Standard))))</f>
        <v>3729550</v>
      </c>
      <c r="BA32" s="7" t="str">
        <f t="shared" si="8"/>
        <v>Illustrative future tax assumptions under simplified C-CPI-U indexing; not an IRS forecast.</v>
      </c>
      <c r="BB32" s="7">
        <f>IF(A32="","",'CONSTANTS &amp; REFERENCES'!$C$22*AL32)</f>
        <v>895274.78932923311</v>
      </c>
      <c r="BC32" s="21">
        <f t="shared" si="19"/>
        <v>895200</v>
      </c>
    </row>
    <row r="33" spans="1:55" ht="18" customHeight="1" x14ac:dyDescent="0.3">
      <c r="A33" s="10">
        <f>IF(A32&lt;INPUTS!$C$7-INPUTS!$C$6,A32+1,"")</f>
        <v>31</v>
      </c>
      <c r="B33" s="10">
        <f>IF(A33="","",INPUTS!$C$6+A33)</f>
        <v>53</v>
      </c>
      <c r="C33" s="11">
        <f t="shared" si="9"/>
        <v>2667966.0165138072</v>
      </c>
      <c r="D33" s="11">
        <f>IF(A33="","",IF(A33&lt;INPUTS!$C$13,0,J33))</f>
        <v>52100</v>
      </c>
      <c r="E33" s="12" t="str">
        <f>IF(A33="","",IF(D33=0,"—",IF(Y33&lt;IF(AK33="Married Filing Jointly",'CONSTANTS &amp; REFERENCES'!$B$44,IF(AK33="Married Filing Separately",'CONSTANTS &amp; REFERENCES'!$B$45,'CONSTANTS &amp; REFERENCES'!$B$43)),"Direct","Backdoor")))</f>
        <v>Direct</v>
      </c>
      <c r="F33" s="13">
        <f t="shared" si="0"/>
        <v>45660.75482466042</v>
      </c>
      <c r="G33" s="14">
        <f t="shared" si="1"/>
        <v>45500</v>
      </c>
      <c r="H33" s="13">
        <f t="shared" si="2"/>
        <v>6696.9107076168621</v>
      </c>
      <c r="I33" s="14">
        <f t="shared" si="3"/>
        <v>6600</v>
      </c>
      <c r="J33" s="14">
        <f t="shared" si="4"/>
        <v>52100</v>
      </c>
      <c r="K33" s="11">
        <f>IF(A33="","",IF(INPUTS!$C$12="Beginning",(C33+D33)*INPUTS!$C$10,C33*INPUTS!$C$10))</f>
        <v>272006.60165138071</v>
      </c>
      <c r="L33" s="11">
        <f>IF(A33="","",IF(INPUTS!$C$12="Beginning",(C33+D33)*(1+INPUTS!$C$10),C33*(1+INPUTS!$C$10)+D33))</f>
        <v>2992072.618165188</v>
      </c>
      <c r="M33" s="15">
        <f>IF(A33="","",(1+INPUTS!$C$11)^A33)</f>
        <v>6.0881006432880564</v>
      </c>
      <c r="N33" s="11">
        <f t="shared" si="10"/>
        <v>491462.41060647642</v>
      </c>
      <c r="O33" s="11">
        <f t="shared" si="11"/>
        <v>697900</v>
      </c>
      <c r="P33" s="11">
        <f>IF(A33="","",L33-INPUTS!$C$8-O33)</f>
        <v>2294172.618165188</v>
      </c>
      <c r="Q33" s="16"/>
      <c r="R33" s="16"/>
      <c r="S33" s="16">
        <f t="shared" si="12"/>
        <v>53</v>
      </c>
      <c r="T33" s="18">
        <f t="shared" si="13"/>
        <v>2992072.618165188</v>
      </c>
      <c r="U33" s="18">
        <f t="shared" si="14"/>
        <v>491462.41060647642</v>
      </c>
      <c r="V33" s="19">
        <f>IF(A33="","",FV(INPUTS!$C$10,INPUTS!$C$7-INPUTS!$C$6-A33+IF(INPUTS!$C$12="Beginning",1,0),0,-D33,0))</f>
        <v>179863.33026988065</v>
      </c>
      <c r="W33" s="7"/>
      <c r="X33" s="7"/>
      <c r="Y33" s="21">
        <f>IF(A33="","",IF(INPUTS!$C$17="Yes",MIN(Y32*(1+INPUTS!$C$15)+IF(INPUTS!$C$27="Yes",(Z33-Z32)*INPUTS!$C$31+IF(AND(INPUTS!$C$28="Not yet credentialed",A33=INPUTS!$C$33),INPUTS!$C$32,0)+IF(AND(INPUTS!$C$28&lt;&gt;"FSA / FCAS",A33=INPUTS!$C$35),INPUTS!$C$34,0),0),INPUTS!$C$18),Y32*(1+INPUTS!$C$15)+IF(INPUTS!$C$27="Yes",(Z33-Z32)*INPUTS!$C$31+IF(AND(INPUTS!$C$28="Not yet credentialed",A33=INPUTS!$C$33),INPUTS!$C$32,0)+IF(AND(INPUTS!$C$28&lt;&gt;"FSA / FCAS",A33=INPUTS!$C$35),INPUTS!$C$34,0),0)))</f>
        <v>229234.30973796654</v>
      </c>
      <c r="Z33" s="22">
        <f>IF(A33="","",IF(AND(INPUTS!$C$27="Yes",INPUTS!$C$28&lt;&gt;"FSA / FCAS",ISNUMBER(INPUTS!$C$37)),MIN(A33*INPUTS!$C$37,INPUTS!$C$30),0))</f>
        <v>3</v>
      </c>
      <c r="AA33" s="21">
        <f t="shared" si="5"/>
        <v>164650</v>
      </c>
      <c r="AB33" s="21">
        <f t="shared" si="6"/>
        <v>64584.309737966541</v>
      </c>
      <c r="AC33" s="21">
        <f>IF(A33="","",MIN(AB33,AP33)*'CONSTANTS &amp; REFERENCES'!$A$5+MAX(MIN(AB33,AR33)-AP33,0)*'CONSTANTS &amp; REFERENCES'!$A$6+MAX(MIN(AB33,AT33)-AR33,0)*'CONSTANTS &amp; REFERENCES'!$A$7+MAX(MIN(AB33,AV33)-AT33,0)*'CONSTANTS &amp; REFERENCES'!$A$8+MAX(MIN(AB33,AX33)-AV33,0)*'CONSTANTS &amp; REFERENCES'!$A$9+MAX(MIN(AB33,AZ33)-AX33,0)*'CONSTANTS &amp; REFERENCES'!$A$10+MAX(AB33-AZ33,0)*'CONSTANTS &amp; REFERENCES'!$A$11)</f>
        <v>6458.4309737966541</v>
      </c>
      <c r="AD33" s="21">
        <f>IF(AB33="","",IF(INPUTS!$C$20="Yes",AB33*INPUTS!$C$21,0))</f>
        <v>0</v>
      </c>
      <c r="AE33" s="21">
        <f>IF(Y33="","",MIN(Y33,BC33)*'CONSTANTS &amp; REFERENCES'!$B$22)</f>
        <v>14212.527203753925</v>
      </c>
      <c r="AF33" s="21">
        <f>IF(Y33="","",Y33*'CONSTANTS &amp; REFERENCES'!$B$24+MAX(0,Y33-IF(AK33="Married Filing Jointly",'CONSTANTS &amp; REFERENCES'!$C$26,IF(AK33="Married Filing Separately",'CONSTANTS &amp; REFERENCES'!$C$27,IF(AK33="Head of Household",'CONSTANTS &amp; REFERENCES'!$C$28,'CONSTANTS &amp; REFERENCES'!$C$25))))*'CONSTANTS &amp; REFERENCES'!$B$25)</f>
        <v>3323.8974912005151</v>
      </c>
      <c r="AG33" s="21">
        <f t="shared" si="15"/>
        <v>17536.424694954439</v>
      </c>
      <c r="AH33" s="21">
        <f t="shared" si="16"/>
        <v>23994.855668751094</v>
      </c>
      <c r="AI33" s="21">
        <f t="shared" si="17"/>
        <v>205239.45406921546</v>
      </c>
      <c r="AJ33" s="21">
        <f t="shared" si="18"/>
        <v>0</v>
      </c>
      <c r="AK33" s="7" t="str">
        <f>IF(A33="","",IF(AND(INPUTS!$C$43="Yes",A33&gt;=INPUTS!$C$45),INPUTS!$C$44,INPUTS!$C$19))</f>
        <v>Married Filing Jointly</v>
      </c>
      <c r="AL33" s="23">
        <f t="shared" si="7"/>
        <v>5.1147606744735592</v>
      </c>
      <c r="AM33" s="24">
        <f>IF(A33="","",(IF(OR(AK33="Single",AK33="Married Filing Separately"),'CONSTANTS &amp; REFERENCES'!$B$13,IF(AK33="Married Filing Jointly",'CONSTANTS &amp; REFERENCES'!$G$13,IF(AK33="Head of Household",'CONSTANTS &amp; REFERENCES'!$L$13,""))))*AL33)</f>
        <v>164695.2937180486</v>
      </c>
      <c r="AN33" s="21">
        <f>IF(AM33="","",IF(A33=0,IF(OR(AK33="Single",AK33="Married Filing Separately"),'CONSTANTS &amp; REFERENCES'!$B$13,IF(AK33="Married Filing Jointly",'CONSTANTS &amp; REFERENCES'!$G$13,IF(AK33="Head of Household",'CONSTANTS &amp; REFERENCES'!$L$13,""))),_xlfn.FLOOR.MATH(AM33,IF(AK33="Married Filing Separately",Bracket_Round_MFS,Bracket_Round_Standard))))</f>
        <v>164650</v>
      </c>
      <c r="AO33" s="24">
        <f>IF(A33="","",(IF(OR(AK33="Single",AK33="Married Filing Separately"),'CONSTANTS &amp; REFERENCES'!$C$5,IF(AK33="Married Filing Jointly",'CONSTANTS &amp; REFERENCES'!$H$5,IF(AK33="Head of Household",'CONSTANTS &amp; REFERENCES'!$M$5,""))))*AL33)</f>
        <v>126846.06472694427</v>
      </c>
      <c r="AP33" s="21">
        <f>IF(AO33="","",IF(A33=0,IF(OR(AK33="Single",AK33="Married Filing Separately"),'CONSTANTS &amp; REFERENCES'!$C$5,IF(AK33="Married Filing Jointly",'CONSTANTS &amp; REFERENCES'!$H$5,IF(AK33="Head of Household",'CONSTANTS &amp; REFERENCES'!$M$5,""))),_xlfn.FLOOR.MATH(AO33,IF(AK33="Married Filing Separately",Bracket_Round_MFS,Bracket_Round_Standard))))</f>
        <v>126800</v>
      </c>
      <c r="AQ33" s="24">
        <f>IF(A33="","",(IF(OR(AK33="Single",AK33="Married Filing Separately"),'CONSTANTS &amp; REFERENCES'!$C$6,IF(AK33="Married Filing Jointly",'CONSTANTS &amp; REFERENCES'!$H$6,IF(AK33="Head of Household",'CONSTANTS &amp; REFERENCES'!$M$6,""))))*AL33)</f>
        <v>515567.87598693476</v>
      </c>
      <c r="AR33" s="21">
        <f>IF(AQ33="","",IF(A33=0,IF(OR(AK33="Single",AK33="Married Filing Separately"),'CONSTANTS &amp; REFERENCES'!$C$6,IF(AK33="Married Filing Jointly",'CONSTANTS &amp; REFERENCES'!$H$6,IF(AK33="Head of Household",'CONSTANTS &amp; REFERENCES'!$M$6,""))),_xlfn.FLOOR.MATH(AQ33,IF(AK33="Married Filing Separately",Bracket_Round_MFS,Bracket_Round_Standard))))</f>
        <v>515550</v>
      </c>
      <c r="AS33" s="24">
        <f>IF(A33="","",(IF(OR(AK33="Single",AK33="Married Filing Separately"),'CONSTANTS &amp; REFERENCES'!$C$7,IF(AK33="Married Filing Jointly",'CONSTANTS &amp; REFERENCES'!$H$7,IF(AK33="Head of Household",'CONSTANTS &amp; REFERENCES'!$M$7,""))))*AL33)</f>
        <v>1081260.4065837103</v>
      </c>
      <c r="AT33" s="21">
        <f>IF(AS33="","",IF(A33=0,IF(OR(AK33="Single",AK33="Married Filing Separately"),'CONSTANTS &amp; REFERENCES'!$C$7,IF(AK33="Married Filing Jointly",'CONSTANTS &amp; REFERENCES'!$H$7,IF(AK33="Head of Household",'CONSTANTS &amp; REFERENCES'!$M$7,""))),_xlfn.FLOOR.MATH(AS33,IF(AK33="Married Filing Separately",Bracket_Round_MFS,Bracket_Round_Standard))))</f>
        <v>1081250</v>
      </c>
      <c r="AU33" s="24">
        <f>IF(A33="","",(IF(OR(AK33="Single",AK33="Married Filing Separately"),'CONSTANTS &amp; REFERENCES'!$C$8,IF(AK33="Married Filing Jointly",'CONSTANTS &amp; REFERENCES'!$H$8,IF(AK33="Head of Household",'CONSTANTS &amp; REFERENCES'!$M$8,""))))*AL33)</f>
        <v>2064061.6701838048</v>
      </c>
      <c r="AV33" s="21">
        <f>IF(AU33="","",IF(A33=0,IF(OR(AK33="Single",AK33="Married Filing Separately"),'CONSTANTS &amp; REFERENCES'!$C$8,IF(AK33="Married Filing Jointly",'CONSTANTS &amp; REFERENCES'!$H$8,IF(AK33="Head of Household",'CONSTANTS &amp; REFERENCES'!$M$8,""))),_xlfn.FLOOR.MATH(AU33,IF(AK33="Married Filing Separately",Bracket_Round_MFS,Bracket_Round_Standard))))</f>
        <v>2064050</v>
      </c>
      <c r="AW33" s="24">
        <f>IF(A33="","",(IF(OR(AK33="Single",AK33="Married Filing Separately"),'CONSTANTS &amp; REFERENCES'!$C$9,IF(AK33="Married Filing Jointly",'CONSTANTS &amp; REFERENCES'!$H$9,IF(AK33="Head of Household",'CONSTANTS &amp; REFERENCES'!$M$9,""))))*AL33)</f>
        <v>2621059.1076339753</v>
      </c>
      <c r="AX33" s="21">
        <f>IF(AW33="","",IF(A33=0,IF(OR(AK33="Single",AK33="Married Filing Separately"),'CONSTANTS &amp; REFERENCES'!$C$9,IF(AK33="Married Filing Jointly",'CONSTANTS &amp; REFERENCES'!$H$9,IF(AK33="Head of Household",'CONSTANTS &amp; REFERENCES'!$M$9,""))),_xlfn.FLOOR.MATH(AW33,IF(AK33="Married Filing Separately",Bracket_Round_MFS,Bracket_Round_Standard))))</f>
        <v>2621050</v>
      </c>
      <c r="AY33" s="24">
        <f>IF(A33="","",(IF(OR(AK33="Single",AK33="Married Filing Separately"),'CONSTANTS &amp; REFERENCES'!$C$10,IF(AK33="Married Filing Jointly",'CONSTANTS &amp; REFERENCES'!$H$10,IF(AK33="Head of Household",'CONSTANTS &amp; REFERENCES'!$M$10,""))))*AL33)</f>
        <v>3931205.0544003774</v>
      </c>
      <c r="AZ33" s="21">
        <f>IF(AY33="","",IF(A33=0,IF(OR(AK33="Single",AK33="Married Filing Separately"),'CONSTANTS &amp; REFERENCES'!$C$10,IF(AK33="Married Filing Jointly",'CONSTANTS &amp; REFERENCES'!$H$10,IF(AK33="Head of Household",'CONSTANTS &amp; REFERENCES'!$M$10,""))),_xlfn.FLOOR.MATH(AY33,IF(AK33="Married Filing Separately",Bracket_Round_MFS,Bracket_Round_Standard))))</f>
        <v>3931200</v>
      </c>
      <c r="BA33" s="7" t="str">
        <f t="shared" si="8"/>
        <v>Illustrative future tax assumptions under simplified C-CPI-U indexing; not an IRS forecast.</v>
      </c>
      <c r="BB33" s="7">
        <f>IF(A33="","",'CONSTANTS &amp; REFERENCES'!$C$22*AL33)</f>
        <v>943673.34444037173</v>
      </c>
      <c r="BC33" s="21">
        <f t="shared" si="19"/>
        <v>943600</v>
      </c>
    </row>
    <row r="34" spans="1:55" ht="18" customHeight="1" x14ac:dyDescent="0.3">
      <c r="A34" s="10">
        <f>IF(A33&lt;INPUTS!$C$7-INPUTS!$C$6,A33+1,"")</f>
        <v>32</v>
      </c>
      <c r="B34" s="10">
        <f>IF(A34="","",INPUTS!$C$6+A34)</f>
        <v>54</v>
      </c>
      <c r="C34" s="11">
        <f t="shared" si="9"/>
        <v>2992072.618165188</v>
      </c>
      <c r="D34" s="11">
        <f>IF(A34="","",IF(A34&lt;INPUTS!$C$13,0,J34))</f>
        <v>55000</v>
      </c>
      <c r="E34" s="12" t="str">
        <f>IF(A34="","",IF(D34=0,"—",IF(Y34&lt;IF(AK34="Married Filing Jointly",'CONSTANTS &amp; REFERENCES'!$B$44,IF(AK34="Married Filing Separately",'CONSTANTS &amp; REFERENCES'!$B$45,'CONSTANTS &amp; REFERENCES'!$B$43)),"Direct","Backdoor")))</f>
        <v>Direct</v>
      </c>
      <c r="F34" s="13">
        <f t="shared" ref="F34:F65" si="20">IF(A34="","",$X$2*(1+$X$3)^A34)</f>
        <v>48400.400114140037</v>
      </c>
      <c r="G34" s="14">
        <f t="shared" ref="G34:G65" si="21">IF(F34="","",_xlfn.FLOOR.MATH(F34,500))</f>
        <v>48000</v>
      </c>
      <c r="H34" s="13">
        <f t="shared" ref="H34:H65" si="22">IF(A34="","",$X$4*(1+$X$3)^A34)</f>
        <v>7098.7253500738725</v>
      </c>
      <c r="I34" s="14">
        <f t="shared" ref="I34:I65" si="23">IF(H34="","",_xlfn.FLOOR.MATH(H34,100))</f>
        <v>7000</v>
      </c>
      <c r="J34" s="14">
        <f t="shared" ref="J34:J65" si="24">IF(A34="","",G34+IF(B34&gt;=50,I34,0))</f>
        <v>55000</v>
      </c>
      <c r="K34" s="11">
        <f>IF(A34="","",IF(INPUTS!$C$12="Beginning",(C34+D34)*INPUTS!$C$10,C34*INPUTS!$C$10))</f>
        <v>304707.26181651879</v>
      </c>
      <c r="L34" s="11">
        <f>IF(A34="","",IF(INPUTS!$C$12="Beginning",(C34+D34)*(1+INPUTS!$C$10),C34*(1+INPUTS!$C$10)+D34))</f>
        <v>3351779.8799817069</v>
      </c>
      <c r="M34" s="15">
        <f>IF(A34="","",(1+INPUTS!$C$11)^A34)</f>
        <v>6.4533866818853385</v>
      </c>
      <c r="N34" s="11">
        <f t="shared" si="10"/>
        <v>519383.08444931026</v>
      </c>
      <c r="O34" s="11">
        <f t="shared" si="11"/>
        <v>752900</v>
      </c>
      <c r="P34" s="11">
        <f>IF(A34="","",L34-INPUTS!$C$8-O34)</f>
        <v>2598879.8799817069</v>
      </c>
      <c r="Q34" s="16"/>
      <c r="R34" s="16"/>
      <c r="S34" s="16">
        <f t="shared" si="12"/>
        <v>54</v>
      </c>
      <c r="T34" s="18">
        <f t="shared" si="13"/>
        <v>3351779.8799817069</v>
      </c>
      <c r="U34" s="18">
        <f t="shared" si="14"/>
        <v>519383.08444931026</v>
      </c>
      <c r="V34" s="19">
        <f>IF(A34="","",FV(INPUTS!$C$10,INPUTS!$C$7-INPUTS!$C$6-A34+IF(INPUTS!$C$12="Beginning",1,0),0,-D34,0))</f>
        <v>172613.56071965516</v>
      </c>
      <c r="W34" s="7"/>
      <c r="X34" s="7"/>
      <c r="Y34" s="21">
        <f>IF(A34="","",IF(INPUTS!$C$17="Yes",MIN(Y33*(1+INPUTS!$C$15)+IF(INPUTS!$C$27="Yes",(Z34-Z33)*INPUTS!$C$31+IF(AND(INPUTS!$C$28="Not yet credentialed",A34=INPUTS!$C$33),INPUTS!$C$32,0)+IF(AND(INPUTS!$C$28&lt;&gt;"FSA / FCAS",A34=INPUTS!$C$35),INPUTS!$C$34,0),0),INPUTS!$C$18),Y33*(1+INPUTS!$C$15)+IF(INPUTS!$C$27="Yes",(Z34-Z33)*INPUTS!$C$31+IF(AND(INPUTS!$C$28="Not yet credentialed",A34=INPUTS!$C$33),INPUTS!$C$32,0)+IF(AND(INPUTS!$C$28&lt;&gt;"FSA / FCAS",A34=INPUTS!$C$35),INPUTS!$C$34,0),0)))</f>
        <v>236111.33903010553</v>
      </c>
      <c r="Z34" s="22">
        <f>IF(A34="","",IF(AND(INPUTS!$C$27="Yes",INPUTS!$C$28&lt;&gt;"FSA / FCAS",ISNUMBER(INPUTS!$C$37)),MIN(A34*INPUTS!$C$37,INPUTS!$C$30),0))</f>
        <v>3</v>
      </c>
      <c r="AA34" s="21">
        <f t="shared" ref="AA34:AA65" si="25">IF(A34="","",AN34)</f>
        <v>173550</v>
      </c>
      <c r="AB34" s="21">
        <f t="shared" ref="AB34:AB65" si="26">IF(OR(A34="",AA34=""),"",MAX(0,Y34-AA34))</f>
        <v>62561.339030105533</v>
      </c>
      <c r="AC34" s="21">
        <f>IF(A34="","",MIN(AB34,AP34)*'CONSTANTS &amp; REFERENCES'!$A$5+MAX(MIN(AB34,AR34)-AP34,0)*'CONSTANTS &amp; REFERENCES'!$A$6+MAX(MIN(AB34,AT34)-AR34,0)*'CONSTANTS &amp; REFERENCES'!$A$7+MAX(MIN(AB34,AV34)-AT34,0)*'CONSTANTS &amp; REFERENCES'!$A$8+MAX(MIN(AB34,AX34)-AV34,0)*'CONSTANTS &amp; REFERENCES'!$A$9+MAX(MIN(AB34,AZ34)-AX34,0)*'CONSTANTS &amp; REFERENCES'!$A$10+MAX(AB34-AZ34,0)*'CONSTANTS &amp; REFERENCES'!$A$11)</f>
        <v>6256.1339030105537</v>
      </c>
      <c r="AD34" s="21">
        <f>IF(AB34="","",IF(INPUTS!$C$20="Yes",AB34*INPUTS!$C$21,0))</f>
        <v>0</v>
      </c>
      <c r="AE34" s="21">
        <f>IF(Y34="","",MIN(Y34,BC34)*'CONSTANTS &amp; REFERENCES'!$B$22)</f>
        <v>14638.903019866542</v>
      </c>
      <c r="AF34" s="21">
        <f>IF(Y34="","",Y34*'CONSTANTS &amp; REFERENCES'!$B$24+MAX(0,Y34-IF(AK34="Married Filing Jointly",'CONSTANTS &amp; REFERENCES'!$C$26,IF(AK34="Married Filing Separately",'CONSTANTS &amp; REFERENCES'!$C$27,IF(AK34="Head of Household",'CONSTANTS &amp; REFERENCES'!$C$28,'CONSTANTS &amp; REFERENCES'!$C$25))))*'CONSTANTS &amp; REFERENCES'!$B$25)</f>
        <v>3423.6144159365303</v>
      </c>
      <c r="AG34" s="21">
        <f t="shared" si="15"/>
        <v>18062.517435803071</v>
      </c>
      <c r="AH34" s="21">
        <f t="shared" si="16"/>
        <v>24318.651338813623</v>
      </c>
      <c r="AI34" s="21">
        <f t="shared" si="17"/>
        <v>211792.68769129191</v>
      </c>
      <c r="AJ34" s="21">
        <f t="shared" si="18"/>
        <v>0</v>
      </c>
      <c r="AK34" s="7" t="str">
        <f>IF(A34="","",IF(AND(INPUTS!$C$43="Yes",A34&gt;=INPUTS!$C$45),INPUTS!$C$44,INPUTS!$C$19))</f>
        <v>Married Filing Jointly</v>
      </c>
      <c r="AL34" s="23">
        <f t="shared" ref="AL34:AL65" si="27">IF(A34="","",(1+$X$6)^A34)</f>
        <v>5.391264636535599</v>
      </c>
      <c r="AM34" s="24">
        <f>IF(A34="","",(IF(OR(AK34="Single",AK34="Married Filing Separately"),'CONSTANTS &amp; REFERENCES'!$B$13,IF(AK34="Married Filing Jointly",'CONSTANTS &amp; REFERENCES'!$G$13,IF(AK34="Head of Household",'CONSTANTS &amp; REFERENCES'!$L$13,""))))*AL34)</f>
        <v>173598.72129644628</v>
      </c>
      <c r="AN34" s="21">
        <f>IF(AM34="","",IF(A34=0,IF(OR(AK34="Single",AK34="Married Filing Separately"),'CONSTANTS &amp; REFERENCES'!$B$13,IF(AK34="Married Filing Jointly",'CONSTANTS &amp; REFERENCES'!$G$13,IF(AK34="Head of Household",'CONSTANTS &amp; REFERENCES'!$L$13,""))),_xlfn.FLOOR.MATH(AM34,IF(AK34="Married Filing Separately",Bracket_Round_MFS,Bracket_Round_Standard))))</f>
        <v>173550</v>
      </c>
      <c r="AO34" s="24">
        <f>IF(A34="","",(IF(OR(AK34="Single",AK34="Married Filing Separately"),'CONSTANTS &amp; REFERENCES'!$C$5,IF(AK34="Married Filing Jointly",'CONSTANTS &amp; REFERENCES'!$H$5,IF(AK34="Head of Household",'CONSTANTS &amp; REFERENCES'!$M$5,""))))*AL34)</f>
        <v>133703.36298608285</v>
      </c>
      <c r="AP34" s="21">
        <f>IF(AO34="","",IF(A34=0,IF(OR(AK34="Single",AK34="Married Filing Separately"),'CONSTANTS &amp; REFERENCES'!$C$5,IF(AK34="Married Filing Jointly",'CONSTANTS &amp; REFERENCES'!$H$5,IF(AK34="Head of Household",'CONSTANTS &amp; REFERENCES'!$M$5,""))),_xlfn.FLOOR.MATH(AO34,IF(AK34="Married Filing Separately",Bracket_Round_MFS,Bracket_Round_Standard))))</f>
        <v>133700</v>
      </c>
      <c r="AQ34" s="24">
        <f>IF(A34="","",(IF(OR(AK34="Single",AK34="Married Filing Separately"),'CONSTANTS &amp; REFERENCES'!$C$6,IF(AK34="Married Filing Jointly",'CONSTANTS &amp; REFERENCES'!$H$6,IF(AK34="Head of Household",'CONSTANTS &amp; REFERENCES'!$M$6,""))))*AL34)</f>
        <v>543439.47536278842</v>
      </c>
      <c r="AR34" s="21">
        <f>IF(AQ34="","",IF(A34=0,IF(OR(AK34="Single",AK34="Married Filing Separately"),'CONSTANTS &amp; REFERENCES'!$C$6,IF(AK34="Married Filing Jointly",'CONSTANTS &amp; REFERENCES'!$H$6,IF(AK34="Head of Household",'CONSTANTS &amp; REFERENCES'!$M$6,""))),_xlfn.FLOOR.MATH(AQ34,IF(AK34="Married Filing Separately",Bracket_Round_MFS,Bracket_Round_Standard))))</f>
        <v>543400</v>
      </c>
      <c r="AS34" s="24">
        <f>IF(A34="","",(IF(OR(AK34="Single",AK34="Married Filing Separately"),'CONSTANTS &amp; REFERENCES'!$C$7,IF(AK34="Married Filing Jointly",'CONSTANTS &amp; REFERENCES'!$H$7,IF(AK34="Head of Household",'CONSTANTS &amp; REFERENCES'!$M$7,""))))*AL34)</f>
        <v>1139713.3441636257</v>
      </c>
      <c r="AT34" s="21">
        <f>IF(AS34="","",IF(A34=0,IF(OR(AK34="Single",AK34="Married Filing Separately"),'CONSTANTS &amp; REFERENCES'!$C$7,IF(AK34="Married Filing Jointly",'CONSTANTS &amp; REFERENCES'!$H$7,IF(AK34="Head of Household",'CONSTANTS &amp; REFERENCES'!$M$7,""))),_xlfn.FLOOR.MATH(AS34,IF(AK34="Married Filing Separately",Bracket_Round_MFS,Bracket_Round_Standard))))</f>
        <v>1139700</v>
      </c>
      <c r="AU34" s="24">
        <f>IF(A34="","",(IF(OR(AK34="Single",AK34="Married Filing Separately"),'CONSTANTS &amp; REFERENCES'!$C$8,IF(AK34="Married Filing Jointly",'CONSTANTS &amp; REFERENCES'!$H$8,IF(AK34="Head of Household",'CONSTANTS &amp; REFERENCES'!$M$8,""))))*AL34)</f>
        <v>2175644.844073941</v>
      </c>
      <c r="AV34" s="21">
        <f>IF(AU34="","",IF(A34=0,IF(OR(AK34="Single",AK34="Married Filing Separately"),'CONSTANTS &amp; REFERENCES'!$C$8,IF(AK34="Married Filing Jointly",'CONSTANTS &amp; REFERENCES'!$H$8,IF(AK34="Head of Household",'CONSTANTS &amp; REFERENCES'!$M$8,""))),_xlfn.FLOOR.MATH(AU34,IF(AK34="Married Filing Separately",Bracket_Round_MFS,Bracket_Round_Standard))))</f>
        <v>2175600</v>
      </c>
      <c r="AW34" s="24">
        <f>IF(A34="","",(IF(OR(AK34="Single",AK34="Married Filing Separately"),'CONSTANTS &amp; REFERENCES'!$C$9,IF(AK34="Married Filing Jointly",'CONSTANTS &amp; REFERENCES'!$H$9,IF(AK34="Head of Household",'CONSTANTS &amp; REFERENCES'!$M$9,""))))*AL34)</f>
        <v>2762753.5629926678</v>
      </c>
      <c r="AX34" s="21">
        <f>IF(AW34="","",IF(A34=0,IF(OR(AK34="Single",AK34="Married Filing Separately"),'CONSTANTS &amp; REFERENCES'!$C$9,IF(AK34="Married Filing Jointly",'CONSTANTS &amp; REFERENCES'!$H$9,IF(AK34="Head of Household",'CONSTANTS &amp; REFERENCES'!$M$9,""))),_xlfn.FLOOR.MATH(AW34,IF(AK34="Married Filing Separately",Bracket_Round_MFS,Bracket_Round_Standard))))</f>
        <v>2762750</v>
      </c>
      <c r="AY34" s="24">
        <f>IF(A34="","",(IF(OR(AK34="Single",AK34="Married Filing Separately"),'CONSTANTS &amp; REFERENCES'!$C$10,IF(AK34="Married Filing Jointly",'CONSTANTS &amp; REFERENCES'!$H$10,IF(AK34="Head of Household",'CONSTANTS &amp; REFERENCES'!$M$10,""))))*AL34)</f>
        <v>4143725.9996412615</v>
      </c>
      <c r="AZ34" s="21">
        <f>IF(AY34="","",IF(A34=0,IF(OR(AK34="Single",AK34="Married Filing Separately"),'CONSTANTS &amp; REFERENCES'!$C$10,IF(AK34="Married Filing Jointly",'CONSTANTS &amp; REFERENCES'!$H$10,IF(AK34="Head of Household",'CONSTANTS &amp; REFERENCES'!$M$10,""))),_xlfn.FLOOR.MATH(AY34,IF(AK34="Married Filing Separately",Bracket_Round_MFS,Bracket_Round_Standard))))</f>
        <v>4143700</v>
      </c>
      <c r="BA34" s="7" t="str">
        <f t="shared" ref="BA34:BA65" si="28">IF(A34="","",IF(A34=0,"Official 2026 base values","Illustrative future tax assumptions under simplified C-CPI-U indexing; not an IRS forecast."))</f>
        <v>Illustrative future tax assumptions under simplified C-CPI-U indexing; not an IRS forecast.</v>
      </c>
      <c r="BB34" s="7">
        <f>IF(A34="","",'CONSTANTS &amp; REFERENCES'!$C$22*AL34)</f>
        <v>994688.32544081798</v>
      </c>
      <c r="BC34" s="21">
        <f t="shared" si="19"/>
        <v>994600</v>
      </c>
    </row>
    <row r="35" spans="1:55" ht="18" customHeight="1" x14ac:dyDescent="0.3">
      <c r="A35" s="10">
        <f>IF(A34&lt;INPUTS!$C$7-INPUTS!$C$6,A34+1,"")</f>
        <v>33</v>
      </c>
      <c r="B35" s="10">
        <f>IF(A35="","",INPUTS!$C$6+A35)</f>
        <v>55</v>
      </c>
      <c r="C35" s="11">
        <f t="shared" ref="C35:C66" si="29">IF(A35="","",L34)</f>
        <v>3351779.8799817069</v>
      </c>
      <c r="D35" s="11">
        <f>IF(A35="","",IF(A35&lt;INPUTS!$C$13,0,J35))</f>
        <v>58500</v>
      </c>
      <c r="E35" s="12" t="str">
        <f>IF(A35="","",IF(D35=0,"—",IF(Y35&lt;IF(AK35="Married Filing Jointly",'CONSTANTS &amp; REFERENCES'!$B$44,IF(AK35="Married Filing Separately",'CONSTANTS &amp; REFERENCES'!$B$45,'CONSTANTS &amp; REFERENCES'!$B$43)),"Direct","Backdoor")))</f>
        <v>Backdoor</v>
      </c>
      <c r="F35" s="13">
        <f t="shared" si="20"/>
        <v>51304.424120988442</v>
      </c>
      <c r="G35" s="14">
        <f t="shared" si="21"/>
        <v>51000</v>
      </c>
      <c r="H35" s="13">
        <f t="shared" si="22"/>
        <v>7524.6488710783051</v>
      </c>
      <c r="I35" s="14">
        <f t="shared" si="23"/>
        <v>7500</v>
      </c>
      <c r="J35" s="14">
        <f t="shared" si="24"/>
        <v>58500</v>
      </c>
      <c r="K35" s="11">
        <f>IF(A35="","",IF(INPUTS!$C$12="Beginning",(C35+D35)*INPUTS!$C$10,C35*INPUTS!$C$10))</f>
        <v>341027.98799817072</v>
      </c>
      <c r="L35" s="11">
        <f>IF(A35="","",IF(INPUTS!$C$12="Beginning",(C35+D35)*(1+INPUTS!$C$10),C35*(1+INPUTS!$C$10)+D35))</f>
        <v>3751307.8679798776</v>
      </c>
      <c r="M35" s="15">
        <f>IF(A35="","",(1+INPUTS!$C$11)^A35)</f>
        <v>6.8405898827984588</v>
      </c>
      <c r="N35" s="11">
        <f t="shared" ref="N35:N66" si="30">IF(A35="","",L35/M35)</f>
        <v>548389.52959495829</v>
      </c>
      <c r="O35" s="11">
        <f t="shared" ref="O35:O66" si="31">IF(A35="","",O34+D35)</f>
        <v>811400</v>
      </c>
      <c r="P35" s="11">
        <f>IF(A35="","",L35-INPUTS!$C$8-O35)</f>
        <v>2939907.8679798776</v>
      </c>
      <c r="Q35" s="16"/>
      <c r="R35" s="16"/>
      <c r="S35" s="16">
        <f t="shared" ref="S35:S66" si="32">IF(B35="","",B35)</f>
        <v>55</v>
      </c>
      <c r="T35" s="18">
        <f t="shared" ref="T35:T66" si="33">IF(L35="","",L35)</f>
        <v>3751307.8679798776</v>
      </c>
      <c r="U35" s="18">
        <f t="shared" ref="U35:U66" si="34">IF(N35="","",N35)</f>
        <v>548389.52959495829</v>
      </c>
      <c r="V35" s="19">
        <f>IF(A35="","",FV(INPUTS!$C$10,INPUTS!$C$7-INPUTS!$C$6-A35+IF(INPUTS!$C$12="Beginning",1,0),0,-D35,0))</f>
        <v>166907.32730743513</v>
      </c>
      <c r="W35" s="7"/>
      <c r="X35" s="7"/>
      <c r="Y35" s="21">
        <f>IF(A35="","",IF(INPUTS!$C$17="Yes",MIN(Y34*(1+INPUTS!$C$15)+IF(INPUTS!$C$27="Yes",(Z35-Z34)*INPUTS!$C$31+IF(AND(INPUTS!$C$28="Not yet credentialed",A35=INPUTS!$C$33),INPUTS!$C$32,0)+IF(AND(INPUTS!$C$28&lt;&gt;"FSA / FCAS",A35=INPUTS!$C$35),INPUTS!$C$34,0),0),INPUTS!$C$18),Y34*(1+INPUTS!$C$15)+IF(INPUTS!$C$27="Yes",(Z35-Z34)*INPUTS!$C$31+IF(AND(INPUTS!$C$28="Not yet credentialed",A35=INPUTS!$C$33),INPUTS!$C$32,0)+IF(AND(INPUTS!$C$28&lt;&gt;"FSA / FCAS",A35=INPUTS!$C$35),INPUTS!$C$34,0),0)))</f>
        <v>243194.67920100869</v>
      </c>
      <c r="Z35" s="22">
        <f>IF(A35="","",IF(AND(INPUTS!$C$27="Yes",INPUTS!$C$28&lt;&gt;"FSA / FCAS",ISNUMBER(INPUTS!$C$37)),MIN(A35*INPUTS!$C$37,INPUTS!$C$30),0))</f>
        <v>3</v>
      </c>
      <c r="AA35" s="21">
        <f t="shared" si="25"/>
        <v>182950</v>
      </c>
      <c r="AB35" s="21">
        <f t="shared" si="26"/>
        <v>60244.679201008694</v>
      </c>
      <c r="AC35" s="21">
        <f>IF(A35="","",MIN(AB35,AP35)*'CONSTANTS &amp; REFERENCES'!$A$5+MAX(MIN(AB35,AR35)-AP35,0)*'CONSTANTS &amp; REFERENCES'!$A$6+MAX(MIN(AB35,AT35)-AR35,0)*'CONSTANTS &amp; REFERENCES'!$A$7+MAX(MIN(AB35,AV35)-AT35,0)*'CONSTANTS &amp; REFERENCES'!$A$8+MAX(MIN(AB35,AX35)-AV35,0)*'CONSTANTS &amp; REFERENCES'!$A$9+MAX(MIN(AB35,AZ35)-AX35,0)*'CONSTANTS &amp; REFERENCES'!$A$10+MAX(AB35-AZ35,0)*'CONSTANTS &amp; REFERENCES'!$A$11)</f>
        <v>6024.4679201008694</v>
      </c>
      <c r="AD35" s="21">
        <f>IF(AB35="","",IF(INPUTS!$C$20="Yes",AB35*INPUTS!$C$21,0))</f>
        <v>0</v>
      </c>
      <c r="AE35" s="21">
        <f>IF(Y35="","",MIN(Y35,BC35)*'CONSTANTS &amp; REFERENCES'!$B$22)</f>
        <v>15078.070110462539</v>
      </c>
      <c r="AF35" s="21">
        <f>IF(Y35="","",Y35*'CONSTANTS &amp; REFERENCES'!$B$24+MAX(0,Y35-IF(AK35="Married Filing Jointly",'CONSTANTS &amp; REFERENCES'!$C$26,IF(AK35="Married Filing Separately",'CONSTANTS &amp; REFERENCES'!$C$27,IF(AK35="Head of Household",'CONSTANTS &amp; REFERENCES'!$C$28,'CONSTANTS &amp; REFERENCES'!$C$25))))*'CONSTANTS &amp; REFERENCES'!$B$25)</f>
        <v>3526.3228484146262</v>
      </c>
      <c r="AG35" s="21">
        <f t="shared" si="15"/>
        <v>18604.392958877164</v>
      </c>
      <c r="AH35" s="21">
        <f t="shared" si="16"/>
        <v>24628.860878978034</v>
      </c>
      <c r="AI35" s="21">
        <f t="shared" si="17"/>
        <v>218565.81832203065</v>
      </c>
      <c r="AJ35" s="21">
        <f t="shared" si="18"/>
        <v>0</v>
      </c>
      <c r="AK35" s="7" t="str">
        <f>IF(A35="","",IF(AND(INPUTS!$C$43="Yes",A35&gt;=INPUTS!$C$45),INPUTS!$C$44,INPUTS!$C$19))</f>
        <v>Married Filing Jointly</v>
      </c>
      <c r="AL35" s="23">
        <f t="shared" si="27"/>
        <v>5.6827164027867134</v>
      </c>
      <c r="AM35" s="24">
        <f>IF(A35="","",(IF(OR(AK35="Single",AK35="Married Filing Separately"),'CONSTANTS &amp; REFERENCES'!$B$13,IF(AK35="Married Filing Jointly",'CONSTANTS &amp; REFERENCES'!$G$13,IF(AK35="Head of Household",'CONSTANTS &amp; REFERENCES'!$L$13,""))))*AL35)</f>
        <v>182983.46816973216</v>
      </c>
      <c r="AN35" s="21">
        <f>IF(AM35="","",IF(A35=0,IF(OR(AK35="Single",AK35="Married Filing Separately"),'CONSTANTS &amp; REFERENCES'!$B$13,IF(AK35="Married Filing Jointly",'CONSTANTS &amp; REFERENCES'!$G$13,IF(AK35="Head of Household",'CONSTANTS &amp; REFERENCES'!$L$13,""))),_xlfn.FLOOR.MATH(AM35,IF(AK35="Married Filing Separately",Bracket_Round_MFS,Bracket_Round_Standard))))</f>
        <v>182950</v>
      </c>
      <c r="AO35" s="24">
        <f>IF(A35="","",(IF(OR(AK35="Single",AK35="Married Filing Separately"),'CONSTANTS &amp; REFERENCES'!$C$5,IF(AK35="Married Filing Jointly",'CONSTANTS &amp; REFERENCES'!$H$5,IF(AK35="Head of Household",'CONSTANTS &amp; REFERENCES'!$M$5,""))))*AL35)</f>
        <v>140931.3667891105</v>
      </c>
      <c r="AP35" s="21">
        <f>IF(AO35="","",IF(A35=0,IF(OR(AK35="Single",AK35="Married Filing Separately"),'CONSTANTS &amp; REFERENCES'!$C$5,IF(AK35="Married Filing Jointly",'CONSTANTS &amp; REFERENCES'!$H$5,IF(AK35="Head of Household",'CONSTANTS &amp; REFERENCES'!$M$5,""))),_xlfn.FLOOR.MATH(AO35,IF(AK35="Married Filing Separately",Bracket_Round_MFS,Bracket_Round_Standard))))</f>
        <v>140900</v>
      </c>
      <c r="AQ35" s="24">
        <f>IF(A35="","",(IF(OR(AK35="Single",AK35="Married Filing Separately"),'CONSTANTS &amp; REFERENCES'!$C$6,IF(AK35="Married Filing Jointly",'CONSTANTS &amp; REFERENCES'!$H$6,IF(AK35="Head of Household",'CONSTANTS &amp; REFERENCES'!$M$6,""))))*AL35)</f>
        <v>572817.81340090069</v>
      </c>
      <c r="AR35" s="21">
        <f>IF(AQ35="","",IF(A35=0,IF(OR(AK35="Single",AK35="Married Filing Separately"),'CONSTANTS &amp; REFERENCES'!$C$6,IF(AK35="Married Filing Jointly",'CONSTANTS &amp; REFERENCES'!$H$6,IF(AK35="Head of Household",'CONSTANTS &amp; REFERENCES'!$M$6,""))),_xlfn.FLOOR.MATH(AQ35,IF(AK35="Married Filing Separately",Bracket_Round_MFS,Bracket_Round_Standard))))</f>
        <v>572800</v>
      </c>
      <c r="AS35" s="24">
        <f>IF(A35="","",(IF(OR(AK35="Single",AK35="Married Filing Separately"),'CONSTANTS &amp; REFERENCES'!$C$7,IF(AK35="Married Filing Jointly",'CONSTANTS &amp; REFERENCES'!$H$7,IF(AK35="Head of Household",'CONSTANTS &amp; REFERENCES'!$M$7,""))))*AL35)</f>
        <v>1201326.2475491113</v>
      </c>
      <c r="AT35" s="21">
        <f>IF(AS35="","",IF(A35=0,IF(OR(AK35="Single",AK35="Married Filing Separately"),'CONSTANTS &amp; REFERENCES'!$C$7,IF(AK35="Married Filing Jointly",'CONSTANTS &amp; REFERENCES'!$H$7,IF(AK35="Head of Household",'CONSTANTS &amp; REFERENCES'!$M$7,""))),_xlfn.FLOOR.MATH(AS35,IF(AK35="Married Filing Separately",Bracket_Round_MFS,Bracket_Round_Standard))))</f>
        <v>1201300</v>
      </c>
      <c r="AU35" s="24">
        <f>IF(A35="","",(IF(OR(AK35="Single",AK35="Married Filing Separately"),'CONSTANTS &amp; REFERENCES'!$C$8,IF(AK35="Married Filing Jointly",'CONSTANTS &amp; REFERENCES'!$H$8,IF(AK35="Head of Household",'CONSTANTS &amp; REFERENCES'!$M$8,""))))*AL35)</f>
        <v>2293260.2043445781</v>
      </c>
      <c r="AV35" s="21">
        <f>IF(AU35="","",IF(A35=0,IF(OR(AK35="Single",AK35="Married Filing Separately"),'CONSTANTS &amp; REFERENCES'!$C$8,IF(AK35="Married Filing Jointly",'CONSTANTS &amp; REFERENCES'!$H$8,IF(AK35="Head of Household",'CONSTANTS &amp; REFERENCES'!$M$8,""))),_xlfn.FLOOR.MATH(AU35,IF(AK35="Married Filing Separately",Bracket_Round_MFS,Bracket_Round_Standard))))</f>
        <v>2293250</v>
      </c>
      <c r="AW35" s="24">
        <f>IF(A35="","",(IF(OR(AK35="Single",AK35="Married Filing Separately"),'CONSTANTS &amp; REFERENCES'!$C$9,IF(AK35="Married Filing Jointly",'CONSTANTS &amp; REFERENCES'!$H$9,IF(AK35="Head of Household",'CONSTANTS &amp; REFERENCES'!$M$9,""))))*AL35)</f>
        <v>2912108.0206080512</v>
      </c>
      <c r="AX35" s="21">
        <f>IF(AW35="","",IF(A35=0,IF(OR(AK35="Single",AK35="Married Filing Separately"),'CONSTANTS &amp; REFERENCES'!$C$9,IF(AK35="Married Filing Jointly",'CONSTANTS &amp; REFERENCES'!$H$9,IF(AK35="Head of Household",'CONSTANTS &amp; REFERENCES'!$M$9,""))),_xlfn.FLOOR.MATH(AW35,IF(AK35="Married Filing Separately",Bracket_Round_MFS,Bracket_Round_Standard))))</f>
        <v>2912100</v>
      </c>
      <c r="AY35" s="24">
        <f>IF(A35="","",(IF(OR(AK35="Single",AK35="Married Filing Separately"),'CONSTANTS &amp; REFERENCES'!$C$10,IF(AK35="Married Filing Jointly",'CONSTANTS &amp; REFERENCES'!$H$10,IF(AK35="Head of Household",'CONSTANTS &amp; REFERENCES'!$M$10,""))))*AL35)</f>
        <v>4367735.8271818683</v>
      </c>
      <c r="AZ35" s="21">
        <f>IF(AY35="","",IF(A35=0,IF(OR(AK35="Single",AK35="Married Filing Separately"),'CONSTANTS &amp; REFERENCES'!$C$10,IF(AK35="Married Filing Jointly",'CONSTANTS &amp; REFERENCES'!$H$10,IF(AK35="Head of Household",'CONSTANTS &amp; REFERENCES'!$M$10,""))),_xlfn.FLOOR.MATH(AY35,IF(AK35="Married Filing Separately",Bracket_Round_MFS,Bracket_Round_Standard))))</f>
        <v>4367700</v>
      </c>
      <c r="BA35" s="7" t="str">
        <f t="shared" si="28"/>
        <v>Illustrative future tax assumptions under simplified C-CPI-U indexing; not an IRS forecast.</v>
      </c>
      <c r="BB35" s="7">
        <f>IF(A35="","",'CONSTANTS &amp; REFERENCES'!$C$22*AL35)</f>
        <v>1048461.1763141486</v>
      </c>
      <c r="BC35" s="21">
        <f t="shared" si="19"/>
        <v>1048400</v>
      </c>
    </row>
    <row r="36" spans="1:55" ht="18" customHeight="1" x14ac:dyDescent="0.3">
      <c r="A36" s="10">
        <f>IF(A35&lt;INPUTS!$C$7-INPUTS!$C$6,A35+1,"")</f>
        <v>34</v>
      </c>
      <c r="B36" s="10">
        <f>IF(A36="","",INPUTS!$C$6+A36)</f>
        <v>56</v>
      </c>
      <c r="C36" s="11">
        <f t="shared" si="29"/>
        <v>3751307.8679798776</v>
      </c>
      <c r="D36" s="11">
        <f>IF(A36="","",IF(A36&lt;INPUTS!$C$13,0,J36))</f>
        <v>61900</v>
      </c>
      <c r="E36" s="12" t="str">
        <f>IF(A36="","",IF(D36=0,"—",IF(Y36&lt;IF(AK36="Married Filing Jointly",'CONSTANTS &amp; REFERENCES'!$B$44,IF(AK36="Married Filing Separately",'CONSTANTS &amp; REFERENCES'!$B$45,'CONSTANTS &amp; REFERENCES'!$B$43)),"Direct","Backdoor")))</f>
        <v>Backdoor</v>
      </c>
      <c r="F36" s="13">
        <f t="shared" si="20"/>
        <v>54382.689568247755</v>
      </c>
      <c r="G36" s="14">
        <f t="shared" si="21"/>
        <v>54000</v>
      </c>
      <c r="H36" s="13">
        <f t="shared" si="22"/>
        <v>7976.1278033430044</v>
      </c>
      <c r="I36" s="14">
        <f t="shared" si="23"/>
        <v>7900</v>
      </c>
      <c r="J36" s="14">
        <f t="shared" si="24"/>
        <v>61900</v>
      </c>
      <c r="K36" s="11">
        <f>IF(A36="","",IF(INPUTS!$C$12="Beginning",(C36+D36)*INPUTS!$C$10,C36*INPUTS!$C$10))</f>
        <v>381320.78679798776</v>
      </c>
      <c r="L36" s="11">
        <f>IF(A36="","",IF(INPUTS!$C$12="Beginning",(C36+D36)*(1+INPUTS!$C$10),C36*(1+INPUTS!$C$10)+D36))</f>
        <v>4194528.6547778659</v>
      </c>
      <c r="M36" s="15">
        <f>IF(A36="","",(1+INPUTS!$C$11)^A36)</f>
        <v>7.2510252757663674</v>
      </c>
      <c r="N36" s="11">
        <f t="shared" si="30"/>
        <v>578473.87028099177</v>
      </c>
      <c r="O36" s="11">
        <f t="shared" si="31"/>
        <v>873300</v>
      </c>
      <c r="P36" s="11">
        <f>IF(A36="","",L36-INPUTS!$C$8-O36)</f>
        <v>3321228.6547778659</v>
      </c>
      <c r="Q36" s="16"/>
      <c r="R36" s="16"/>
      <c r="S36" s="16">
        <f t="shared" si="32"/>
        <v>56</v>
      </c>
      <c r="T36" s="18">
        <f t="shared" si="33"/>
        <v>4194528.6547778659</v>
      </c>
      <c r="U36" s="18">
        <f t="shared" si="34"/>
        <v>578473.87028099177</v>
      </c>
      <c r="V36" s="19">
        <f>IF(A36="","",FV(INPUTS!$C$10,INPUTS!$C$7-INPUTS!$C$6-A36+IF(INPUTS!$C$12="Beginning",1,0),0,-D36,0))</f>
        <v>160552.65828019011</v>
      </c>
      <c r="W36" s="7"/>
      <c r="X36" s="7"/>
      <c r="Y36" s="21">
        <f>IF(A36="","",IF(INPUTS!$C$17="Yes",MIN(Y35*(1+INPUTS!$C$15)+IF(INPUTS!$C$27="Yes",(Z36-Z35)*INPUTS!$C$31+IF(AND(INPUTS!$C$28="Not yet credentialed",A36=INPUTS!$C$33),INPUTS!$C$32,0)+IF(AND(INPUTS!$C$28&lt;&gt;"FSA / FCAS",A36=INPUTS!$C$35),INPUTS!$C$34,0),0),INPUTS!$C$18),Y35*(1+INPUTS!$C$15)+IF(INPUTS!$C$27="Yes",(Z36-Z35)*INPUTS!$C$31+IF(AND(INPUTS!$C$28="Not yet credentialed",A36=INPUTS!$C$33),INPUTS!$C$32,0)+IF(AND(INPUTS!$C$28&lt;&gt;"FSA / FCAS",A36=INPUTS!$C$35),INPUTS!$C$34,0),0)))</f>
        <v>250490.51957703897</v>
      </c>
      <c r="Z36" s="22">
        <f>IF(A36="","",IF(AND(INPUTS!$C$27="Yes",INPUTS!$C$28&lt;&gt;"FSA / FCAS",ISNUMBER(INPUTS!$C$37)),MIN(A36*INPUTS!$C$37,INPUTS!$C$30),0))</f>
        <v>3</v>
      </c>
      <c r="AA36" s="21">
        <f t="shared" si="25"/>
        <v>192850</v>
      </c>
      <c r="AB36" s="21">
        <f t="shared" si="26"/>
        <v>57640.519577038969</v>
      </c>
      <c r="AC36" s="21">
        <f>IF(A36="","",MIN(AB36,AP36)*'CONSTANTS &amp; REFERENCES'!$A$5+MAX(MIN(AB36,AR36)-AP36,0)*'CONSTANTS &amp; REFERENCES'!$A$6+MAX(MIN(AB36,AT36)-AR36,0)*'CONSTANTS &amp; REFERENCES'!$A$7+MAX(MIN(AB36,AV36)-AT36,0)*'CONSTANTS &amp; REFERENCES'!$A$8+MAX(MIN(AB36,AX36)-AV36,0)*'CONSTANTS &amp; REFERENCES'!$A$9+MAX(MIN(AB36,AZ36)-AX36,0)*'CONSTANTS &amp; REFERENCES'!$A$10+MAX(AB36-AZ36,0)*'CONSTANTS &amp; REFERENCES'!$A$11)</f>
        <v>5764.0519577038976</v>
      </c>
      <c r="AD36" s="21">
        <f>IF(AB36="","",IF(INPUTS!$C$20="Yes",AB36*INPUTS!$C$21,0))</f>
        <v>0</v>
      </c>
      <c r="AE36" s="21">
        <f>IF(Y36="","",MIN(Y36,BC36)*'CONSTANTS &amp; REFERENCES'!$B$22)</f>
        <v>15530.412213776415</v>
      </c>
      <c r="AF36" s="21">
        <f>IF(Y36="","",Y36*'CONSTANTS &amp; REFERENCES'!$B$24+MAX(0,Y36-IF(AK36="Married Filing Jointly",'CONSTANTS &amp; REFERENCES'!$C$26,IF(AK36="Married Filing Separately",'CONSTANTS &amp; REFERENCES'!$C$27,IF(AK36="Head of Household",'CONSTANTS &amp; REFERENCES'!$C$28,'CONSTANTS &amp; REFERENCES'!$C$25))))*'CONSTANTS &amp; REFERENCES'!$B$25)</f>
        <v>3636.5272100604161</v>
      </c>
      <c r="AG36" s="21">
        <f t="shared" si="15"/>
        <v>19166.939423836833</v>
      </c>
      <c r="AH36" s="21">
        <f t="shared" si="16"/>
        <v>24930.991381540731</v>
      </c>
      <c r="AI36" s="21">
        <f t="shared" si="17"/>
        <v>225559.52819549825</v>
      </c>
      <c r="AJ36" s="21">
        <f t="shared" si="18"/>
        <v>0</v>
      </c>
      <c r="AK36" s="7" t="str">
        <f>IF(A36="","",IF(AND(INPUTS!$C$43="Yes",A36&gt;=INPUTS!$C$45),INPUTS!$C$44,INPUTS!$C$19))</f>
        <v>Married Filing Jointly</v>
      </c>
      <c r="AL36" s="23">
        <f t="shared" si="27"/>
        <v>5.9899240515213625</v>
      </c>
      <c r="AM36" s="24">
        <f>IF(A36="","",(IF(OR(AK36="Single",AK36="Married Filing Separately"),'CONSTANTS &amp; REFERENCES'!$B$13,IF(AK36="Married Filing Jointly",'CONSTANTS &amp; REFERENCES'!$G$13,IF(AK36="Head of Household",'CONSTANTS &amp; REFERENCES'!$L$13,""))))*AL36)</f>
        <v>192875.55445898787</v>
      </c>
      <c r="AN36" s="21">
        <f>IF(AM36="","",IF(A36=0,IF(OR(AK36="Single",AK36="Married Filing Separately"),'CONSTANTS &amp; REFERENCES'!$B$13,IF(AK36="Married Filing Jointly",'CONSTANTS &amp; REFERENCES'!$G$13,IF(AK36="Head of Household",'CONSTANTS &amp; REFERENCES'!$L$13,""))),_xlfn.FLOOR.MATH(AM36,IF(AK36="Married Filing Separately",Bracket_Round_MFS,Bracket_Round_Standard))))</f>
        <v>192850</v>
      </c>
      <c r="AO36" s="24">
        <f>IF(A36="","",(IF(OR(AK36="Single",AK36="Married Filing Separately"),'CONSTANTS &amp; REFERENCES'!$C$5,IF(AK36="Married Filing Jointly",'CONSTANTS &amp; REFERENCES'!$H$5,IF(AK36="Head of Household",'CONSTANTS &amp; REFERENCES'!$M$5,""))))*AL36)</f>
        <v>148550.11647772978</v>
      </c>
      <c r="AP36" s="21">
        <f>IF(AO36="","",IF(A36=0,IF(OR(AK36="Single",AK36="Married Filing Separately"),'CONSTANTS &amp; REFERENCES'!$C$5,IF(AK36="Married Filing Jointly",'CONSTANTS &amp; REFERENCES'!$H$5,IF(AK36="Head of Household",'CONSTANTS &amp; REFERENCES'!$M$5,""))),_xlfn.FLOOR.MATH(AO36,IF(AK36="Married Filing Separately",Bracket_Round_MFS,Bracket_Round_Standard))))</f>
        <v>148550</v>
      </c>
      <c r="AQ36" s="24">
        <f>IF(A36="","",(IF(OR(AK36="Single",AK36="Married Filing Separately"),'CONSTANTS &amp; REFERENCES'!$C$6,IF(AK36="Married Filing Jointly",'CONSTANTS &amp; REFERENCES'!$H$6,IF(AK36="Head of Household",'CONSTANTS &amp; REFERENCES'!$M$6,""))))*AL36)</f>
        <v>603784.34439335333</v>
      </c>
      <c r="AR36" s="21">
        <f>IF(AQ36="","",IF(A36=0,IF(OR(AK36="Single",AK36="Married Filing Separately"),'CONSTANTS &amp; REFERENCES'!$C$6,IF(AK36="Married Filing Jointly",'CONSTANTS &amp; REFERENCES'!$H$6,IF(AK36="Head of Household",'CONSTANTS &amp; REFERENCES'!$M$6,""))),_xlfn.FLOOR.MATH(AQ36,IF(AK36="Married Filing Separately",Bracket_Round_MFS,Bracket_Round_Standard))))</f>
        <v>603750</v>
      </c>
      <c r="AS36" s="24">
        <f>IF(A36="","",(IF(OR(AK36="Single",AK36="Married Filing Separately"),'CONSTANTS &amp; REFERENCES'!$C$7,IF(AK36="Married Filing Jointly",'CONSTANTS &amp; REFERENCES'!$H$7,IF(AK36="Head of Household",'CONSTANTS &amp; REFERENCES'!$M$7,""))))*AL36)</f>
        <v>1266269.944491616</v>
      </c>
      <c r="AT36" s="21">
        <f>IF(AS36="","",IF(A36=0,IF(OR(AK36="Single",AK36="Married Filing Separately"),'CONSTANTS &amp; REFERENCES'!$C$7,IF(AK36="Married Filing Jointly",'CONSTANTS &amp; REFERENCES'!$H$7,IF(AK36="Head of Household",'CONSTANTS &amp; REFERENCES'!$M$7,""))),_xlfn.FLOOR.MATH(AS36,IF(AK36="Married Filing Separately",Bracket_Round_MFS,Bracket_Round_Standard))))</f>
        <v>1266250</v>
      </c>
      <c r="AU36" s="24">
        <f>IF(A36="","",(IF(OR(AK36="Single",AK36="Married Filing Separately"),'CONSTANTS &amp; REFERENCES'!$C$8,IF(AK36="Married Filing Jointly",'CONSTANTS &amp; REFERENCES'!$H$8,IF(AK36="Head of Household",'CONSTANTS &amp; REFERENCES'!$M$8,""))))*AL36)</f>
        <v>2417233.8509914461</v>
      </c>
      <c r="AV36" s="21">
        <f>IF(AU36="","",IF(A36=0,IF(OR(AK36="Single",AK36="Married Filing Separately"),'CONSTANTS &amp; REFERENCES'!$C$8,IF(AK36="Married Filing Jointly",'CONSTANTS &amp; REFERENCES'!$H$8,IF(AK36="Head of Household",'CONSTANTS &amp; REFERENCES'!$M$8,""))),_xlfn.FLOOR.MATH(AU36,IF(AK36="Married Filing Separately",Bracket_Round_MFS,Bracket_Round_Standard))))</f>
        <v>2417200</v>
      </c>
      <c r="AW36" s="24">
        <f>IF(A36="","",(IF(OR(AK36="Single",AK36="Married Filing Separately"),'CONSTANTS &amp; REFERENCES'!$C$9,IF(AK36="Married Filing Jointly",'CONSTANTS &amp; REFERENCES'!$H$9,IF(AK36="Head of Household",'CONSTANTS &amp; REFERENCES'!$M$9,""))))*AL36)</f>
        <v>3069536.5802021222</v>
      </c>
      <c r="AX36" s="21">
        <f>IF(AW36="","",IF(A36=0,IF(OR(AK36="Single",AK36="Married Filing Separately"),'CONSTANTS &amp; REFERENCES'!$C$9,IF(AK36="Married Filing Jointly",'CONSTANTS &amp; REFERENCES'!$H$9,IF(AK36="Head of Household",'CONSTANTS &amp; REFERENCES'!$M$9,""))),_xlfn.FLOOR.MATH(AW36,IF(AK36="Married Filing Separately",Bracket_Round_MFS,Bracket_Round_Standard))))</f>
        <v>3069500</v>
      </c>
      <c r="AY36" s="24">
        <f>IF(A36="","",(IF(OR(AK36="Single",AK36="Married Filing Separately"),'CONSTANTS &amp; REFERENCES'!$C$10,IF(AK36="Married Filing Jointly",'CONSTANTS &amp; REFERENCES'!$H$10,IF(AK36="Head of Household",'CONSTANTS &amp; REFERENCES'!$M$10,""))))*AL36)</f>
        <v>4603855.6259993194</v>
      </c>
      <c r="AZ36" s="21">
        <f>IF(AY36="","",IF(A36=0,IF(OR(AK36="Single",AK36="Married Filing Separately"),'CONSTANTS &amp; REFERENCES'!$C$10,IF(AK36="Married Filing Jointly",'CONSTANTS &amp; REFERENCES'!$H$10,IF(AK36="Head of Household",'CONSTANTS &amp; REFERENCES'!$M$10,""))),_xlfn.FLOOR.MATH(AY36,IF(AK36="Married Filing Separately",Bracket_Round_MFS,Bracket_Round_Standard))))</f>
        <v>4603850</v>
      </c>
      <c r="BA36" s="7" t="str">
        <f t="shared" si="28"/>
        <v>Illustrative future tax assumptions under simplified C-CPI-U indexing; not an IRS forecast.</v>
      </c>
      <c r="BB36" s="7">
        <f>IF(A36="","",'CONSTANTS &amp; REFERENCES'!$C$22*AL36)</f>
        <v>1105140.9875056914</v>
      </c>
      <c r="BC36" s="21">
        <f t="shared" si="19"/>
        <v>1105100</v>
      </c>
    </row>
    <row r="37" spans="1:55" ht="18" customHeight="1" x14ac:dyDescent="0.3">
      <c r="A37" s="10">
        <f>IF(A36&lt;INPUTS!$C$7-INPUTS!$C$6,A36+1,"")</f>
        <v>35</v>
      </c>
      <c r="B37" s="10">
        <f>IF(A37="","",INPUTS!$C$6+A37)</f>
        <v>57</v>
      </c>
      <c r="C37" s="11">
        <f t="shared" si="29"/>
        <v>4194528.6547778659</v>
      </c>
      <c r="D37" s="11">
        <f>IF(A37="","",IF(A37&lt;INPUTS!$C$13,0,J37))</f>
        <v>65900</v>
      </c>
      <c r="E37" s="12" t="str">
        <f>IF(A37="","",IF(D37=0,"—",IF(Y37&lt;IF(AK37="Married Filing Jointly",'CONSTANTS &amp; REFERENCES'!$B$44,IF(AK37="Married Filing Separately",'CONSTANTS &amp; REFERENCES'!$B$45,'CONSTANTS &amp; REFERENCES'!$B$43)),"Direct","Backdoor")))</f>
        <v>Backdoor</v>
      </c>
      <c r="F37" s="13">
        <f t="shared" si="20"/>
        <v>57645.650942342625</v>
      </c>
      <c r="G37" s="14">
        <f t="shared" si="21"/>
        <v>57500</v>
      </c>
      <c r="H37" s="13">
        <f t="shared" si="22"/>
        <v>8454.6954715435859</v>
      </c>
      <c r="I37" s="14">
        <f t="shared" si="23"/>
        <v>8400</v>
      </c>
      <c r="J37" s="14">
        <f t="shared" si="24"/>
        <v>65900</v>
      </c>
      <c r="K37" s="11">
        <f>IF(A37="","",IF(INPUTS!$C$12="Beginning",(C37+D37)*INPUTS!$C$10,C37*INPUTS!$C$10))</f>
        <v>426042.86547778663</v>
      </c>
      <c r="L37" s="11">
        <f>IF(A37="","",IF(INPUTS!$C$12="Beginning",(C37+D37)*(1+INPUTS!$C$10),C37*(1+INPUTS!$C$10)+D37))</f>
        <v>4686471.5202556532</v>
      </c>
      <c r="M37" s="15">
        <f>IF(A37="","",(1+INPUTS!$C$11)^A37)</f>
        <v>7.6860867923123504</v>
      </c>
      <c r="N37" s="11">
        <f t="shared" si="30"/>
        <v>609734.40020779858</v>
      </c>
      <c r="O37" s="11">
        <f t="shared" si="31"/>
        <v>939200</v>
      </c>
      <c r="P37" s="11">
        <f>IF(A37="","",L37-INPUTS!$C$8-O37)</f>
        <v>3747271.5202556532</v>
      </c>
      <c r="Q37" s="16"/>
      <c r="R37" s="16"/>
      <c r="S37" s="16">
        <f t="shared" si="32"/>
        <v>57</v>
      </c>
      <c r="T37" s="18">
        <f t="shared" si="33"/>
        <v>4686471.5202556532</v>
      </c>
      <c r="U37" s="18">
        <f t="shared" si="34"/>
        <v>609734.40020779858</v>
      </c>
      <c r="V37" s="19">
        <f>IF(A37="","",FV(INPUTS!$C$10,INPUTS!$C$7-INPUTS!$C$6-A37+IF(INPUTS!$C$12="Beginning",1,0),0,-D37,0))</f>
        <v>155388.75283690009</v>
      </c>
      <c r="W37" s="7"/>
      <c r="X37" s="7"/>
      <c r="Y37" s="21">
        <f>IF(A37="","",IF(INPUTS!$C$17="Yes",MIN(Y36*(1+INPUTS!$C$15)+IF(INPUTS!$C$27="Yes",(Z37-Z36)*INPUTS!$C$31+IF(AND(INPUTS!$C$28="Not yet credentialed",A37=INPUTS!$C$33),INPUTS!$C$32,0)+IF(AND(INPUTS!$C$28&lt;&gt;"FSA / FCAS",A37=INPUTS!$C$35),INPUTS!$C$34,0),0),INPUTS!$C$18),Y36*(1+INPUTS!$C$15)+IF(INPUTS!$C$27="Yes",(Z37-Z36)*INPUTS!$C$31+IF(AND(INPUTS!$C$28="Not yet credentialed",A37=INPUTS!$C$33),INPUTS!$C$32,0)+IF(AND(INPUTS!$C$28&lt;&gt;"FSA / FCAS",A37=INPUTS!$C$35),INPUTS!$C$34,0),0)))</f>
        <v>258005.23516435013</v>
      </c>
      <c r="Z37" s="22">
        <f>IF(A37="","",IF(AND(INPUTS!$C$27="Yes",INPUTS!$C$28&lt;&gt;"FSA / FCAS",ISNUMBER(INPUTS!$C$37)),MIN(A37*INPUTS!$C$37,INPUTS!$C$30),0))</f>
        <v>3</v>
      </c>
      <c r="AA37" s="21">
        <f t="shared" si="25"/>
        <v>203300</v>
      </c>
      <c r="AB37" s="21">
        <f t="shared" si="26"/>
        <v>54705.235164350132</v>
      </c>
      <c r="AC37" s="21">
        <f>IF(A37="","",MIN(AB37,AP37)*'CONSTANTS &amp; REFERENCES'!$A$5+MAX(MIN(AB37,AR37)-AP37,0)*'CONSTANTS &amp; REFERENCES'!$A$6+MAX(MIN(AB37,AT37)-AR37,0)*'CONSTANTS &amp; REFERENCES'!$A$7+MAX(MIN(AB37,AV37)-AT37,0)*'CONSTANTS &amp; REFERENCES'!$A$8+MAX(MIN(AB37,AX37)-AV37,0)*'CONSTANTS &amp; REFERENCES'!$A$9+MAX(MIN(AB37,AZ37)-AX37,0)*'CONSTANTS &amp; REFERENCES'!$A$10+MAX(AB37-AZ37,0)*'CONSTANTS &amp; REFERENCES'!$A$11)</f>
        <v>5470.5235164350133</v>
      </c>
      <c r="AD37" s="21">
        <f>IF(AB37="","",IF(INPUTS!$C$20="Yes",AB37*INPUTS!$C$21,0))</f>
        <v>0</v>
      </c>
      <c r="AE37" s="21">
        <f>IF(Y37="","",MIN(Y37,BC37)*'CONSTANTS &amp; REFERENCES'!$B$22)</f>
        <v>15996.324580189708</v>
      </c>
      <c r="AF37" s="21">
        <f>IF(Y37="","",Y37*'CONSTANTS &amp; REFERENCES'!$B$24+MAX(0,Y37-IF(AK37="Married Filing Jointly",'CONSTANTS &amp; REFERENCES'!$C$26,IF(AK37="Married Filing Separately",'CONSTANTS &amp; REFERENCES'!$C$27,IF(AK37="Head of Household",'CONSTANTS &amp; REFERENCES'!$C$28,'CONSTANTS &amp; REFERENCES'!$C$25))))*'CONSTANTS &amp; REFERENCES'!$B$25)</f>
        <v>3813.1230263622283</v>
      </c>
      <c r="AG37" s="21">
        <f t="shared" si="15"/>
        <v>19809.447606551937</v>
      </c>
      <c r="AH37" s="21">
        <f t="shared" si="16"/>
        <v>25279.97112298695</v>
      </c>
      <c r="AI37" s="21">
        <f t="shared" si="17"/>
        <v>232725.26404136317</v>
      </c>
      <c r="AJ37" s="21">
        <f t="shared" si="18"/>
        <v>0</v>
      </c>
      <c r="AK37" s="7" t="str">
        <f>IF(A37="","",IF(AND(INPUTS!$C$43="Yes",A37&gt;=INPUTS!$C$45),INPUTS!$C$44,INPUTS!$C$19))</f>
        <v>Married Filing Jointly</v>
      </c>
      <c r="AL37" s="23">
        <f t="shared" si="27"/>
        <v>6.3137393457466082</v>
      </c>
      <c r="AM37" s="24">
        <f>IF(A37="","",(IF(OR(AK37="Single",AK37="Married Filing Separately"),'CONSTANTS &amp; REFERENCES'!$B$13,IF(AK37="Married Filing Jointly",'CONSTANTS &amp; REFERENCES'!$G$13,IF(AK37="Head of Household",'CONSTANTS &amp; REFERENCES'!$L$13,""))))*AL37)</f>
        <v>203302.40693304079</v>
      </c>
      <c r="AN37" s="21">
        <f>IF(AM37="","",IF(A37=0,IF(OR(AK37="Single",AK37="Married Filing Separately"),'CONSTANTS &amp; REFERENCES'!$B$13,IF(AK37="Married Filing Jointly",'CONSTANTS &amp; REFERENCES'!$G$13,IF(AK37="Head of Household",'CONSTANTS &amp; REFERENCES'!$L$13,""))),_xlfn.FLOOR.MATH(AM37,IF(AK37="Married Filing Separately",Bracket_Round_MFS,Bracket_Round_Standard))))</f>
        <v>203300</v>
      </c>
      <c r="AO37" s="24">
        <f>IF(A37="","",(IF(OR(AK37="Single",AK37="Married Filing Separately"),'CONSTANTS &amp; REFERENCES'!$C$5,IF(AK37="Married Filing Jointly",'CONSTANTS &amp; REFERENCES'!$H$5,IF(AK37="Head of Household",'CONSTANTS &amp; REFERENCES'!$M$5,""))))*AL37)</f>
        <v>156580.7357745159</v>
      </c>
      <c r="AP37" s="21">
        <f>IF(AO37="","",IF(A37=0,IF(OR(AK37="Single",AK37="Married Filing Separately"),'CONSTANTS &amp; REFERENCES'!$C$5,IF(AK37="Married Filing Jointly",'CONSTANTS &amp; REFERENCES'!$H$5,IF(AK37="Head of Household",'CONSTANTS &amp; REFERENCES'!$M$5,""))),_xlfn.FLOOR.MATH(AO37,IF(AK37="Married Filing Separately",Bracket_Round_MFS,Bracket_Round_Standard))))</f>
        <v>156550</v>
      </c>
      <c r="AQ37" s="24">
        <f>IF(A37="","",(IF(OR(AK37="Single",AK37="Married Filing Separately"),'CONSTANTS &amp; REFERENCES'!$C$6,IF(AK37="Married Filing Jointly",'CONSTANTS &amp; REFERENCES'!$H$6,IF(AK37="Head of Household",'CONSTANTS &amp; REFERENCES'!$M$6,""))))*AL37)</f>
        <v>636424.92605125811</v>
      </c>
      <c r="AR37" s="21">
        <f>IF(AQ37="","",IF(A37=0,IF(OR(AK37="Single",AK37="Married Filing Separately"),'CONSTANTS &amp; REFERENCES'!$C$6,IF(AK37="Married Filing Jointly",'CONSTANTS &amp; REFERENCES'!$H$6,IF(AK37="Head of Household",'CONSTANTS &amp; REFERENCES'!$M$6,""))),_xlfn.FLOOR.MATH(AQ37,IF(AK37="Married Filing Separately",Bracket_Round_MFS,Bracket_Round_Standard))))</f>
        <v>636400</v>
      </c>
      <c r="AS37" s="24">
        <f>IF(A37="","",(IF(OR(AK37="Single",AK37="Married Filing Separately"),'CONSTANTS &amp; REFERENCES'!$C$7,IF(AK37="Married Filing Jointly",'CONSTANTS &amp; REFERENCES'!$H$7,IF(AK37="Head of Household",'CONSTANTS &amp; REFERENCES'!$M$7,""))))*AL37)</f>
        <v>1334724.4976908329</v>
      </c>
      <c r="AT37" s="21">
        <f>IF(AS37="","",IF(A37=0,IF(OR(AK37="Single",AK37="Married Filing Separately"),'CONSTANTS &amp; REFERENCES'!$C$7,IF(AK37="Married Filing Jointly",'CONSTANTS &amp; REFERENCES'!$H$7,IF(AK37="Head of Household",'CONSTANTS &amp; REFERENCES'!$M$7,""))),_xlfn.FLOOR.MATH(AS37,IF(AK37="Married Filing Separately",Bracket_Round_MFS,Bracket_Round_Standard))))</f>
        <v>1334700</v>
      </c>
      <c r="AU37" s="24">
        <f>IF(A37="","",(IF(OR(AK37="Single",AK37="Married Filing Separately"),'CONSTANTS &amp; REFERENCES'!$C$8,IF(AK37="Married Filing Jointly",'CONSTANTS &amp; REFERENCES'!$H$8,IF(AK37="Head of Household",'CONSTANTS &amp; REFERENCES'!$M$8,""))))*AL37)</f>
        <v>2547909.5129760439</v>
      </c>
      <c r="AV37" s="21">
        <f>IF(AU37="","",IF(A37=0,IF(OR(AK37="Single",AK37="Married Filing Separately"),'CONSTANTS &amp; REFERENCES'!$C$8,IF(AK37="Married Filing Jointly",'CONSTANTS &amp; REFERENCES'!$H$8,IF(AK37="Head of Household",'CONSTANTS &amp; REFERENCES'!$M$8,""))),_xlfn.FLOOR.MATH(AU37,IF(AK37="Married Filing Separately",Bracket_Round_MFS,Bracket_Round_Standard))))</f>
        <v>2547900</v>
      </c>
      <c r="AW37" s="24">
        <f>IF(A37="","",(IF(OR(AK37="Single",AK37="Married Filing Separately"),'CONSTANTS &amp; REFERENCES'!$C$9,IF(AK37="Married Filing Jointly",'CONSTANTS &amp; REFERENCES'!$H$9,IF(AK37="Head of Household",'CONSTANTS &amp; REFERENCES'!$M$9,""))))*AL37)</f>
        <v>3235475.7277278495</v>
      </c>
      <c r="AX37" s="21">
        <f>IF(AW37="","",IF(A37=0,IF(OR(AK37="Single",AK37="Married Filing Separately"),'CONSTANTS &amp; REFERENCES'!$C$9,IF(AK37="Married Filing Jointly",'CONSTANTS &amp; REFERENCES'!$H$9,IF(AK37="Head of Household",'CONSTANTS &amp; REFERENCES'!$M$9,""))),_xlfn.FLOOR.MATH(AW37,IF(AK37="Married Filing Separately",Bracket_Round_MFS,Bracket_Round_Standard))))</f>
        <v>3235450</v>
      </c>
      <c r="AY37" s="24">
        <f>IF(A37="","",(IF(OR(AK37="Single",AK37="Married Filing Separately"),'CONSTANTS &amp; REFERENCES'!$C$10,IF(AK37="Married Filing Jointly",'CONSTANTS &amp; REFERENCES'!$H$10,IF(AK37="Head of Household",'CONSTANTS &amp; REFERENCES'!$M$10,""))))*AL37)</f>
        <v>4852740.0611408427</v>
      </c>
      <c r="AZ37" s="21">
        <f>IF(AY37="","",IF(A37=0,IF(OR(AK37="Single",AK37="Married Filing Separately"),'CONSTANTS &amp; REFERENCES'!$C$10,IF(AK37="Married Filing Jointly",'CONSTANTS &amp; REFERENCES'!$H$10,IF(AK37="Head of Household",'CONSTANTS &amp; REFERENCES'!$M$10,""))),_xlfn.FLOOR.MATH(AY37,IF(AK37="Married Filing Separately",Bracket_Round_MFS,Bracket_Round_Standard))))</f>
        <v>4852700</v>
      </c>
      <c r="BA37" s="7" t="str">
        <f t="shared" si="28"/>
        <v>Illustrative future tax assumptions under simplified C-CPI-U indexing; not an IRS forecast.</v>
      </c>
      <c r="BB37" s="7">
        <f>IF(A37="","",'CONSTANTS &amp; REFERENCES'!$C$22*AL37)</f>
        <v>1164884.9092902492</v>
      </c>
      <c r="BC37" s="21">
        <f t="shared" si="19"/>
        <v>1164800</v>
      </c>
    </row>
    <row r="38" spans="1:55" ht="18" customHeight="1" x14ac:dyDescent="0.3">
      <c r="A38" s="10">
        <f>IF(A37&lt;INPUTS!$C$7-INPUTS!$C$6,A37+1,"")</f>
        <v>36</v>
      </c>
      <c r="B38" s="10">
        <f>IF(A38="","",INPUTS!$C$6+A38)</f>
        <v>58</v>
      </c>
      <c r="C38" s="11">
        <f t="shared" si="29"/>
        <v>4686471.5202556532</v>
      </c>
      <c r="D38" s="11">
        <f>IF(A38="","",IF(A38&lt;INPUTS!$C$13,0,J38))</f>
        <v>69900</v>
      </c>
      <c r="E38" s="12" t="str">
        <f>IF(A38="","",IF(D38=0,"—",IF(Y38&lt;IF(AK38="Married Filing Jointly",'CONSTANTS &amp; REFERENCES'!$B$44,IF(AK38="Married Filing Separately",'CONSTANTS &amp; REFERENCES'!$B$45,'CONSTANTS &amp; REFERENCES'!$B$43)),"Direct","Backdoor")))</f>
        <v>Backdoor</v>
      </c>
      <c r="F38" s="13">
        <f t="shared" si="20"/>
        <v>61104.389998883184</v>
      </c>
      <c r="G38" s="14">
        <f t="shared" si="21"/>
        <v>61000</v>
      </c>
      <c r="H38" s="13">
        <f t="shared" si="22"/>
        <v>8961.9771998362012</v>
      </c>
      <c r="I38" s="14">
        <f t="shared" si="23"/>
        <v>8900</v>
      </c>
      <c r="J38" s="14">
        <f t="shared" si="24"/>
        <v>69900</v>
      </c>
      <c r="K38" s="11">
        <f>IF(A38="","",IF(INPUTS!$C$12="Beginning",(C38+D38)*INPUTS!$C$10,C38*INPUTS!$C$10))</f>
        <v>475637.15202556533</v>
      </c>
      <c r="L38" s="11">
        <f>IF(A38="","",IF(INPUTS!$C$12="Beginning",(C38+D38)*(1+INPUTS!$C$10),C38*(1+INPUTS!$C$10)+D38))</f>
        <v>5232008.6722812187</v>
      </c>
      <c r="M38" s="15">
        <f>IF(A38="","",(1+INPUTS!$C$11)^A38)</f>
        <v>8.1472519998510915</v>
      </c>
      <c r="N38" s="11">
        <f t="shared" si="30"/>
        <v>642180.78345641505</v>
      </c>
      <c r="O38" s="11">
        <f t="shared" si="31"/>
        <v>1009100</v>
      </c>
      <c r="P38" s="11">
        <f>IF(A38="","",L38-INPUTS!$C$8-O38)</f>
        <v>4222908.6722812187</v>
      </c>
      <c r="Q38" s="16"/>
      <c r="R38" s="16"/>
      <c r="S38" s="16">
        <f t="shared" si="32"/>
        <v>58</v>
      </c>
      <c r="T38" s="18">
        <f t="shared" si="33"/>
        <v>5232008.6722812187</v>
      </c>
      <c r="U38" s="18">
        <f t="shared" si="34"/>
        <v>642180.78345641505</v>
      </c>
      <c r="V38" s="19">
        <f>IF(A38="","",FV(INPUTS!$C$10,INPUTS!$C$7-INPUTS!$C$6-A38+IF(INPUTS!$C$12="Beginning",1,0),0,-D38,0))</f>
        <v>149836.85781900008</v>
      </c>
      <c r="W38" s="7"/>
      <c r="X38" s="7"/>
      <c r="Y38" s="21">
        <f>IF(A38="","",IF(INPUTS!$C$17="Yes",MIN(Y37*(1+INPUTS!$C$15)+IF(INPUTS!$C$27="Yes",(Z38-Z37)*INPUTS!$C$31+IF(AND(INPUTS!$C$28="Not yet credentialed",A38=INPUTS!$C$33),INPUTS!$C$32,0)+IF(AND(INPUTS!$C$28&lt;&gt;"FSA / FCAS",A38=INPUTS!$C$35),INPUTS!$C$34,0),0),INPUTS!$C$18),Y37*(1+INPUTS!$C$15)+IF(INPUTS!$C$27="Yes",(Z38-Z37)*INPUTS!$C$31+IF(AND(INPUTS!$C$28="Not yet credentialed",A38=INPUTS!$C$33),INPUTS!$C$32,0)+IF(AND(INPUTS!$C$28&lt;&gt;"FSA / FCAS",A38=INPUTS!$C$35),INPUTS!$C$34,0),0)))</f>
        <v>265745.39221928065</v>
      </c>
      <c r="Z38" s="22">
        <f>IF(A38="","",IF(AND(INPUTS!$C$27="Yes",INPUTS!$C$28&lt;&gt;"FSA / FCAS",ISNUMBER(INPUTS!$C$37)),MIN(A38*INPUTS!$C$37,INPUTS!$C$30),0))</f>
        <v>3</v>
      </c>
      <c r="AA38" s="21">
        <f t="shared" si="25"/>
        <v>214250</v>
      </c>
      <c r="AB38" s="21">
        <f t="shared" si="26"/>
        <v>51495.392219280649</v>
      </c>
      <c r="AC38" s="21">
        <f>IF(A38="","",MIN(AB38,AP38)*'CONSTANTS &amp; REFERENCES'!$A$5+MAX(MIN(AB38,AR38)-AP38,0)*'CONSTANTS &amp; REFERENCES'!$A$6+MAX(MIN(AB38,AT38)-AR38,0)*'CONSTANTS &amp; REFERENCES'!$A$7+MAX(MIN(AB38,AV38)-AT38,0)*'CONSTANTS &amp; REFERENCES'!$A$8+MAX(MIN(AB38,AX38)-AV38,0)*'CONSTANTS &amp; REFERENCES'!$A$9+MAX(MIN(AB38,AZ38)-AX38,0)*'CONSTANTS &amp; REFERENCES'!$A$10+MAX(AB38-AZ38,0)*'CONSTANTS &amp; REFERENCES'!$A$11)</f>
        <v>5149.5392219280657</v>
      </c>
      <c r="AD38" s="21">
        <f>IF(AB38="","",IF(INPUTS!$C$20="Yes",AB38*INPUTS!$C$21,0))</f>
        <v>0</v>
      </c>
      <c r="AE38" s="21">
        <f>IF(Y38="","",MIN(Y38,BC38)*'CONSTANTS &amp; REFERENCES'!$B$22)</f>
        <v>16476.214317595401</v>
      </c>
      <c r="AF38" s="21">
        <f>IF(Y38="","",Y38*'CONSTANTS &amp; REFERENCES'!$B$24+MAX(0,Y38-IF(AK38="Married Filing Jointly",'CONSTANTS &amp; REFERENCES'!$C$26,IF(AK38="Married Filing Separately",'CONSTANTS &amp; REFERENCES'!$C$27,IF(AK38="Head of Household",'CONSTANTS &amp; REFERENCES'!$C$28,'CONSTANTS &amp; REFERENCES'!$C$25))))*'CONSTANTS &amp; REFERENCES'!$B$25)</f>
        <v>3995.0167171530957</v>
      </c>
      <c r="AG38" s="21">
        <f t="shared" si="15"/>
        <v>20471.231034748496</v>
      </c>
      <c r="AH38" s="21">
        <f t="shared" si="16"/>
        <v>25620.770256676562</v>
      </c>
      <c r="AI38" s="21">
        <f t="shared" si="17"/>
        <v>240124.62196260408</v>
      </c>
      <c r="AJ38" s="21">
        <f t="shared" si="18"/>
        <v>0</v>
      </c>
      <c r="AK38" s="7" t="str">
        <f>IF(A38="","",IF(AND(INPUTS!$C$43="Yes",A38&gt;=INPUTS!$C$45),INPUTS!$C$44,INPUTS!$C$19))</f>
        <v>Married Filing Jointly</v>
      </c>
      <c r="AL38" s="23">
        <f t="shared" si="27"/>
        <v>6.655060094777669</v>
      </c>
      <c r="AM38" s="24">
        <f>IF(A38="","",(IF(OR(AK38="Single",AK38="Married Filing Separately"),'CONSTANTS &amp; REFERENCES'!$B$13,IF(AK38="Married Filing Jointly",'CONSTANTS &amp; REFERENCES'!$G$13,IF(AK38="Head of Household",'CONSTANTS &amp; REFERENCES'!$L$13,""))))*AL38)</f>
        <v>214292.93505184093</v>
      </c>
      <c r="AN38" s="21">
        <f>IF(AM38="","",IF(A38=0,IF(OR(AK38="Single",AK38="Married Filing Separately"),'CONSTANTS &amp; REFERENCES'!$B$13,IF(AK38="Married Filing Jointly",'CONSTANTS &amp; REFERENCES'!$G$13,IF(AK38="Head of Household",'CONSTANTS &amp; REFERENCES'!$L$13,""))),_xlfn.FLOOR.MATH(AM38,IF(AK38="Married Filing Separately",Bracket_Round_MFS,Bracket_Round_Standard))))</f>
        <v>214250</v>
      </c>
      <c r="AO38" s="24">
        <f>IF(A38="","",(IF(OR(AK38="Single",AK38="Married Filing Separately"),'CONSTANTS &amp; REFERENCES'!$C$5,IF(AK38="Married Filing Jointly",'CONSTANTS &amp; REFERENCES'!$H$5,IF(AK38="Head of Household",'CONSTANTS &amp; REFERENCES'!$M$5,""))))*AL38)</f>
        <v>165045.49035048619</v>
      </c>
      <c r="AP38" s="21">
        <f>IF(AO38="","",IF(A38=0,IF(OR(AK38="Single",AK38="Married Filing Separately"),'CONSTANTS &amp; REFERENCES'!$C$5,IF(AK38="Married Filing Jointly",'CONSTANTS &amp; REFERENCES'!$H$5,IF(AK38="Head of Household",'CONSTANTS &amp; REFERENCES'!$M$5,""))),_xlfn.FLOOR.MATH(AO38,IF(AK38="Married Filing Separately",Bracket_Round_MFS,Bracket_Round_Standard))))</f>
        <v>165000</v>
      </c>
      <c r="AQ38" s="24">
        <f>IF(A38="","",(IF(OR(AK38="Single",AK38="Married Filing Separately"),'CONSTANTS &amp; REFERENCES'!$C$6,IF(AK38="Married Filing Jointly",'CONSTANTS &amp; REFERENCES'!$H$6,IF(AK38="Head of Household",'CONSTANTS &amp; REFERENCES'!$M$6,""))))*AL38)</f>
        <v>670830.05755358899</v>
      </c>
      <c r="AR38" s="21">
        <f>IF(AQ38="","",IF(A38=0,IF(OR(AK38="Single",AK38="Married Filing Separately"),'CONSTANTS &amp; REFERENCES'!$C$6,IF(AK38="Married Filing Jointly",'CONSTANTS &amp; REFERENCES'!$H$6,IF(AK38="Head of Household",'CONSTANTS &amp; REFERENCES'!$M$6,""))),_xlfn.FLOOR.MATH(AQ38,IF(AK38="Married Filing Separately",Bracket_Round_MFS,Bracket_Round_Standard))))</f>
        <v>670800</v>
      </c>
      <c r="AS38" s="24">
        <f>IF(A38="","",(IF(OR(AK38="Single",AK38="Married Filing Separately"),'CONSTANTS &amp; REFERENCES'!$C$7,IF(AK38="Married Filing Jointly",'CONSTANTS &amp; REFERENCES'!$H$7,IF(AK38="Head of Household",'CONSTANTS &amp; REFERENCES'!$M$7,""))))*AL38)</f>
        <v>1406879.7040359993</v>
      </c>
      <c r="AT38" s="21">
        <f>IF(AS38="","",IF(A38=0,IF(OR(AK38="Single",AK38="Married Filing Separately"),'CONSTANTS &amp; REFERENCES'!$C$7,IF(AK38="Married Filing Jointly",'CONSTANTS &amp; REFERENCES'!$H$7,IF(AK38="Head of Household",'CONSTANTS &amp; REFERENCES'!$M$7,""))),_xlfn.FLOOR.MATH(AS38,IF(AK38="Married Filing Separately",Bracket_Round_MFS,Bracket_Round_Standard))))</f>
        <v>1406850</v>
      </c>
      <c r="AU38" s="24">
        <f>IF(A38="","",(IF(OR(AK38="Single",AK38="Married Filing Separately"),'CONSTANTS &amp; REFERENCES'!$C$8,IF(AK38="Married Filing Jointly",'CONSTANTS &amp; REFERENCES'!$H$8,IF(AK38="Head of Household",'CONSTANTS &amp; REFERENCES'!$M$8,""))))*AL38)</f>
        <v>2685649.5012475285</v>
      </c>
      <c r="AV38" s="21">
        <f>IF(AU38="","",IF(A38=0,IF(OR(AK38="Single",AK38="Married Filing Separately"),'CONSTANTS &amp; REFERENCES'!$C$8,IF(AK38="Married Filing Jointly",'CONSTANTS &amp; REFERENCES'!$H$8,IF(AK38="Head of Household",'CONSTANTS &amp; REFERENCES'!$M$8,""))),_xlfn.FLOOR.MATH(AU38,IF(AK38="Married Filing Separately",Bracket_Round_MFS,Bracket_Round_Standard))))</f>
        <v>2685600</v>
      </c>
      <c r="AW38" s="24">
        <f>IF(A38="","",(IF(OR(AK38="Single",AK38="Married Filing Separately"),'CONSTANTS &amp; REFERENCES'!$C$9,IF(AK38="Married Filing Jointly",'CONSTANTS &amp; REFERENCES'!$H$9,IF(AK38="Head of Household",'CONSTANTS &amp; REFERENCES'!$M$9,""))))*AL38)</f>
        <v>3410385.5455688164</v>
      </c>
      <c r="AX38" s="21">
        <f>IF(AW38="","",IF(A38=0,IF(OR(AK38="Single",AK38="Married Filing Separately"),'CONSTANTS &amp; REFERENCES'!$C$9,IF(AK38="Married Filing Jointly",'CONSTANTS &amp; REFERENCES'!$H$9,IF(AK38="Head of Household",'CONSTANTS &amp; REFERENCES'!$M$9,""))),_xlfn.FLOOR.MATH(AW38,IF(AK38="Married Filing Separately",Bracket_Round_MFS,Bracket_Round_Standard))))</f>
        <v>3410350</v>
      </c>
      <c r="AY38" s="24">
        <f>IF(A38="","",(IF(OR(AK38="Single",AK38="Married Filing Separately"),'CONSTANTS &amp; REFERENCES'!$C$10,IF(AK38="Married Filing Jointly",'CONSTANTS &amp; REFERENCES'!$H$10,IF(AK38="Head of Household",'CONSTANTS &amp; REFERENCES'!$M$10,""))))*AL38)</f>
        <v>5115079.188846116</v>
      </c>
      <c r="AZ38" s="21">
        <f>IF(AY38="","",IF(A38=0,IF(OR(AK38="Single",AK38="Married Filing Separately"),'CONSTANTS &amp; REFERENCES'!$C$10,IF(AK38="Married Filing Jointly",'CONSTANTS &amp; REFERENCES'!$H$10,IF(AK38="Head of Household",'CONSTANTS &amp; REFERENCES'!$M$10,""))),_xlfn.FLOOR.MATH(AY38,IF(AK38="Married Filing Separately",Bracket_Round_MFS,Bracket_Round_Standard))))</f>
        <v>5115050</v>
      </c>
      <c r="BA38" s="7" t="str">
        <f t="shared" si="28"/>
        <v>Illustrative future tax assumptions under simplified C-CPI-U indexing; not an IRS forecast.</v>
      </c>
      <c r="BB38" s="7">
        <f>IF(A38="","",'CONSTANTS &amp; REFERENCES'!$C$22*AL38)</f>
        <v>1227858.5874864799</v>
      </c>
      <c r="BC38" s="21">
        <f t="shared" si="19"/>
        <v>1227800</v>
      </c>
    </row>
    <row r="39" spans="1:55" ht="18" customHeight="1" x14ac:dyDescent="0.3">
      <c r="A39" s="10">
        <f>IF(A38&lt;INPUTS!$C$7-INPUTS!$C$6,A38+1,"")</f>
        <v>37</v>
      </c>
      <c r="B39" s="10">
        <f>IF(A39="","",INPUTS!$C$6+A39)</f>
        <v>59</v>
      </c>
      <c r="C39" s="11">
        <f t="shared" si="29"/>
        <v>5232008.6722812187</v>
      </c>
      <c r="D39" s="11">
        <f>IF(A39="","",IF(A39&lt;INPUTS!$C$13,0,J39))</f>
        <v>73900</v>
      </c>
      <c r="E39" s="12" t="str">
        <f>IF(A39="","",IF(D39=0,"—",IF(Y39&lt;IF(AK39="Married Filing Jointly",'CONSTANTS &amp; REFERENCES'!$B$44,IF(AK39="Married Filing Separately",'CONSTANTS &amp; REFERENCES'!$B$45,'CONSTANTS &amp; REFERENCES'!$B$43)),"Direct","Backdoor")))</f>
        <v>Backdoor</v>
      </c>
      <c r="F39" s="13">
        <f t="shared" si="20"/>
        <v>64770.653398816183</v>
      </c>
      <c r="G39" s="14">
        <f t="shared" si="21"/>
        <v>64500</v>
      </c>
      <c r="H39" s="13">
        <f t="shared" si="22"/>
        <v>9499.6958318263733</v>
      </c>
      <c r="I39" s="14">
        <f t="shared" si="23"/>
        <v>9400</v>
      </c>
      <c r="J39" s="14">
        <f t="shared" si="24"/>
        <v>73900</v>
      </c>
      <c r="K39" s="11">
        <f>IF(A39="","",IF(INPUTS!$C$12="Beginning",(C39+D39)*INPUTS!$C$10,C39*INPUTS!$C$10))</f>
        <v>530590.86722812185</v>
      </c>
      <c r="L39" s="11">
        <f>IF(A39="","",IF(INPUTS!$C$12="Beginning",(C39+D39)*(1+INPUTS!$C$10),C39*(1+INPUTS!$C$10)+D39))</f>
        <v>5836499.5395093411</v>
      </c>
      <c r="M39" s="15">
        <f>IF(A39="","",(1+INPUTS!$C$11)^A39)</f>
        <v>8.6360871198421574</v>
      </c>
      <c r="N39" s="11">
        <f t="shared" si="30"/>
        <v>675826.84826088406</v>
      </c>
      <c r="O39" s="11">
        <f t="shared" si="31"/>
        <v>1083000</v>
      </c>
      <c r="P39" s="11">
        <f>IF(A39="","",L39-INPUTS!$C$8-O39)</f>
        <v>4753499.5395093411</v>
      </c>
      <c r="Q39" s="16"/>
      <c r="R39" s="16"/>
      <c r="S39" s="16">
        <f t="shared" si="32"/>
        <v>59</v>
      </c>
      <c r="T39" s="18">
        <f t="shared" si="33"/>
        <v>5836499.5395093411</v>
      </c>
      <c r="U39" s="18">
        <f t="shared" si="34"/>
        <v>675826.84826088406</v>
      </c>
      <c r="V39" s="19">
        <f>IF(A39="","",FV(INPUTS!$C$10,INPUTS!$C$7-INPUTS!$C$6-A39+IF(INPUTS!$C$12="Beginning",1,0),0,-D39,0))</f>
        <v>144010.1936900001</v>
      </c>
      <c r="W39" s="7"/>
      <c r="X39" s="7"/>
      <c r="Y39" s="21">
        <f>IF(A39="","",IF(INPUTS!$C$17="Yes",MIN(Y38*(1+INPUTS!$C$15)+IF(INPUTS!$C$27="Yes",(Z39-Z38)*INPUTS!$C$31+IF(AND(INPUTS!$C$28="Not yet credentialed",A39=INPUTS!$C$33),INPUTS!$C$32,0)+IF(AND(INPUTS!$C$28&lt;&gt;"FSA / FCAS",A39=INPUTS!$C$35),INPUTS!$C$34,0),0),INPUTS!$C$18),Y38*(1+INPUTS!$C$15)+IF(INPUTS!$C$27="Yes",(Z39-Z38)*INPUTS!$C$31+IF(AND(INPUTS!$C$28="Not yet credentialed",A39=INPUTS!$C$33),INPUTS!$C$32,0)+IF(AND(INPUTS!$C$28&lt;&gt;"FSA / FCAS",A39=INPUTS!$C$35),INPUTS!$C$34,0),0)))</f>
        <v>273717.7539858591</v>
      </c>
      <c r="Z39" s="22">
        <f>IF(A39="","",IF(AND(INPUTS!$C$27="Yes",INPUTS!$C$28&lt;&gt;"FSA / FCAS",ISNUMBER(INPUTS!$C$37)),MIN(A39*INPUTS!$C$37,INPUTS!$C$30),0))</f>
        <v>3</v>
      </c>
      <c r="AA39" s="21">
        <f t="shared" si="25"/>
        <v>225850</v>
      </c>
      <c r="AB39" s="21">
        <f t="shared" si="26"/>
        <v>47867.753985859104</v>
      </c>
      <c r="AC39" s="21">
        <f>IF(A39="","",MIN(AB39,AP39)*'CONSTANTS &amp; REFERENCES'!$A$5+MAX(MIN(AB39,AR39)-AP39,0)*'CONSTANTS &amp; REFERENCES'!$A$6+MAX(MIN(AB39,AT39)-AR39,0)*'CONSTANTS &amp; REFERENCES'!$A$7+MAX(MIN(AB39,AV39)-AT39,0)*'CONSTANTS &amp; REFERENCES'!$A$8+MAX(MIN(AB39,AX39)-AV39,0)*'CONSTANTS &amp; REFERENCES'!$A$9+MAX(MIN(AB39,AZ39)-AX39,0)*'CONSTANTS &amp; REFERENCES'!$A$10+MAX(AB39-AZ39,0)*'CONSTANTS &amp; REFERENCES'!$A$11)</f>
        <v>4786.7753985859108</v>
      </c>
      <c r="AD39" s="21">
        <f>IF(AB39="","",IF(INPUTS!$C$20="Yes",AB39*INPUTS!$C$21,0))</f>
        <v>0</v>
      </c>
      <c r="AE39" s="21">
        <f>IF(Y39="","",MIN(Y39,BC39)*'CONSTANTS &amp; REFERENCES'!$B$22)</f>
        <v>16970.500747123264</v>
      </c>
      <c r="AF39" s="21">
        <f>IF(Y39="","",Y39*'CONSTANTS &amp; REFERENCES'!$B$24+MAX(0,Y39-IF(AK39="Married Filing Jointly",'CONSTANTS &amp; REFERENCES'!$C$26,IF(AK39="Married Filing Separately",'CONSTANTS &amp; REFERENCES'!$C$27,IF(AK39="Head of Household",'CONSTANTS &amp; REFERENCES'!$C$28,'CONSTANTS &amp; REFERENCES'!$C$25))))*'CONSTANTS &amp; REFERENCES'!$B$25)</f>
        <v>4182.3672186676886</v>
      </c>
      <c r="AG39" s="21">
        <f t="shared" si="15"/>
        <v>21152.867965790952</v>
      </c>
      <c r="AH39" s="21">
        <f t="shared" si="16"/>
        <v>25939.643364376861</v>
      </c>
      <c r="AI39" s="21">
        <f t="shared" si="17"/>
        <v>247778.11062148225</v>
      </c>
      <c r="AJ39" s="21">
        <f t="shared" si="18"/>
        <v>0</v>
      </c>
      <c r="AK39" s="7" t="str">
        <f>IF(A39="","",IF(AND(INPUTS!$C$43="Yes",A39&gt;=INPUTS!$C$45),INPUTS!$C$44,INPUTS!$C$19))</f>
        <v>Married Filing Jointly</v>
      </c>
      <c r="AL39" s="23">
        <f t="shared" si="27"/>
        <v>7.0148326435013502</v>
      </c>
      <c r="AM39" s="24">
        <f>IF(A39="","",(IF(OR(AK39="Single",AK39="Married Filing Separately"),'CONSTANTS &amp; REFERENCES'!$B$13,IF(AK39="Married Filing Jointly",'CONSTANTS &amp; REFERENCES'!$G$13,IF(AK39="Head of Household",'CONSTANTS &amp; REFERENCES'!$L$13,""))))*AL39)</f>
        <v>225877.61112074347</v>
      </c>
      <c r="AN39" s="21">
        <f>IF(AM39="","",IF(A39=0,IF(OR(AK39="Single",AK39="Married Filing Separately"),'CONSTANTS &amp; REFERENCES'!$B$13,IF(AK39="Married Filing Jointly",'CONSTANTS &amp; REFERENCES'!$G$13,IF(AK39="Head of Household",'CONSTANTS &amp; REFERENCES'!$L$13,""))),_xlfn.FLOOR.MATH(AM39,IF(AK39="Married Filing Separately",Bracket_Round_MFS,Bracket_Round_Standard))))</f>
        <v>225850</v>
      </c>
      <c r="AO39" s="24">
        <f>IF(A39="","",(IF(OR(AK39="Single",AK39="Married Filing Separately"),'CONSTANTS &amp; REFERENCES'!$C$5,IF(AK39="Married Filing Jointly",'CONSTANTS &amp; REFERENCES'!$H$5,IF(AK39="Head of Household",'CONSTANTS &amp; REFERENCES'!$M$5,""))))*AL39)</f>
        <v>173967.84955883349</v>
      </c>
      <c r="AP39" s="21">
        <f>IF(AO39="","",IF(A39=0,IF(OR(AK39="Single",AK39="Married Filing Separately"),'CONSTANTS &amp; REFERENCES'!$C$5,IF(AK39="Married Filing Jointly",'CONSTANTS &amp; REFERENCES'!$H$5,IF(AK39="Head of Household",'CONSTANTS &amp; REFERENCES'!$M$5,""))),_xlfn.FLOOR.MATH(AO39,IF(AK39="Married Filing Separately",Bracket_Round_MFS,Bracket_Round_Standard))))</f>
        <v>173950</v>
      </c>
      <c r="AQ39" s="24">
        <f>IF(A39="","",(IF(OR(AK39="Single",AK39="Married Filing Separately"),'CONSTANTS &amp; REFERENCES'!$C$6,IF(AK39="Married Filing Jointly",'CONSTANTS &amp; REFERENCES'!$H$6,IF(AK39="Head of Household",'CONSTANTS &amp; REFERENCES'!$M$6,""))))*AL39)</f>
        <v>707095.13046493614</v>
      </c>
      <c r="AR39" s="21">
        <f>IF(AQ39="","",IF(A39=0,IF(OR(AK39="Single",AK39="Married Filing Separately"),'CONSTANTS &amp; REFERENCES'!$C$6,IF(AK39="Married Filing Jointly",'CONSTANTS &amp; REFERENCES'!$H$6,IF(AK39="Head of Household",'CONSTANTS &amp; REFERENCES'!$M$6,""))),_xlfn.FLOOR.MATH(AQ39,IF(AK39="Married Filing Separately",Bracket_Round_MFS,Bracket_Round_Standard))))</f>
        <v>707050</v>
      </c>
      <c r="AS39" s="24">
        <f>IF(A39="","",(IF(OR(AK39="Single",AK39="Married Filing Separately"),'CONSTANTS &amp; REFERENCES'!$C$7,IF(AK39="Married Filing Jointly",'CONSTANTS &amp; REFERENCES'!$H$7,IF(AK39="Head of Household",'CONSTANTS &amp; REFERENCES'!$M$7,""))))*AL39)</f>
        <v>1482935.6208361855</v>
      </c>
      <c r="AT39" s="21">
        <f>IF(AS39="","",IF(A39=0,IF(OR(AK39="Single",AK39="Married Filing Separately"),'CONSTANTS &amp; REFERENCES'!$C$7,IF(AK39="Married Filing Jointly",'CONSTANTS &amp; REFERENCES'!$H$7,IF(AK39="Head of Household",'CONSTANTS &amp; REFERENCES'!$M$7,""))),_xlfn.FLOOR.MATH(AS39,IF(AK39="Married Filing Separately",Bracket_Round_MFS,Bracket_Round_Standard))))</f>
        <v>1482900</v>
      </c>
      <c r="AU39" s="24">
        <f>IF(A39="","",(IF(OR(AK39="Single",AK39="Married Filing Separately"),'CONSTANTS &amp; REFERENCES'!$C$8,IF(AK39="Married Filing Jointly",'CONSTANTS &amp; REFERENCES'!$H$8,IF(AK39="Head of Household",'CONSTANTS &amp; REFERENCES'!$M$8,""))))*AL39)</f>
        <v>2830835.7132849698</v>
      </c>
      <c r="AV39" s="21">
        <f>IF(AU39="","",IF(A39=0,IF(OR(AK39="Single",AK39="Married Filing Separately"),'CONSTANTS &amp; REFERENCES'!$C$8,IF(AK39="Married Filing Jointly",'CONSTANTS &amp; REFERENCES'!$H$8,IF(AK39="Head of Household",'CONSTANTS &amp; REFERENCES'!$M$8,""))),_xlfn.FLOOR.MATH(AU39,IF(AK39="Married Filing Separately",Bracket_Round_MFS,Bracket_Round_Standard))))</f>
        <v>2830800</v>
      </c>
      <c r="AW39" s="24">
        <f>IF(A39="","",(IF(OR(AK39="Single",AK39="Married Filing Separately"),'CONSTANTS &amp; REFERENCES'!$C$9,IF(AK39="Married Filing Jointly",'CONSTANTS &amp; REFERENCES'!$H$9,IF(AK39="Head of Household",'CONSTANTS &amp; REFERENCES'!$M$9,""))))*AL39)</f>
        <v>3594750.988162267</v>
      </c>
      <c r="AX39" s="21">
        <f>IF(AW39="","",IF(A39=0,IF(OR(AK39="Single",AK39="Married Filing Separately"),'CONSTANTS &amp; REFERENCES'!$C$9,IF(AK39="Married Filing Jointly",'CONSTANTS &amp; REFERENCES'!$H$9,IF(AK39="Head of Household",'CONSTANTS &amp; REFERENCES'!$M$9,""))),_xlfn.FLOOR.MATH(AW39,IF(AK39="Married Filing Separately",Bracket_Round_MFS,Bracket_Round_Standard))))</f>
        <v>3594750</v>
      </c>
      <c r="AY39" s="24">
        <f>IF(A39="","",(IF(OR(AK39="Single",AK39="Married Filing Separately"),'CONSTANTS &amp; REFERENCES'!$C$10,IF(AK39="Married Filing Jointly",'CONSTANTS &amp; REFERENCES'!$H$10,IF(AK39="Head of Household",'CONSTANTS &amp; REFERENCES'!$M$10,""))))*AL39)</f>
        <v>5391600.369795138</v>
      </c>
      <c r="AZ39" s="21">
        <f>IF(AY39="","",IF(A39=0,IF(OR(AK39="Single",AK39="Married Filing Separately"),'CONSTANTS &amp; REFERENCES'!$C$10,IF(AK39="Married Filing Jointly",'CONSTANTS &amp; REFERENCES'!$H$10,IF(AK39="Head of Household",'CONSTANTS &amp; REFERENCES'!$M$10,""))),_xlfn.FLOOR.MATH(AY39,IF(AK39="Married Filing Separately",Bracket_Round_MFS,Bracket_Round_Standard))))</f>
        <v>5391600</v>
      </c>
      <c r="BA39" s="7" t="str">
        <f t="shared" si="28"/>
        <v>Illustrative future tax assumptions under simplified C-CPI-U indexing; not an IRS forecast.</v>
      </c>
      <c r="BB39" s="7">
        <f>IF(A39="","",'CONSTANTS &amp; REFERENCES'!$C$22*AL39)</f>
        <v>1294236.6227259992</v>
      </c>
      <c r="BC39" s="21">
        <f t="shared" si="19"/>
        <v>1294200</v>
      </c>
    </row>
    <row r="40" spans="1:55" ht="18" customHeight="1" x14ac:dyDescent="0.3">
      <c r="A40" s="10">
        <f>IF(A39&lt;INPUTS!$C$7-INPUTS!$C$6,A39+1,"")</f>
        <v>38</v>
      </c>
      <c r="B40" s="10">
        <f>IF(A40="","",INPUTS!$C$6+A40)</f>
        <v>60</v>
      </c>
      <c r="C40" s="11">
        <f t="shared" si="29"/>
        <v>5836499.5395093411</v>
      </c>
      <c r="D40" s="11">
        <f>IF(A40="","",IF(A40&lt;INPUTS!$C$13,0,J40))</f>
        <v>78500</v>
      </c>
      <c r="E40" s="12" t="str">
        <f>IF(A40="","",IF(D40=0,"—",IF(Y40&lt;IF(AK40="Married Filing Jointly",'CONSTANTS &amp; REFERENCES'!$B$44,IF(AK40="Married Filing Separately",'CONSTANTS &amp; REFERENCES'!$B$45,'CONSTANTS &amp; REFERENCES'!$B$43)),"Direct","Backdoor")))</f>
        <v>Backdoor</v>
      </c>
      <c r="F40" s="13">
        <f t="shared" si="20"/>
        <v>68656.892602745167</v>
      </c>
      <c r="G40" s="14">
        <f t="shared" si="21"/>
        <v>68500</v>
      </c>
      <c r="H40" s="13">
        <f t="shared" si="22"/>
        <v>10069.677581735958</v>
      </c>
      <c r="I40" s="14">
        <f t="shared" si="23"/>
        <v>10000</v>
      </c>
      <c r="J40" s="14">
        <f t="shared" si="24"/>
        <v>78500</v>
      </c>
      <c r="K40" s="11">
        <f>IF(A40="","",IF(INPUTS!$C$12="Beginning",(C40+D40)*INPUTS!$C$10,C40*INPUTS!$C$10))</f>
        <v>591499.95395093411</v>
      </c>
      <c r="L40" s="11">
        <f>IF(A40="","",IF(INPUTS!$C$12="Beginning",(C40+D40)*(1+INPUTS!$C$10),C40*(1+INPUTS!$C$10)+D40))</f>
        <v>6506499.4934602762</v>
      </c>
      <c r="M40" s="15">
        <f>IF(A40="","",(1+INPUTS!$C$11)^A40)</f>
        <v>9.1542523470326884</v>
      </c>
      <c r="N40" s="11">
        <f t="shared" si="30"/>
        <v>710762.52290219313</v>
      </c>
      <c r="O40" s="11">
        <f t="shared" si="31"/>
        <v>1161500</v>
      </c>
      <c r="P40" s="11">
        <f>IF(A40="","",L40-INPUTS!$C$8-O40)</f>
        <v>5344999.4934602762</v>
      </c>
      <c r="Q40" s="16"/>
      <c r="R40" s="16"/>
      <c r="S40" s="16">
        <f t="shared" si="32"/>
        <v>60</v>
      </c>
      <c r="T40" s="18">
        <f t="shared" si="33"/>
        <v>6506499.4934602762</v>
      </c>
      <c r="U40" s="18">
        <f t="shared" si="34"/>
        <v>710762.52290219313</v>
      </c>
      <c r="V40" s="19">
        <f>IF(A40="","",FV(INPUTS!$C$10,INPUTS!$C$7-INPUTS!$C$6-A40+IF(INPUTS!$C$12="Beginning",1,0),0,-D40,0))</f>
        <v>139067.53850000005</v>
      </c>
      <c r="W40" s="7"/>
      <c r="X40" s="7"/>
      <c r="Y40" s="21">
        <f>IF(A40="","",IF(INPUTS!$C$17="Yes",MIN(Y39*(1+INPUTS!$C$15)+IF(INPUTS!$C$27="Yes",(Z40-Z39)*INPUTS!$C$31+IF(AND(INPUTS!$C$28="Not yet credentialed",A40=INPUTS!$C$33),INPUTS!$C$32,0)+IF(AND(INPUTS!$C$28&lt;&gt;"FSA / FCAS",A40=INPUTS!$C$35),INPUTS!$C$34,0),0),INPUTS!$C$18),Y39*(1+INPUTS!$C$15)+IF(INPUTS!$C$27="Yes",(Z40-Z39)*INPUTS!$C$31+IF(AND(INPUTS!$C$28="Not yet credentialed",A40=INPUTS!$C$33),INPUTS!$C$32,0)+IF(AND(INPUTS!$C$28&lt;&gt;"FSA / FCAS",A40=INPUTS!$C$35),INPUTS!$C$34,0),0)))</f>
        <v>281929.2866054349</v>
      </c>
      <c r="Z40" s="22">
        <f>IF(A40="","",IF(AND(INPUTS!$C$27="Yes",INPUTS!$C$28&lt;&gt;"FSA / FCAS",ISNUMBER(INPUTS!$C$37)),MIN(A40*INPUTS!$C$37,INPUTS!$C$30),0))</f>
        <v>3</v>
      </c>
      <c r="AA40" s="21">
        <f t="shared" si="25"/>
        <v>238050</v>
      </c>
      <c r="AB40" s="21">
        <f t="shared" si="26"/>
        <v>43879.2866054349</v>
      </c>
      <c r="AC40" s="21">
        <f>IF(A40="","",MIN(AB40,AP40)*'CONSTANTS &amp; REFERENCES'!$A$5+MAX(MIN(AB40,AR40)-AP40,0)*'CONSTANTS &amp; REFERENCES'!$A$6+MAX(MIN(AB40,AT40)-AR40,0)*'CONSTANTS &amp; REFERENCES'!$A$7+MAX(MIN(AB40,AV40)-AT40,0)*'CONSTANTS &amp; REFERENCES'!$A$8+MAX(MIN(AB40,AX40)-AV40,0)*'CONSTANTS &amp; REFERENCES'!$A$9+MAX(MIN(AB40,AZ40)-AX40,0)*'CONSTANTS &amp; REFERENCES'!$A$10+MAX(AB40-AZ40,0)*'CONSTANTS &amp; REFERENCES'!$A$11)</f>
        <v>4387.92866054349</v>
      </c>
      <c r="AD40" s="21">
        <f>IF(AB40="","",IF(INPUTS!$C$20="Yes",AB40*INPUTS!$C$21,0))</f>
        <v>0</v>
      </c>
      <c r="AE40" s="21">
        <f>IF(Y40="","",MIN(Y40,BC40)*'CONSTANTS &amp; REFERENCES'!$B$22)</f>
        <v>17479.615769536962</v>
      </c>
      <c r="AF40" s="21">
        <f>IF(Y40="","",Y40*'CONSTANTS &amp; REFERENCES'!$B$24+MAX(0,Y40-IF(AK40="Married Filing Jointly",'CONSTANTS &amp; REFERENCES'!$C$26,IF(AK40="Married Filing Separately",'CONSTANTS &amp; REFERENCES'!$C$27,IF(AK40="Head of Household",'CONSTANTS &amp; REFERENCES'!$C$28,'CONSTANTS &amp; REFERENCES'!$C$25))))*'CONSTANTS &amp; REFERENCES'!$B$25)</f>
        <v>4375.3382352277204</v>
      </c>
      <c r="AG40" s="21">
        <f t="shared" si="15"/>
        <v>21854.954004764681</v>
      </c>
      <c r="AH40" s="21">
        <f t="shared" si="16"/>
        <v>26242.882665308171</v>
      </c>
      <c r="AI40" s="21">
        <f t="shared" si="17"/>
        <v>255686.40394012674</v>
      </c>
      <c r="AJ40" s="21">
        <f t="shared" si="18"/>
        <v>0</v>
      </c>
      <c r="AK40" s="7" t="str">
        <f>IF(A40="","",IF(AND(INPUTS!$C$43="Yes",A40&gt;=INPUTS!$C$45),INPUTS!$C$44,INPUTS!$C$19))</f>
        <v>Married Filing Jointly</v>
      </c>
      <c r="AL40" s="23">
        <f t="shared" si="27"/>
        <v>7.3940544962090318</v>
      </c>
      <c r="AM40" s="24">
        <f>IF(A40="","",(IF(OR(AK40="Single",AK40="Married Filing Separately"),'CONSTANTS &amp; REFERENCES'!$B$13,IF(AK40="Married Filing Jointly",'CONSTANTS &amp; REFERENCES'!$G$13,IF(AK40="Head of Household",'CONSTANTS &amp; REFERENCES'!$L$13,""))))*AL40)</f>
        <v>238088.55477793081</v>
      </c>
      <c r="AN40" s="21">
        <f>IF(AM40="","",IF(A40=0,IF(OR(AK40="Single",AK40="Married Filing Separately"),'CONSTANTS &amp; REFERENCES'!$B$13,IF(AK40="Married Filing Jointly",'CONSTANTS &amp; REFERENCES'!$G$13,IF(AK40="Head of Household",'CONSTANTS &amp; REFERENCES'!$L$13,""))),_xlfn.FLOOR.MATH(AM40,IF(AK40="Married Filing Separately",Bracket_Round_MFS,Bracket_Round_Standard))))</f>
        <v>238050</v>
      </c>
      <c r="AO40" s="24">
        <f>IF(A40="","",(IF(OR(AK40="Single",AK40="Married Filing Separately"),'CONSTANTS &amp; REFERENCES'!$C$5,IF(AK40="Married Filing Jointly",'CONSTANTS &amp; REFERENCES'!$H$5,IF(AK40="Head of Household",'CONSTANTS &amp; REFERENCES'!$M$5,""))))*AL40)</f>
        <v>183372.55150598398</v>
      </c>
      <c r="AP40" s="21">
        <f>IF(AO40="","",IF(A40=0,IF(OR(AK40="Single",AK40="Married Filing Separately"),'CONSTANTS &amp; REFERENCES'!$C$5,IF(AK40="Married Filing Jointly",'CONSTANTS &amp; REFERENCES'!$H$5,IF(AK40="Head of Household",'CONSTANTS &amp; REFERENCES'!$M$5,""))),_xlfn.FLOOR.MATH(AO40,IF(AK40="Married Filing Separately",Bracket_Round_MFS,Bracket_Round_Standard))))</f>
        <v>183350</v>
      </c>
      <c r="AQ40" s="24">
        <f>IF(A40="","",(IF(OR(AK40="Single",AK40="Married Filing Separately"),'CONSTANTS &amp; REFERENCES'!$C$6,IF(AK40="Married Filing Jointly",'CONSTANTS &amp; REFERENCES'!$H$6,IF(AK40="Head of Household",'CONSTANTS &amp; REFERENCES'!$M$6,""))))*AL40)</f>
        <v>745320.69321787043</v>
      </c>
      <c r="AR40" s="21">
        <f>IF(AQ40="","",IF(A40=0,IF(OR(AK40="Single",AK40="Married Filing Separately"),'CONSTANTS &amp; REFERENCES'!$C$6,IF(AK40="Married Filing Jointly",'CONSTANTS &amp; REFERENCES'!$H$6,IF(AK40="Head of Household",'CONSTANTS &amp; REFERENCES'!$M$6,""))),_xlfn.FLOOR.MATH(AQ40,IF(AK40="Married Filing Separately",Bracket_Round_MFS,Bracket_Round_Standard))))</f>
        <v>745300</v>
      </c>
      <c r="AS40" s="24">
        <f>IF(A40="","",(IF(OR(AK40="Single",AK40="Married Filing Separately"),'CONSTANTS &amp; REFERENCES'!$C$7,IF(AK40="Married Filing Jointly",'CONSTANTS &amp; REFERENCES'!$H$7,IF(AK40="Head of Household",'CONSTANTS &amp; REFERENCES'!$M$7,""))))*AL40)</f>
        <v>1563103.1204985892</v>
      </c>
      <c r="AT40" s="21">
        <f>IF(AS40="","",IF(A40=0,IF(OR(AK40="Single",AK40="Married Filing Separately"),'CONSTANTS &amp; REFERENCES'!$C$7,IF(AK40="Married Filing Jointly",'CONSTANTS &amp; REFERENCES'!$H$7,IF(AK40="Head of Household",'CONSTANTS &amp; REFERENCES'!$M$7,""))),_xlfn.FLOOR.MATH(AS40,IF(AK40="Married Filing Separately",Bracket_Round_MFS,Bracket_Round_Standard))))</f>
        <v>1563100</v>
      </c>
      <c r="AU40" s="24">
        <f>IF(A40="","",(IF(OR(AK40="Single",AK40="Married Filing Separately"),'CONSTANTS &amp; REFERENCES'!$C$8,IF(AK40="Married Filing Jointly",'CONSTANTS &amp; REFERENCES'!$H$8,IF(AK40="Head of Household",'CONSTANTS &amp; REFERENCES'!$M$8,""))))*AL40)</f>
        <v>2983870.6919451547</v>
      </c>
      <c r="AV40" s="21">
        <f>IF(AU40="","",IF(A40=0,IF(OR(AK40="Single",AK40="Married Filing Separately"),'CONSTANTS &amp; REFERENCES'!$C$8,IF(AK40="Married Filing Jointly",'CONSTANTS &amp; REFERENCES'!$H$8,IF(AK40="Head of Household",'CONSTANTS &amp; REFERENCES'!$M$8,""))),_xlfn.FLOOR.MATH(AU40,IF(AK40="Married Filing Separately",Bracket_Round_MFS,Bracket_Round_Standard))))</f>
        <v>2983850</v>
      </c>
      <c r="AW40" s="24">
        <f>IF(A40="","",(IF(OR(AK40="Single",AK40="Married Filing Separately"),'CONSTANTS &amp; REFERENCES'!$C$9,IF(AK40="Married Filing Jointly",'CONSTANTS &amp; REFERENCES'!$H$9,IF(AK40="Head of Household",'CONSTANTS &amp; REFERENCES'!$M$9,""))))*AL40)</f>
        <v>3789083.2265823185</v>
      </c>
      <c r="AX40" s="21">
        <f>IF(AW40="","",IF(A40=0,IF(OR(AK40="Single",AK40="Married Filing Separately"),'CONSTANTS &amp; REFERENCES'!$C$9,IF(AK40="Married Filing Jointly",'CONSTANTS &amp; REFERENCES'!$H$9,IF(AK40="Head of Household",'CONSTANTS &amp; REFERENCES'!$M$9,""))),_xlfn.FLOOR.MATH(AW40,IF(AK40="Married Filing Separately",Bracket_Round_MFS,Bracket_Round_Standard))))</f>
        <v>3789050</v>
      </c>
      <c r="AY40" s="24">
        <f>IF(A40="","",(IF(OR(AK40="Single",AK40="Married Filing Separately"),'CONSTANTS &amp; REFERENCES'!$C$10,IF(AK40="Married Filing Jointly",'CONSTANTS &amp; REFERENCES'!$H$10,IF(AK40="Head of Household",'CONSTANTS &amp; REFERENCES'!$M$10,""))))*AL40)</f>
        <v>5683070.2857862618</v>
      </c>
      <c r="AZ40" s="21">
        <f>IF(AY40="","",IF(A40=0,IF(OR(AK40="Single",AK40="Married Filing Separately"),'CONSTANTS &amp; REFERENCES'!$C$10,IF(AK40="Married Filing Jointly",'CONSTANTS &amp; REFERENCES'!$H$10,IF(AK40="Head of Household",'CONSTANTS &amp; REFERENCES'!$M$10,""))),_xlfn.FLOOR.MATH(AY40,IF(AK40="Married Filing Separately",Bracket_Round_MFS,Bracket_Round_Standard))))</f>
        <v>5683050</v>
      </c>
      <c r="BA40" s="7" t="str">
        <f t="shared" si="28"/>
        <v>Illustrative future tax assumptions under simplified C-CPI-U indexing; not an IRS forecast.</v>
      </c>
      <c r="BB40" s="7">
        <f>IF(A40="","",'CONSTANTS &amp; REFERENCES'!$C$22*AL40)</f>
        <v>1364203.0545505662</v>
      </c>
      <c r="BC40" s="21">
        <f t="shared" si="19"/>
        <v>1364200</v>
      </c>
    </row>
    <row r="41" spans="1:55" ht="18" customHeight="1" x14ac:dyDescent="0.3">
      <c r="A41" s="10">
        <f>IF(A40&lt;INPUTS!$C$7-INPUTS!$C$6,A40+1,"")</f>
        <v>39</v>
      </c>
      <c r="B41" s="10">
        <f>IF(A41="","",INPUTS!$C$6+A41)</f>
        <v>61</v>
      </c>
      <c r="C41" s="11">
        <f t="shared" si="29"/>
        <v>6506499.4934602762</v>
      </c>
      <c r="D41" s="11">
        <f>IF(A41="","",IF(A41&lt;INPUTS!$C$13,0,J41))</f>
        <v>83100</v>
      </c>
      <c r="E41" s="12" t="str">
        <f>IF(A41="","",IF(D41=0,"—",IF(Y41&lt;IF(AK41="Married Filing Jointly",'CONSTANTS &amp; REFERENCES'!$B$44,IF(AK41="Married Filing Separately",'CONSTANTS &amp; REFERENCES'!$B$45,'CONSTANTS &amp; REFERENCES'!$B$43)),"Direct","Backdoor")))</f>
        <v>Backdoor</v>
      </c>
      <c r="F41" s="13">
        <f t="shared" si="20"/>
        <v>72776.30615890988</v>
      </c>
      <c r="G41" s="14">
        <f t="shared" si="21"/>
        <v>72500</v>
      </c>
      <c r="H41" s="13">
        <f t="shared" si="22"/>
        <v>10673.858236640117</v>
      </c>
      <c r="I41" s="14">
        <f t="shared" si="23"/>
        <v>10600</v>
      </c>
      <c r="J41" s="14">
        <f t="shared" si="24"/>
        <v>83100</v>
      </c>
      <c r="K41" s="11">
        <f>IF(A41="","",IF(INPUTS!$C$12="Beginning",(C41+D41)*INPUTS!$C$10,C41*INPUTS!$C$10))</f>
        <v>658959.94934602769</v>
      </c>
      <c r="L41" s="11">
        <f>IF(A41="","",IF(INPUTS!$C$12="Beginning",(C41+D41)*(1+INPUTS!$C$10),C41*(1+INPUTS!$C$10)+D41))</f>
        <v>7248559.4428063044</v>
      </c>
      <c r="M41" s="15">
        <f>IF(A41="","",(1+INPUTS!$C$11)^A41)</f>
        <v>9.703507487854651</v>
      </c>
      <c r="N41" s="11">
        <f t="shared" si="30"/>
        <v>747004.05517066165</v>
      </c>
      <c r="O41" s="11">
        <f t="shared" si="31"/>
        <v>1244600</v>
      </c>
      <c r="P41" s="11">
        <f>IF(A41="","",L41-INPUTS!$C$8-O41)</f>
        <v>6003959.4428063044</v>
      </c>
      <c r="Q41" s="16"/>
      <c r="R41" s="16"/>
      <c r="S41" s="16">
        <f t="shared" si="32"/>
        <v>61</v>
      </c>
      <c r="T41" s="18">
        <f t="shared" si="33"/>
        <v>7248559.4428063044</v>
      </c>
      <c r="U41" s="18">
        <f t="shared" si="34"/>
        <v>747004.05517066165</v>
      </c>
      <c r="V41" s="19">
        <f>IF(A41="","",FV(INPUTS!$C$10,INPUTS!$C$7-INPUTS!$C$6-A41+IF(INPUTS!$C$12="Beginning",1,0),0,-D41,0))</f>
        <v>133833.38100000005</v>
      </c>
      <c r="W41" s="7"/>
      <c r="X41" s="7"/>
      <c r="Y41" s="21">
        <f>IF(A41="","",IF(INPUTS!$C$17="Yes",MIN(Y40*(1+INPUTS!$C$15)+IF(INPUTS!$C$27="Yes",(Z41-Z40)*INPUTS!$C$31+IF(AND(INPUTS!$C$28="Not yet credentialed",A41=INPUTS!$C$33),INPUTS!$C$32,0)+IF(AND(INPUTS!$C$28&lt;&gt;"FSA / FCAS",A41=INPUTS!$C$35),INPUTS!$C$34,0),0),INPUTS!$C$18),Y40*(1+INPUTS!$C$15)+IF(INPUTS!$C$27="Yes",(Z41-Z40)*INPUTS!$C$31+IF(AND(INPUTS!$C$28="Not yet credentialed",A41=INPUTS!$C$33),INPUTS!$C$32,0)+IF(AND(INPUTS!$C$28&lt;&gt;"FSA / FCAS",A41=INPUTS!$C$35),INPUTS!$C$34,0),0)))</f>
        <v>290387.16520359798</v>
      </c>
      <c r="Z41" s="22">
        <f>IF(A41="","",IF(AND(INPUTS!$C$27="Yes",INPUTS!$C$28&lt;&gt;"FSA / FCAS",ISNUMBER(INPUTS!$C$37)),MIN(A41*INPUTS!$C$37,INPUTS!$C$30),0))</f>
        <v>3</v>
      </c>
      <c r="AA41" s="21">
        <f t="shared" si="25"/>
        <v>250950</v>
      </c>
      <c r="AB41" s="21">
        <f t="shared" si="26"/>
        <v>39437.165203597979</v>
      </c>
      <c r="AC41" s="21">
        <f>IF(A41="","",MIN(AB41,AP41)*'CONSTANTS &amp; REFERENCES'!$A$5+MAX(MIN(AB41,AR41)-AP41,0)*'CONSTANTS &amp; REFERENCES'!$A$6+MAX(MIN(AB41,AT41)-AR41,0)*'CONSTANTS &amp; REFERENCES'!$A$7+MAX(MIN(AB41,AV41)-AT41,0)*'CONSTANTS &amp; REFERENCES'!$A$8+MAX(MIN(AB41,AX41)-AV41,0)*'CONSTANTS &amp; REFERENCES'!$A$9+MAX(MIN(AB41,AZ41)-AX41,0)*'CONSTANTS &amp; REFERENCES'!$A$10+MAX(AB41-AZ41,0)*'CONSTANTS &amp; REFERENCES'!$A$11)</f>
        <v>3943.7165203597979</v>
      </c>
      <c r="AD41" s="21">
        <f>IF(AB41="","",IF(INPUTS!$C$20="Yes",AB41*INPUTS!$C$21,0))</f>
        <v>0</v>
      </c>
      <c r="AE41" s="21">
        <f>IF(Y41="","",MIN(Y41,BC41)*'CONSTANTS &amp; REFERENCES'!$B$22)</f>
        <v>18004.004242623076</v>
      </c>
      <c r="AF41" s="21">
        <f>IF(Y41="","",Y41*'CONSTANTS &amp; REFERENCES'!$B$24+MAX(0,Y41-IF(AK41="Married Filing Jointly",'CONSTANTS &amp; REFERENCES'!$C$26,IF(AK41="Married Filing Separately",'CONSTANTS &amp; REFERENCES'!$C$27,IF(AK41="Head of Household",'CONSTANTS &amp; REFERENCES'!$C$28,'CONSTANTS &amp; REFERENCES'!$C$25))))*'CONSTANTS &amp; REFERENCES'!$B$25)</f>
        <v>4574.0983822845528</v>
      </c>
      <c r="AG41" s="21">
        <f t="shared" si="15"/>
        <v>22578.102624907628</v>
      </c>
      <c r="AH41" s="21">
        <f t="shared" si="16"/>
        <v>26521.819145267425</v>
      </c>
      <c r="AI41" s="21">
        <f t="shared" si="17"/>
        <v>263865.34605833056</v>
      </c>
      <c r="AJ41" s="21">
        <f t="shared" si="18"/>
        <v>0</v>
      </c>
      <c r="AK41" s="7" t="str">
        <f>IF(A41="","",IF(AND(INPUTS!$C$43="Yes",A41&gt;=INPUTS!$C$45),INPUTS!$C$44,INPUTS!$C$19))</f>
        <v>Married Filing Jointly</v>
      </c>
      <c r="AL41" s="23">
        <f t="shared" si="27"/>
        <v>7.7937770822740937</v>
      </c>
      <c r="AM41" s="24">
        <f>IF(A41="","",(IF(OR(AK41="Single",AK41="Married Filing Separately"),'CONSTANTS &amp; REFERENCES'!$B$13,IF(AK41="Married Filing Jointly",'CONSTANTS &amp; REFERENCES'!$G$13,IF(AK41="Head of Household",'CONSTANTS &amp; REFERENCES'!$L$13,""))))*AL41)</f>
        <v>250959.62204922581</v>
      </c>
      <c r="AN41" s="21">
        <f>IF(AM41="","",IF(A41=0,IF(OR(AK41="Single",AK41="Married Filing Separately"),'CONSTANTS &amp; REFERENCES'!$B$13,IF(AK41="Married Filing Jointly",'CONSTANTS &amp; REFERENCES'!$G$13,IF(AK41="Head of Household",'CONSTANTS &amp; REFERENCES'!$L$13,""))),_xlfn.FLOOR.MATH(AM41,IF(AK41="Married Filing Separately",Bracket_Round_MFS,Bracket_Round_Standard))))</f>
        <v>250950</v>
      </c>
      <c r="AO41" s="24">
        <f>IF(A41="","",(IF(OR(AK41="Single",AK41="Married Filing Separately"),'CONSTANTS &amp; REFERENCES'!$C$5,IF(AK41="Married Filing Jointly",'CONSTANTS &amp; REFERENCES'!$H$5,IF(AK41="Head of Household",'CONSTANTS &amp; REFERENCES'!$M$5,""))))*AL41)</f>
        <v>193285.67164039752</v>
      </c>
      <c r="AP41" s="21">
        <f>IF(AO41="","",IF(A41=0,IF(OR(AK41="Single",AK41="Married Filing Separately"),'CONSTANTS &amp; REFERENCES'!$C$5,IF(AK41="Married Filing Jointly",'CONSTANTS &amp; REFERENCES'!$H$5,IF(AK41="Head of Household",'CONSTANTS &amp; REFERENCES'!$M$5,""))),_xlfn.FLOOR.MATH(AO41,IF(AK41="Married Filing Separately",Bracket_Round_MFS,Bracket_Round_Standard))))</f>
        <v>193250</v>
      </c>
      <c r="AQ41" s="24">
        <f>IF(A41="","",(IF(OR(AK41="Single",AK41="Married Filing Separately"),'CONSTANTS &amp; REFERENCES'!$C$6,IF(AK41="Married Filing Jointly",'CONSTANTS &amp; REFERENCES'!$H$6,IF(AK41="Head of Household",'CONSTANTS &amp; REFERENCES'!$M$6,""))))*AL41)</f>
        <v>785612.72989322862</v>
      </c>
      <c r="AR41" s="21">
        <f>IF(AQ41="","",IF(A41=0,IF(OR(AK41="Single",AK41="Married Filing Separately"),'CONSTANTS &amp; REFERENCES'!$C$6,IF(AK41="Married Filing Jointly",'CONSTANTS &amp; REFERENCES'!$H$6,IF(AK41="Head of Household",'CONSTANTS &amp; REFERENCES'!$M$6,""))),_xlfn.FLOOR.MATH(AQ41,IF(AK41="Married Filing Separately",Bracket_Round_MFS,Bracket_Round_Standard))))</f>
        <v>785600</v>
      </c>
      <c r="AS41" s="24">
        <f>IF(A41="","",(IF(OR(AK41="Single",AK41="Married Filing Separately"),'CONSTANTS &amp; REFERENCES'!$C$7,IF(AK41="Married Filing Jointly",'CONSTANTS &amp; REFERENCES'!$H$7,IF(AK41="Head of Household",'CONSTANTS &amp; REFERENCES'!$M$7,""))))*AL41)</f>
        <v>1647604.4751927434</v>
      </c>
      <c r="AT41" s="21">
        <f>IF(AS41="","",IF(A41=0,IF(OR(AK41="Single",AK41="Married Filing Separately"),'CONSTANTS &amp; REFERENCES'!$C$7,IF(AK41="Married Filing Jointly",'CONSTANTS &amp; REFERENCES'!$H$7,IF(AK41="Head of Household",'CONSTANTS &amp; REFERENCES'!$M$7,""))),_xlfn.FLOOR.MATH(AS41,IF(AK41="Married Filing Separately",Bracket_Round_MFS,Bracket_Round_Standard))))</f>
        <v>1647600</v>
      </c>
      <c r="AU41" s="24">
        <f>IF(A41="","",(IF(OR(AK41="Single",AK41="Married Filing Separately"),'CONSTANTS &amp; REFERENCES'!$C$8,IF(AK41="Married Filing Jointly",'CONSTANTS &amp; REFERENCES'!$H$8,IF(AK41="Head of Household",'CONSTANTS &amp; REFERENCES'!$M$8,""))))*AL41)</f>
        <v>3145178.7415517103</v>
      </c>
      <c r="AV41" s="21">
        <f>IF(AU41="","",IF(A41=0,IF(OR(AK41="Single",AK41="Married Filing Separately"),'CONSTANTS &amp; REFERENCES'!$C$8,IF(AK41="Married Filing Jointly",'CONSTANTS &amp; REFERENCES'!$H$8,IF(AK41="Head of Household",'CONSTANTS &amp; REFERENCES'!$M$8,""))),_xlfn.FLOOR.MATH(AU41,IF(AK41="Married Filing Separately",Bracket_Round_MFS,Bracket_Round_Standard))))</f>
        <v>3145150</v>
      </c>
      <c r="AW41" s="24">
        <f>IF(A41="","",(IF(OR(AK41="Single",AK41="Married Filing Separately"),'CONSTANTS &amp; REFERENCES'!$C$9,IF(AK41="Married Filing Jointly",'CONSTANTS &amp; REFERENCES'!$H$9,IF(AK41="Head of Household",'CONSTANTS &amp; REFERENCES'!$M$9,""))))*AL41)</f>
        <v>3993921.0658113593</v>
      </c>
      <c r="AX41" s="21">
        <f>IF(AW41="","",IF(A41=0,IF(OR(AK41="Single",AK41="Married Filing Separately"),'CONSTANTS &amp; REFERENCES'!$C$9,IF(AK41="Married Filing Jointly",'CONSTANTS &amp; REFERENCES'!$H$9,IF(AK41="Head of Household",'CONSTANTS &amp; REFERENCES'!$M$9,""))),_xlfn.FLOOR.MATH(AW41,IF(AK41="Married Filing Separately",Bracket_Round_MFS,Bracket_Round_Standard))))</f>
        <v>3993900</v>
      </c>
      <c r="AY41" s="24">
        <f>IF(A41="","",(IF(OR(AK41="Single",AK41="Married Filing Separately"),'CONSTANTS &amp; REFERENCES'!$C$10,IF(AK41="Married Filing Jointly",'CONSTANTS &amp; REFERENCES'!$H$10,IF(AK41="Head of Household",'CONSTANTS &amp; REFERENCES'!$M$10,""))))*AL41)</f>
        <v>5990297.0654358687</v>
      </c>
      <c r="AZ41" s="21">
        <f>IF(AY41="","",IF(A41=0,IF(OR(AK41="Single",AK41="Married Filing Separately"),'CONSTANTS &amp; REFERENCES'!$C$10,IF(AK41="Married Filing Jointly",'CONSTANTS &amp; REFERENCES'!$H$10,IF(AK41="Head of Household",'CONSTANTS &amp; REFERENCES'!$M$10,""))),_xlfn.FLOOR.MATH(AY41,IF(AK41="Married Filing Separately",Bracket_Round_MFS,Bracket_Round_Standard))))</f>
        <v>5990250</v>
      </c>
      <c r="BA41" s="7" t="str">
        <f t="shared" si="28"/>
        <v>Illustrative future tax assumptions under simplified C-CPI-U indexing; not an IRS forecast.</v>
      </c>
      <c r="BB41" s="7">
        <f>IF(A41="","",'CONSTANTS &amp; REFERENCES'!$C$22*AL41)</f>
        <v>1437951.8716795703</v>
      </c>
      <c r="BC41" s="21">
        <f t="shared" si="19"/>
        <v>1437900</v>
      </c>
    </row>
    <row r="42" spans="1:55" ht="18" customHeight="1" x14ac:dyDescent="0.3">
      <c r="A42" s="10">
        <f>IF(A41&lt;INPUTS!$C$7-INPUTS!$C$6,A41+1,"")</f>
        <v>40</v>
      </c>
      <c r="B42" s="10">
        <f>IF(A42="","",INPUTS!$C$6+A42)</f>
        <v>62</v>
      </c>
      <c r="C42" s="11">
        <f t="shared" si="29"/>
        <v>7248559.4428063044</v>
      </c>
      <c r="D42" s="11">
        <f>IF(A42="","",IF(A42&lt;INPUTS!$C$13,0,J42))</f>
        <v>88300</v>
      </c>
      <c r="E42" s="12" t="str">
        <f>IF(A42="","",IF(D42=0,"—",IF(Y42&lt;IF(AK42="Married Filing Jointly",'CONSTANTS &amp; REFERENCES'!$B$44,IF(AK42="Married Filing Separately",'CONSTANTS &amp; REFERENCES'!$B$45,'CONSTANTS &amp; REFERENCES'!$B$43)),"Direct","Backdoor")))</f>
        <v>Backdoor</v>
      </c>
      <c r="F42" s="13">
        <f t="shared" si="20"/>
        <v>77142.884528444469</v>
      </c>
      <c r="G42" s="14">
        <f t="shared" si="21"/>
        <v>77000</v>
      </c>
      <c r="H42" s="13">
        <f t="shared" si="22"/>
        <v>11314.289730838522</v>
      </c>
      <c r="I42" s="14">
        <f t="shared" si="23"/>
        <v>11300</v>
      </c>
      <c r="J42" s="14">
        <f t="shared" si="24"/>
        <v>88300</v>
      </c>
      <c r="K42" s="11">
        <f>IF(A42="","",IF(INPUTS!$C$12="Beginning",(C42+D42)*INPUTS!$C$10,C42*INPUTS!$C$10))</f>
        <v>733685.94428063044</v>
      </c>
      <c r="L42" s="11">
        <f>IF(A42="","",IF(INPUTS!$C$12="Beginning",(C42+D42)*(1+INPUTS!$C$10),C42*(1+INPUTS!$C$10)+D42))</f>
        <v>8070545.3870869353</v>
      </c>
      <c r="M42" s="15">
        <f>IF(A42="","",(1+INPUTS!$C$11)^A42)</f>
        <v>10.285717937125929</v>
      </c>
      <c r="N42" s="11">
        <f t="shared" si="30"/>
        <v>784636.07853337994</v>
      </c>
      <c r="O42" s="11">
        <f t="shared" si="31"/>
        <v>1332900</v>
      </c>
      <c r="P42" s="11">
        <f>IF(A42="","",L42-INPUTS!$C$8-O42)</f>
        <v>6737645.3870869353</v>
      </c>
      <c r="Q42" s="16"/>
      <c r="R42" s="16"/>
      <c r="S42" s="16">
        <f t="shared" si="32"/>
        <v>62</v>
      </c>
      <c r="T42" s="18">
        <f t="shared" si="33"/>
        <v>8070545.3870869353</v>
      </c>
      <c r="U42" s="18">
        <f t="shared" si="34"/>
        <v>784636.07853337994</v>
      </c>
      <c r="V42" s="19">
        <f>IF(A42="","",FV(INPUTS!$C$10,INPUTS!$C$7-INPUTS!$C$6-A42+IF(INPUTS!$C$12="Beginning",1,0),0,-D42,0))</f>
        <v>129280.03000000004</v>
      </c>
      <c r="W42" s="7"/>
      <c r="X42" s="7"/>
      <c r="Y42" s="21">
        <f>IF(A42="","",IF(INPUTS!$C$17="Yes",MIN(Y41*(1+INPUTS!$C$15)+IF(INPUTS!$C$27="Yes",(Z42-Z41)*INPUTS!$C$31+IF(AND(INPUTS!$C$28="Not yet credentialed",A42=INPUTS!$C$33),INPUTS!$C$32,0)+IF(AND(INPUTS!$C$28&lt;&gt;"FSA / FCAS",A42=INPUTS!$C$35),INPUTS!$C$34,0),0),INPUTS!$C$18),Y41*(1+INPUTS!$C$15)+IF(INPUTS!$C$27="Yes",(Z42-Z41)*INPUTS!$C$31+IF(AND(INPUTS!$C$28="Not yet credentialed",A42=INPUTS!$C$33),INPUTS!$C$32,0)+IF(AND(INPUTS!$C$28&lt;&gt;"FSA / FCAS",A42=INPUTS!$C$35),INPUTS!$C$34,0),0)))</f>
        <v>299098.7801597059</v>
      </c>
      <c r="Z42" s="22">
        <f>IF(A42="","",IF(AND(INPUTS!$C$27="Yes",INPUTS!$C$28&lt;&gt;"FSA / FCAS",ISNUMBER(INPUTS!$C$37)),MIN(A42*INPUTS!$C$37,INPUTS!$C$30),0))</f>
        <v>3</v>
      </c>
      <c r="AA42" s="21">
        <f t="shared" si="25"/>
        <v>264500</v>
      </c>
      <c r="AB42" s="21">
        <f t="shared" si="26"/>
        <v>34598.780159705901</v>
      </c>
      <c r="AC42" s="21">
        <f>IF(A42="","",MIN(AB42,AP42)*'CONSTANTS &amp; REFERENCES'!$A$5+MAX(MIN(AB42,AR42)-AP42,0)*'CONSTANTS &amp; REFERENCES'!$A$6+MAX(MIN(AB42,AT42)-AR42,0)*'CONSTANTS &amp; REFERENCES'!$A$7+MAX(MIN(AB42,AV42)-AT42,0)*'CONSTANTS &amp; REFERENCES'!$A$8+MAX(MIN(AB42,AX42)-AV42,0)*'CONSTANTS &amp; REFERENCES'!$A$9+MAX(MIN(AB42,AZ42)-AX42,0)*'CONSTANTS &amp; REFERENCES'!$A$10+MAX(AB42-AZ42,0)*'CONSTANTS &amp; REFERENCES'!$A$11)</f>
        <v>3459.8780159705902</v>
      </c>
      <c r="AD42" s="21">
        <f>IF(AB42="","",IF(INPUTS!$C$20="Yes",AB42*INPUTS!$C$21,0))</f>
        <v>0</v>
      </c>
      <c r="AE42" s="21">
        <f>IF(Y42="","",MIN(Y42,BC42)*'CONSTANTS &amp; REFERENCES'!$B$22)</f>
        <v>18544.124369901765</v>
      </c>
      <c r="AF42" s="21">
        <f>IF(Y42="","",Y42*'CONSTANTS &amp; REFERENCES'!$B$24+MAX(0,Y42-IF(AK42="Married Filing Jointly",'CONSTANTS &amp; REFERENCES'!$C$26,IF(AK42="Married Filing Separately",'CONSTANTS &amp; REFERENCES'!$C$27,IF(AK42="Head of Household",'CONSTANTS &amp; REFERENCES'!$C$28,'CONSTANTS &amp; REFERENCES'!$C$25))))*'CONSTANTS &amp; REFERENCES'!$B$25)</f>
        <v>4778.8213337530888</v>
      </c>
      <c r="AG42" s="21">
        <f t="shared" si="15"/>
        <v>23322.945703654856</v>
      </c>
      <c r="AH42" s="21">
        <f t="shared" si="16"/>
        <v>26782.823719625445</v>
      </c>
      <c r="AI42" s="21">
        <f t="shared" si="17"/>
        <v>272315.95644008048</v>
      </c>
      <c r="AJ42" s="21">
        <f t="shared" si="18"/>
        <v>0</v>
      </c>
      <c r="AK42" s="7" t="str">
        <f>IF(A42="","",IF(AND(INPUTS!$C$43="Yes",A42&gt;=INPUTS!$C$45),INPUTS!$C$44,INPUTS!$C$19))</f>
        <v>Married Filing Jointly</v>
      </c>
      <c r="AL42" s="23">
        <f t="shared" si="27"/>
        <v>8.2151086713418291</v>
      </c>
      <c r="AM42" s="24">
        <f>IF(A42="","",(IF(OR(AK42="Single",AK42="Married Filing Separately"),'CONSTANTS &amp; REFERENCES'!$B$13,IF(AK42="Married Filing Jointly",'CONSTANTS &amp; REFERENCES'!$G$13,IF(AK42="Head of Household",'CONSTANTS &amp; REFERENCES'!$L$13,""))))*AL42)</f>
        <v>264526.4992172069</v>
      </c>
      <c r="AN42" s="21">
        <f>IF(AM42="","",IF(A42=0,IF(OR(AK42="Single",AK42="Married Filing Separately"),'CONSTANTS &amp; REFERENCES'!$B$13,IF(AK42="Married Filing Jointly",'CONSTANTS &amp; REFERENCES'!$G$13,IF(AK42="Head of Household",'CONSTANTS &amp; REFERENCES'!$L$13,""))),_xlfn.FLOOR.MATH(AM42,IF(AK42="Married Filing Separately",Bracket_Round_MFS,Bracket_Round_Standard))))</f>
        <v>264500</v>
      </c>
      <c r="AO42" s="24">
        <f>IF(A42="","",(IF(OR(AK42="Single",AK42="Married Filing Separately"),'CONSTANTS &amp; REFERENCES'!$C$5,IF(AK42="Married Filing Jointly",'CONSTANTS &amp; REFERENCES'!$H$5,IF(AK42="Head of Household",'CONSTANTS &amp; REFERENCES'!$M$5,""))))*AL42)</f>
        <v>203734.69504927736</v>
      </c>
      <c r="AP42" s="21">
        <f>IF(AO42="","",IF(A42=0,IF(OR(AK42="Single",AK42="Married Filing Separately"),'CONSTANTS &amp; REFERENCES'!$C$5,IF(AK42="Married Filing Jointly",'CONSTANTS &amp; REFERENCES'!$H$5,IF(AK42="Head of Household",'CONSTANTS &amp; REFERENCES'!$M$5,""))),_xlfn.FLOOR.MATH(AO42,IF(AK42="Married Filing Separately",Bracket_Round_MFS,Bracket_Round_Standard))))</f>
        <v>203700</v>
      </c>
      <c r="AQ42" s="24">
        <f>IF(A42="","",(IF(OR(AK42="Single",AK42="Married Filing Separately"),'CONSTANTS &amp; REFERENCES'!$C$6,IF(AK42="Married Filing Jointly",'CONSTANTS &amp; REFERENCES'!$H$6,IF(AK42="Head of Household",'CONSTANTS &amp; REFERENCES'!$M$6,""))))*AL42)</f>
        <v>828082.95407125633</v>
      </c>
      <c r="AR42" s="21">
        <f>IF(AQ42="","",IF(A42=0,IF(OR(AK42="Single",AK42="Married Filing Separately"),'CONSTANTS &amp; REFERENCES'!$C$6,IF(AK42="Married Filing Jointly",'CONSTANTS &amp; REFERENCES'!$H$6,IF(AK42="Head of Household",'CONSTANTS &amp; REFERENCES'!$M$6,""))),_xlfn.FLOOR.MATH(AQ42,IF(AK42="Married Filing Separately",Bracket_Round_MFS,Bracket_Round_Standard))))</f>
        <v>828050</v>
      </c>
      <c r="AS42" s="24">
        <f>IF(A42="","",(IF(OR(AK42="Single",AK42="Married Filing Separately"),'CONSTANTS &amp; REFERENCES'!$C$7,IF(AK42="Married Filing Jointly",'CONSTANTS &amp; REFERENCES'!$H$7,IF(AK42="Head of Household",'CONSTANTS &amp; REFERENCES'!$M$7,""))))*AL42)</f>
        <v>1736673.9731216626</v>
      </c>
      <c r="AT42" s="21">
        <f>IF(AS42="","",IF(A42=0,IF(OR(AK42="Single",AK42="Married Filing Separately"),'CONSTANTS &amp; REFERENCES'!$C$7,IF(AK42="Married Filing Jointly",'CONSTANTS &amp; REFERENCES'!$H$7,IF(AK42="Head of Household",'CONSTANTS &amp; REFERENCES'!$M$7,""))),_xlfn.FLOOR.MATH(AS42,IF(AK42="Married Filing Separately",Bracket_Round_MFS,Bracket_Round_Standard))))</f>
        <v>1736650</v>
      </c>
      <c r="AU42" s="24">
        <f>IF(A42="","",(IF(OR(AK42="Single",AK42="Married Filing Separately"),'CONSTANTS &amp; REFERENCES'!$C$8,IF(AK42="Married Filing Jointly",'CONSTANTS &amp; REFERENCES'!$H$8,IF(AK42="Head of Household",'CONSTANTS &amp; REFERENCES'!$M$8,""))))*AL42)</f>
        <v>3315207.1043199953</v>
      </c>
      <c r="AV42" s="21">
        <f>IF(AU42="","",IF(A42=0,IF(OR(AK42="Single",AK42="Married Filing Separately"),'CONSTANTS &amp; REFERENCES'!$C$8,IF(AK42="Married Filing Jointly",'CONSTANTS &amp; REFERENCES'!$H$8,IF(AK42="Head of Household",'CONSTANTS &amp; REFERENCES'!$M$8,""))),_xlfn.FLOOR.MATH(AU42,IF(AK42="Married Filing Separately",Bracket_Round_MFS,Bracket_Round_Standard))))</f>
        <v>3315200</v>
      </c>
      <c r="AW42" s="24">
        <f>IF(A42="","",(IF(OR(AK42="Single",AK42="Married Filing Separately"),'CONSTANTS &amp; REFERENCES'!$C$9,IF(AK42="Married Filing Jointly",'CONSTANTS &amp; REFERENCES'!$H$9,IF(AK42="Head of Household",'CONSTANTS &amp; REFERENCES'!$M$9,""))))*AL42)</f>
        <v>4209832.4386291206</v>
      </c>
      <c r="AX42" s="21">
        <f>IF(AW42="","",IF(A42=0,IF(OR(AK42="Single",AK42="Married Filing Separately"),'CONSTANTS &amp; REFERENCES'!$C$9,IF(AK42="Married Filing Jointly",'CONSTANTS &amp; REFERENCES'!$H$9,IF(AK42="Head of Household",'CONSTANTS &amp; REFERENCES'!$M$9,""))),_xlfn.FLOOR.MATH(AW42,IF(AK42="Married Filing Separately",Bracket_Round_MFS,Bracket_Round_Standard))))</f>
        <v>4209800</v>
      </c>
      <c r="AY42" s="24">
        <f>IF(A42="","",(IF(OR(AK42="Single",AK42="Married Filing Separately"),'CONSTANTS &amp; REFERENCES'!$C$10,IF(AK42="Married Filing Jointly",'CONSTANTS &amp; REFERENCES'!$H$10,IF(AK42="Head of Household",'CONSTANTS &amp; REFERENCES'!$M$10,""))))*AL42)</f>
        <v>6314132.5247933296</v>
      </c>
      <c r="AZ42" s="21">
        <f>IF(AY42="","",IF(A42=0,IF(OR(AK42="Single",AK42="Married Filing Separately"),'CONSTANTS &amp; REFERENCES'!$C$10,IF(AK42="Married Filing Jointly",'CONSTANTS &amp; REFERENCES'!$H$10,IF(AK42="Head of Household",'CONSTANTS &amp; REFERENCES'!$M$10,""))),_xlfn.FLOOR.MATH(AY42,IF(AK42="Married Filing Separately",Bracket_Round_MFS,Bracket_Round_Standard))))</f>
        <v>6314100</v>
      </c>
      <c r="BA42" s="7" t="str">
        <f t="shared" si="28"/>
        <v>Illustrative future tax assumptions under simplified C-CPI-U indexing; not an IRS forecast.</v>
      </c>
      <c r="BB42" s="7">
        <f>IF(A42="","",'CONSTANTS &amp; REFERENCES'!$C$22*AL42)</f>
        <v>1515687.5498625676</v>
      </c>
      <c r="BC42" s="21">
        <f t="shared" si="19"/>
        <v>1515600</v>
      </c>
    </row>
    <row r="43" spans="1:55" ht="18" customHeight="1" x14ac:dyDescent="0.3">
      <c r="A43" s="10">
        <f>IF(A42&lt;INPUTS!$C$7-INPUTS!$C$6,A42+1,"")</f>
        <v>41</v>
      </c>
      <c r="B43" s="10">
        <f>IF(A43="","",INPUTS!$C$6+A43)</f>
        <v>63</v>
      </c>
      <c r="C43" s="11">
        <f t="shared" si="29"/>
        <v>8070545.3870869353</v>
      </c>
      <c r="D43" s="11">
        <f>IF(A43="","",IF(A43&lt;INPUTS!$C$13,0,J43))</f>
        <v>93400</v>
      </c>
      <c r="E43" s="12" t="str">
        <f>IF(A43="","",IF(D43=0,"—",IF(Y43&lt;IF(AK43="Married Filing Jointly",'CONSTANTS &amp; REFERENCES'!$B$44,IF(AK43="Married Filing Separately",'CONSTANTS &amp; REFERENCES'!$B$45,'CONSTANTS &amp; REFERENCES'!$B$43)),"Direct","Backdoor")))</f>
        <v>Backdoor</v>
      </c>
      <c r="F43" s="13">
        <f t="shared" si="20"/>
        <v>81771.45760015113</v>
      </c>
      <c r="G43" s="14">
        <f t="shared" si="21"/>
        <v>81500</v>
      </c>
      <c r="H43" s="13">
        <f t="shared" si="22"/>
        <v>11993.147114688833</v>
      </c>
      <c r="I43" s="14">
        <f t="shared" si="23"/>
        <v>11900</v>
      </c>
      <c r="J43" s="14">
        <f t="shared" si="24"/>
        <v>93400</v>
      </c>
      <c r="K43" s="11">
        <f>IF(A43="","",IF(INPUTS!$C$12="Beginning",(C43+D43)*INPUTS!$C$10,C43*INPUTS!$C$10))</f>
        <v>816394.53870869358</v>
      </c>
      <c r="L43" s="11">
        <f>IF(A43="","",IF(INPUTS!$C$12="Beginning",(C43+D43)*(1+INPUTS!$C$10),C43*(1+INPUTS!$C$10)+D43))</f>
        <v>8980339.9257956296</v>
      </c>
      <c r="M43" s="15">
        <f>IF(A43="","",(1+INPUTS!$C$11)^A43)</f>
        <v>10.902861013353483</v>
      </c>
      <c r="N43" s="11">
        <f t="shared" si="30"/>
        <v>823668.20184140571</v>
      </c>
      <c r="O43" s="11">
        <f t="shared" si="31"/>
        <v>1426300</v>
      </c>
      <c r="P43" s="11">
        <f>IF(A43="","",L43-INPUTS!$C$8-O43)</f>
        <v>7554039.9257956296</v>
      </c>
      <c r="Q43" s="16"/>
      <c r="R43" s="16"/>
      <c r="S43" s="16">
        <f t="shared" si="32"/>
        <v>63</v>
      </c>
      <c r="T43" s="18">
        <f t="shared" si="33"/>
        <v>8980339.9257956296</v>
      </c>
      <c r="U43" s="18">
        <f t="shared" si="34"/>
        <v>823668.20184140571</v>
      </c>
      <c r="V43" s="19">
        <f>IF(A43="","",FV(INPUTS!$C$10,INPUTS!$C$7-INPUTS!$C$6-A43+IF(INPUTS!$C$12="Beginning",1,0),0,-D43,0))</f>
        <v>124315.40000000004</v>
      </c>
      <c r="W43" s="7"/>
      <c r="X43" s="7"/>
      <c r="Y43" s="21">
        <f>IF(A43="","",IF(INPUTS!$C$17="Yes",MIN(Y42*(1+INPUTS!$C$15)+IF(INPUTS!$C$27="Yes",(Z43-Z42)*INPUTS!$C$31+IF(AND(INPUTS!$C$28="Not yet credentialed",A43=INPUTS!$C$33),INPUTS!$C$32,0)+IF(AND(INPUTS!$C$28&lt;&gt;"FSA / FCAS",A43=INPUTS!$C$35),INPUTS!$C$34,0),0),INPUTS!$C$18),Y42*(1+INPUTS!$C$15)+IF(INPUTS!$C$27="Yes",(Z43-Z42)*INPUTS!$C$31+IF(AND(INPUTS!$C$28="Not yet credentialed",A43=INPUTS!$C$33),INPUTS!$C$32,0)+IF(AND(INPUTS!$C$28&lt;&gt;"FSA / FCAS",A43=INPUTS!$C$35),INPUTS!$C$34,0),0)))</f>
        <v>308071.7435644971</v>
      </c>
      <c r="Z43" s="22">
        <f>IF(A43="","",IF(AND(INPUTS!$C$27="Yes",INPUTS!$C$28&lt;&gt;"FSA / FCAS",ISNUMBER(INPUTS!$C$37)),MIN(A43*INPUTS!$C$37,INPUTS!$C$30),0))</f>
        <v>3</v>
      </c>
      <c r="AA43" s="21">
        <f t="shared" si="25"/>
        <v>278800</v>
      </c>
      <c r="AB43" s="21">
        <f t="shared" si="26"/>
        <v>29271.743564497097</v>
      </c>
      <c r="AC43" s="21">
        <f>IF(A43="","",MIN(AB43,AP43)*'CONSTANTS &amp; REFERENCES'!$A$5+MAX(MIN(AB43,AR43)-AP43,0)*'CONSTANTS &amp; REFERENCES'!$A$6+MAX(MIN(AB43,AT43)-AR43,0)*'CONSTANTS &amp; REFERENCES'!$A$7+MAX(MIN(AB43,AV43)-AT43,0)*'CONSTANTS &amp; REFERENCES'!$A$8+MAX(MIN(AB43,AX43)-AV43,0)*'CONSTANTS &amp; REFERENCES'!$A$9+MAX(MIN(AB43,AZ43)-AX43,0)*'CONSTANTS &amp; REFERENCES'!$A$10+MAX(AB43-AZ43,0)*'CONSTANTS &amp; REFERENCES'!$A$11)</f>
        <v>2927.1743564497101</v>
      </c>
      <c r="AD43" s="21">
        <f>IF(AB43="","",IF(INPUTS!$C$20="Yes",AB43*INPUTS!$C$21,0))</f>
        <v>0</v>
      </c>
      <c r="AE43" s="21">
        <f>IF(Y43="","",MIN(Y43,BC43)*'CONSTANTS &amp; REFERENCES'!$B$22)</f>
        <v>19100.448100998819</v>
      </c>
      <c r="AF43" s="21">
        <f>IF(Y43="","",Y43*'CONSTANTS &amp; REFERENCES'!$B$24+MAX(0,Y43-IF(AK43="Married Filing Jointly",'CONSTANTS &amp; REFERENCES'!$C$26,IF(AK43="Married Filing Separately",'CONSTANTS &amp; REFERENCES'!$C$27,IF(AK43="Head of Household",'CONSTANTS &amp; REFERENCES'!$C$28,'CONSTANTS &amp; REFERENCES'!$C$25))))*'CONSTANTS &amp; REFERENCES'!$B$25)</f>
        <v>4989.6859737656823</v>
      </c>
      <c r="AG43" s="21">
        <f t="shared" si="15"/>
        <v>24090.134074764501</v>
      </c>
      <c r="AH43" s="21">
        <f t="shared" si="16"/>
        <v>27017.308431214209</v>
      </c>
      <c r="AI43" s="21">
        <f t="shared" si="17"/>
        <v>281054.43513328291</v>
      </c>
      <c r="AJ43" s="21">
        <f t="shared" si="18"/>
        <v>0</v>
      </c>
      <c r="AK43" s="7" t="str">
        <f>IF(A43="","",IF(AND(INPUTS!$C$43="Yes",A43&gt;=INPUTS!$C$45),INPUTS!$C$44,INPUTS!$C$19))</f>
        <v>Married Filing Jointly</v>
      </c>
      <c r="AL43" s="23">
        <f t="shared" si="27"/>
        <v>8.6592174461145692</v>
      </c>
      <c r="AM43" s="24">
        <f>IF(A43="","",(IF(OR(AK43="Single",AK43="Married Filing Separately"),'CONSTANTS &amp; REFERENCES'!$B$13,IF(AK43="Married Filing Jointly",'CONSTANTS &amp; REFERENCES'!$G$13,IF(AK43="Head of Household",'CONSTANTS &amp; REFERENCES'!$L$13,""))))*AL43)</f>
        <v>278826.80176488915</v>
      </c>
      <c r="AN43" s="21">
        <f>IF(AM43="","",IF(A43=0,IF(OR(AK43="Single",AK43="Married Filing Separately"),'CONSTANTS &amp; REFERENCES'!$B$13,IF(AK43="Married Filing Jointly",'CONSTANTS &amp; REFERENCES'!$G$13,IF(AK43="Head of Household",'CONSTANTS &amp; REFERENCES'!$L$13,""))),_xlfn.FLOOR.MATH(AM43,IF(AK43="Married Filing Separately",Bracket_Round_MFS,Bracket_Round_Standard))))</f>
        <v>278800</v>
      </c>
      <c r="AO43" s="24">
        <f>IF(A43="","",(IF(OR(AK43="Single",AK43="Married Filing Separately"),'CONSTANTS &amp; REFERENCES'!$C$5,IF(AK43="Married Filing Jointly",'CONSTANTS &amp; REFERENCES'!$H$5,IF(AK43="Head of Household",'CONSTANTS &amp; REFERENCES'!$M$5,""))))*AL43)</f>
        <v>214748.59266364132</v>
      </c>
      <c r="AP43" s="21">
        <f>IF(AO43="","",IF(A43=0,IF(OR(AK43="Single",AK43="Married Filing Separately"),'CONSTANTS &amp; REFERENCES'!$C$5,IF(AK43="Married Filing Jointly",'CONSTANTS &amp; REFERENCES'!$H$5,IF(AK43="Head of Household",'CONSTANTS &amp; REFERENCES'!$M$5,""))),_xlfn.FLOOR.MATH(AO43,IF(AK43="Married Filing Separately",Bracket_Round_MFS,Bracket_Round_Standard))))</f>
        <v>214700</v>
      </c>
      <c r="AQ43" s="24">
        <f>IF(A43="","",(IF(OR(AK43="Single",AK43="Married Filing Separately"),'CONSTANTS &amp; REFERENCES'!$C$6,IF(AK43="Married Filing Jointly",'CONSTANTS &amp; REFERENCES'!$H$6,IF(AK43="Head of Household",'CONSTANTS &amp; REFERENCES'!$M$6,""))))*AL43)</f>
        <v>872849.11856834858</v>
      </c>
      <c r="AR43" s="21">
        <f>IF(AQ43="","",IF(A43=0,IF(OR(AK43="Single",AK43="Married Filing Separately"),'CONSTANTS &amp; REFERENCES'!$C$6,IF(AK43="Married Filing Jointly",'CONSTANTS &amp; REFERENCES'!$H$6,IF(AK43="Head of Household",'CONSTANTS &amp; REFERENCES'!$M$6,""))),_xlfn.FLOOR.MATH(AQ43,IF(AK43="Married Filing Separately",Bracket_Round_MFS,Bracket_Round_Standard))))</f>
        <v>872800</v>
      </c>
      <c r="AS43" s="24">
        <f>IF(A43="","",(IF(OR(AK43="Single",AK43="Married Filing Separately"),'CONSTANTS &amp; REFERENCES'!$C$7,IF(AK43="Married Filing Jointly",'CONSTANTS &amp; REFERENCES'!$H$7,IF(AK43="Head of Household",'CONSTANTS &amp; REFERENCES'!$M$7,""))))*AL43)</f>
        <v>1830558.5681086199</v>
      </c>
      <c r="AT43" s="21">
        <f>IF(AS43="","",IF(A43=0,IF(OR(AK43="Single",AK43="Married Filing Separately"),'CONSTANTS &amp; REFERENCES'!$C$7,IF(AK43="Married Filing Jointly",'CONSTANTS &amp; REFERENCES'!$H$7,IF(AK43="Head of Household",'CONSTANTS &amp; REFERENCES'!$M$7,""))),_xlfn.FLOOR.MATH(AS43,IF(AK43="Married Filing Separately",Bracket_Round_MFS,Bracket_Round_Standard))))</f>
        <v>1830550</v>
      </c>
      <c r="AU43" s="24">
        <f>IF(A43="","",(IF(OR(AK43="Single",AK43="Married Filing Separately"),'CONSTANTS &amp; REFERENCES'!$C$8,IF(AK43="Married Filing Jointly",'CONSTANTS &amp; REFERENCES'!$H$8,IF(AK43="Head of Household",'CONSTANTS &amp; REFERENCES'!$M$8,""))))*AL43)</f>
        <v>3494427.2003795346</v>
      </c>
      <c r="AV43" s="21">
        <f>IF(AU43="","",IF(A43=0,IF(OR(AK43="Single",AK43="Married Filing Separately"),'CONSTANTS &amp; REFERENCES'!$C$8,IF(AK43="Married Filing Jointly",'CONSTANTS &amp; REFERENCES'!$H$8,IF(AK43="Head of Household",'CONSTANTS &amp; REFERENCES'!$M$8,""))),_xlfn.FLOOR.MATH(AU43,IF(AK43="Married Filing Separately",Bracket_Round_MFS,Bracket_Round_Standard))))</f>
        <v>3494400</v>
      </c>
      <c r="AW43" s="24">
        <f>IF(A43="","",(IF(OR(AK43="Single",AK43="Married Filing Separately"),'CONSTANTS &amp; REFERENCES'!$C$9,IF(AK43="Married Filing Jointly",'CONSTANTS &amp; REFERENCES'!$H$9,IF(AK43="Head of Household",'CONSTANTS &amp; REFERENCES'!$M$9,""))))*AL43)</f>
        <v>4437415.9802614106</v>
      </c>
      <c r="AX43" s="21">
        <f>IF(AW43="","",IF(A43=0,IF(OR(AK43="Single",AK43="Married Filing Separately"),'CONSTANTS &amp; REFERENCES'!$C$9,IF(AK43="Married Filing Jointly",'CONSTANTS &amp; REFERENCES'!$H$9,IF(AK43="Head of Household",'CONSTANTS &amp; REFERENCES'!$M$9,""))),_xlfn.FLOOR.MATH(AW43,IF(AK43="Married Filing Separately",Bracket_Round_MFS,Bracket_Round_Standard))))</f>
        <v>4437400</v>
      </c>
      <c r="AY43" s="24">
        <f>IF(A43="","",(IF(OR(AK43="Single",AK43="Married Filing Separately"),'CONSTANTS &amp; REFERENCES'!$C$10,IF(AK43="Married Filing Jointly",'CONSTANTS &amp; REFERENCES'!$H$10,IF(AK43="Head of Household",'CONSTANTS &amp; REFERENCES'!$M$10,""))))*AL43)</f>
        <v>6655474.529083658</v>
      </c>
      <c r="AZ43" s="21">
        <f>IF(AY43="","",IF(A43=0,IF(OR(AK43="Single",AK43="Married Filing Separately"),'CONSTANTS &amp; REFERENCES'!$C$10,IF(AK43="Married Filing Jointly",'CONSTANTS &amp; REFERENCES'!$H$10,IF(AK43="Head of Household",'CONSTANTS &amp; REFERENCES'!$M$10,""))),_xlfn.FLOOR.MATH(AY43,IF(AK43="Married Filing Separately",Bracket_Round_MFS,Bracket_Round_Standard))))</f>
        <v>6655450</v>
      </c>
      <c r="BA43" s="7" t="str">
        <f t="shared" si="28"/>
        <v>Illustrative future tax assumptions under simplified C-CPI-U indexing; not an IRS forecast.</v>
      </c>
      <c r="BB43" s="7">
        <f>IF(A43="","",'CONSTANTS &amp; REFERENCES'!$C$22*AL43)</f>
        <v>1597625.618808138</v>
      </c>
      <c r="BC43" s="21">
        <f t="shared" si="19"/>
        <v>1597600</v>
      </c>
    </row>
    <row r="44" spans="1:55" ht="18" customHeight="1" x14ac:dyDescent="0.3">
      <c r="A44" s="10">
        <f>IF(A43&lt;INPUTS!$C$7-INPUTS!$C$6,A43+1,"")</f>
        <v>42</v>
      </c>
      <c r="B44" s="10">
        <f>IF(A44="","",INPUTS!$C$6+A44)</f>
        <v>64</v>
      </c>
      <c r="C44" s="11">
        <f t="shared" si="29"/>
        <v>8980339.9257956296</v>
      </c>
      <c r="D44" s="11">
        <f>IF(A44="","",IF(A44&lt;INPUTS!$C$13,0,J44))</f>
        <v>99200</v>
      </c>
      <c r="E44" s="12" t="str">
        <f>IF(A44="","",IF(D44=0,"—",IF(Y44&lt;IF(AK44="Married Filing Jointly",'CONSTANTS &amp; REFERENCES'!$B$44,IF(AK44="Married Filing Separately",'CONSTANTS &amp; REFERENCES'!$B$45,'CONSTANTS &amp; REFERENCES'!$B$43)),"Direct","Backdoor")))</f>
        <v>Backdoor</v>
      </c>
      <c r="F44" s="13">
        <f t="shared" si="20"/>
        <v>86677.745056160202</v>
      </c>
      <c r="G44" s="14">
        <f t="shared" si="21"/>
        <v>86500</v>
      </c>
      <c r="H44" s="13">
        <f t="shared" si="22"/>
        <v>12712.735941570163</v>
      </c>
      <c r="I44" s="14">
        <f t="shared" si="23"/>
        <v>12700</v>
      </c>
      <c r="J44" s="14">
        <f t="shared" si="24"/>
        <v>99200</v>
      </c>
      <c r="K44" s="11">
        <f>IF(A44="","",IF(INPUTS!$C$12="Beginning",(C44+D44)*INPUTS!$C$10,C44*INPUTS!$C$10))</f>
        <v>907953.99257956306</v>
      </c>
      <c r="L44" s="11">
        <f>IF(A44="","",IF(INPUTS!$C$12="Beginning",(C44+D44)*(1+INPUTS!$C$10),C44*(1+INPUTS!$C$10)+D44))</f>
        <v>9987493.9183751941</v>
      </c>
      <c r="M44" s="15">
        <f>IF(A44="","",(1+INPUTS!$C$11)^A44)</f>
        <v>11.557032674154694</v>
      </c>
      <c r="N44" s="11">
        <f t="shared" si="30"/>
        <v>864191.89077058656</v>
      </c>
      <c r="O44" s="11">
        <f t="shared" si="31"/>
        <v>1525500</v>
      </c>
      <c r="P44" s="11">
        <f>IF(A44="","",L44-INPUTS!$C$8-O44)</f>
        <v>8461993.9183751941</v>
      </c>
      <c r="Q44" s="16"/>
      <c r="R44" s="16"/>
      <c r="S44" s="16">
        <f t="shared" si="32"/>
        <v>64</v>
      </c>
      <c r="T44" s="18">
        <f t="shared" si="33"/>
        <v>9987493.9183751941</v>
      </c>
      <c r="U44" s="18">
        <f t="shared" si="34"/>
        <v>864191.89077058656</v>
      </c>
      <c r="V44" s="19">
        <f>IF(A44="","",FV(INPUTS!$C$10,INPUTS!$C$7-INPUTS!$C$6-A44+IF(INPUTS!$C$12="Beginning",1,0),0,-D44,0))</f>
        <v>120032.00000000001</v>
      </c>
      <c r="W44" s="7"/>
      <c r="X44" s="7"/>
      <c r="Y44" s="21">
        <f>IF(A44="","",IF(INPUTS!$C$17="Yes",MIN(Y43*(1+INPUTS!$C$15)+IF(INPUTS!$C$27="Yes",(Z44-Z43)*INPUTS!$C$31+IF(AND(INPUTS!$C$28="Not yet credentialed",A44=INPUTS!$C$33),INPUTS!$C$32,0)+IF(AND(INPUTS!$C$28&lt;&gt;"FSA / FCAS",A44=INPUTS!$C$35),INPUTS!$C$34,0),0),INPUTS!$C$18),Y43*(1+INPUTS!$C$15)+IF(INPUTS!$C$27="Yes",(Z44-Z43)*INPUTS!$C$31+IF(AND(INPUTS!$C$28="Not yet credentialed",A44=INPUTS!$C$33),INPUTS!$C$32,0)+IF(AND(INPUTS!$C$28&lt;&gt;"FSA / FCAS",A44=INPUTS!$C$35),INPUTS!$C$34,0),0)))</f>
        <v>317313.89587143203</v>
      </c>
      <c r="Z44" s="22">
        <f>IF(A44="","",IF(AND(INPUTS!$C$27="Yes",INPUTS!$C$28&lt;&gt;"FSA / FCAS",ISNUMBER(INPUTS!$C$37)),MIN(A44*INPUTS!$C$37,INPUTS!$C$30),0))</f>
        <v>3</v>
      </c>
      <c r="AA44" s="21">
        <f t="shared" si="25"/>
        <v>293900</v>
      </c>
      <c r="AB44" s="21">
        <f t="shared" si="26"/>
        <v>23413.895871432032</v>
      </c>
      <c r="AC44" s="21">
        <f>IF(A44="","",MIN(AB44,AP44)*'CONSTANTS &amp; REFERENCES'!$A$5+MAX(MIN(AB44,AR44)-AP44,0)*'CONSTANTS &amp; REFERENCES'!$A$6+MAX(MIN(AB44,AT44)-AR44,0)*'CONSTANTS &amp; REFERENCES'!$A$7+MAX(MIN(AB44,AV44)-AT44,0)*'CONSTANTS &amp; REFERENCES'!$A$8+MAX(MIN(AB44,AX44)-AV44,0)*'CONSTANTS &amp; REFERENCES'!$A$9+MAX(MIN(AB44,AZ44)-AX44,0)*'CONSTANTS &amp; REFERENCES'!$A$10+MAX(AB44-AZ44,0)*'CONSTANTS &amp; REFERENCES'!$A$11)</f>
        <v>2341.3895871432032</v>
      </c>
      <c r="AD44" s="21">
        <f>IF(AB44="","",IF(INPUTS!$C$20="Yes",AB44*INPUTS!$C$21,0))</f>
        <v>0</v>
      </c>
      <c r="AE44" s="21">
        <f>IF(Y44="","",MIN(Y44,BC44)*'CONSTANTS &amp; REFERENCES'!$B$22)</f>
        <v>19673.461544028785</v>
      </c>
      <c r="AF44" s="21">
        <f>IF(Y44="","",Y44*'CONSTANTS &amp; REFERENCES'!$B$24+MAX(0,Y44-IF(AK44="Married Filing Jointly",'CONSTANTS &amp; REFERENCES'!$C$26,IF(AK44="Married Filing Separately",'CONSTANTS &amp; REFERENCES'!$C$27,IF(AK44="Head of Household",'CONSTANTS &amp; REFERENCES'!$C$28,'CONSTANTS &amp; REFERENCES'!$C$25))))*'CONSTANTS &amp; REFERENCES'!$B$25)</f>
        <v>5206.8765529786524</v>
      </c>
      <c r="AG44" s="21">
        <f t="shared" si="15"/>
        <v>24880.338097007436</v>
      </c>
      <c r="AH44" s="21">
        <f t="shared" si="16"/>
        <v>27221.727684150639</v>
      </c>
      <c r="AI44" s="21">
        <f t="shared" si="17"/>
        <v>290092.16818728141</v>
      </c>
      <c r="AJ44" s="21">
        <f t="shared" si="18"/>
        <v>0</v>
      </c>
      <c r="AK44" s="7" t="str">
        <f>IF(A44="","",IF(AND(INPUTS!$C$43="Yes",A44&gt;=INPUTS!$C$45),INPUTS!$C$44,INPUTS!$C$19))</f>
        <v>Married Filing Jointly</v>
      </c>
      <c r="AL44" s="23">
        <f t="shared" si="27"/>
        <v>9.1273347412515218</v>
      </c>
      <c r="AM44" s="24">
        <f>IF(A44="","",(IF(OR(AK44="Single",AK44="Married Filing Separately"),'CONSTANTS &amp; REFERENCES'!$B$13,IF(AK44="Married Filing Jointly",'CONSTANTS &amp; REFERENCES'!$G$13,IF(AK44="Head of Household",'CONSTANTS &amp; REFERENCES'!$L$13,""))))*AL44)</f>
        <v>293900.17866829899</v>
      </c>
      <c r="AN44" s="21">
        <f>IF(AM44="","",IF(A44=0,IF(OR(AK44="Single",AK44="Married Filing Separately"),'CONSTANTS &amp; REFERENCES'!$B$13,IF(AK44="Married Filing Jointly",'CONSTANTS &amp; REFERENCES'!$G$13,IF(AK44="Head of Household",'CONSTANTS &amp; REFERENCES'!$L$13,""))),_xlfn.FLOOR.MATH(AM44,IF(AK44="Married Filing Separately",Bracket_Round_MFS,Bracket_Round_Standard))))</f>
        <v>293900</v>
      </c>
      <c r="AO44" s="24">
        <f>IF(A44="","",(IF(OR(AK44="Single",AK44="Married Filing Separately"),'CONSTANTS &amp; REFERENCES'!$C$5,IF(AK44="Married Filing Jointly",'CONSTANTS &amp; REFERENCES'!$H$5,IF(AK44="Head of Household",'CONSTANTS &amp; REFERENCES'!$M$5,""))))*AL44)</f>
        <v>226357.90158303775</v>
      </c>
      <c r="AP44" s="21">
        <f>IF(AO44="","",IF(A44=0,IF(OR(AK44="Single",AK44="Married Filing Separately"),'CONSTANTS &amp; REFERENCES'!$C$5,IF(AK44="Married Filing Jointly",'CONSTANTS &amp; REFERENCES'!$H$5,IF(AK44="Head of Household",'CONSTANTS &amp; REFERENCES'!$M$5,""))),_xlfn.FLOOR.MATH(AO44,IF(AK44="Married Filing Separately",Bracket_Round_MFS,Bracket_Round_Standard))))</f>
        <v>226350</v>
      </c>
      <c r="AQ44" s="24">
        <f>IF(A44="","",(IF(OR(AK44="Single",AK44="Married Filing Separately"),'CONSTANTS &amp; REFERENCES'!$C$6,IF(AK44="Married Filing Jointly",'CONSTANTS &amp; REFERENCES'!$H$6,IF(AK44="Head of Household",'CONSTANTS &amp; REFERENCES'!$M$6,""))))*AL44)</f>
        <v>920035.34191815334</v>
      </c>
      <c r="AR44" s="21">
        <f>IF(AQ44="","",IF(A44=0,IF(OR(AK44="Single",AK44="Married Filing Separately"),'CONSTANTS &amp; REFERENCES'!$C$6,IF(AK44="Married Filing Jointly",'CONSTANTS &amp; REFERENCES'!$H$6,IF(AK44="Head of Household",'CONSTANTS &amp; REFERENCES'!$M$6,""))),_xlfn.FLOOR.MATH(AQ44,IF(AK44="Married Filing Separately",Bracket_Round_MFS,Bracket_Round_Standard))))</f>
        <v>920000</v>
      </c>
      <c r="AS44" s="24">
        <f>IF(A44="","",(IF(OR(AK44="Single",AK44="Married Filing Separately"),'CONSTANTS &amp; REFERENCES'!$C$7,IF(AK44="Married Filing Jointly",'CONSTANTS &amp; REFERENCES'!$H$7,IF(AK44="Head of Household",'CONSTANTS &amp; REFERENCES'!$M$7,""))))*AL44)</f>
        <v>1929518.5643005718</v>
      </c>
      <c r="AT44" s="21">
        <f>IF(AS44="","",IF(A44=0,IF(OR(AK44="Single",AK44="Married Filing Separately"),'CONSTANTS &amp; REFERENCES'!$C$7,IF(AK44="Married Filing Jointly",'CONSTANTS &amp; REFERENCES'!$H$7,IF(AK44="Head of Household",'CONSTANTS &amp; REFERENCES'!$M$7,""))),_xlfn.FLOOR.MATH(AS44,IF(AK44="Married Filing Separately",Bracket_Round_MFS,Bracket_Round_Standard))))</f>
        <v>1929500</v>
      </c>
      <c r="AU44" s="24">
        <f>IF(A44="","",(IF(OR(AK44="Single",AK44="Married Filing Separately"),'CONSTANTS &amp; REFERENCES'!$C$8,IF(AK44="Married Filing Jointly",'CONSTANTS &amp; REFERENCES'!$H$8,IF(AK44="Head of Household",'CONSTANTS &amp; REFERENCES'!$M$8,""))))*AL44)</f>
        <v>3683335.9348320514</v>
      </c>
      <c r="AV44" s="21">
        <f>IF(AU44="","",IF(A44=0,IF(OR(AK44="Single",AK44="Married Filing Separately"),'CONSTANTS &amp; REFERENCES'!$C$8,IF(AK44="Married Filing Jointly",'CONSTANTS &amp; REFERENCES'!$H$8,IF(AK44="Head of Household",'CONSTANTS &amp; REFERENCES'!$M$8,""))),_xlfn.FLOOR.MATH(AU44,IF(AK44="Married Filing Separately",Bracket_Round_MFS,Bracket_Round_Standard))))</f>
        <v>3683300</v>
      </c>
      <c r="AW44" s="24">
        <f>IF(A44="","",(IF(OR(AK44="Single",AK44="Married Filing Separately"),'CONSTANTS &amp; REFERENCES'!$C$9,IF(AK44="Married Filing Jointly",'CONSTANTS &amp; REFERENCES'!$H$9,IF(AK44="Head of Household",'CONSTANTS &amp; REFERENCES'!$M$9,""))))*AL44)</f>
        <v>4677302.6881543426</v>
      </c>
      <c r="AX44" s="21">
        <f>IF(AW44="","",IF(A44=0,IF(OR(AK44="Single",AK44="Married Filing Separately"),'CONSTANTS &amp; REFERENCES'!$C$9,IF(AK44="Married Filing Jointly",'CONSTANTS &amp; REFERENCES'!$H$9,IF(AK44="Head of Household",'CONSTANTS &amp; REFERENCES'!$M$9,""))),_xlfn.FLOOR.MATH(AW44,IF(AK44="Married Filing Separately",Bracket_Round_MFS,Bracket_Round_Standard))))</f>
        <v>4677300</v>
      </c>
      <c r="AY44" s="24">
        <f>IF(A44="","",(IF(OR(AK44="Single",AK44="Married Filing Separately"),'CONSTANTS &amp; REFERENCES'!$C$10,IF(AK44="Married Filing Jointly",'CONSTANTS &amp; REFERENCES'!$H$10,IF(AK44="Head of Household",'CONSTANTS &amp; REFERENCES'!$M$10,""))))*AL44)</f>
        <v>7015269.4821259193</v>
      </c>
      <c r="AZ44" s="21">
        <f>IF(AY44="","",IF(A44=0,IF(OR(AK44="Single",AK44="Married Filing Separately"),'CONSTANTS &amp; REFERENCES'!$C$10,IF(AK44="Married Filing Jointly",'CONSTANTS &amp; REFERENCES'!$H$10,IF(AK44="Head of Household",'CONSTANTS &amp; REFERENCES'!$M$10,""))),_xlfn.FLOOR.MATH(AY44,IF(AK44="Married Filing Separately",Bracket_Round_MFS,Bracket_Round_Standard))))</f>
        <v>7015250</v>
      </c>
      <c r="BA44" s="7" t="str">
        <f t="shared" si="28"/>
        <v>Illustrative future tax assumptions under simplified C-CPI-U indexing; not an IRS forecast.</v>
      </c>
      <c r="BB44" s="7">
        <f>IF(A44="","",'CONSTANTS &amp; REFERENCES'!$C$22*AL44)</f>
        <v>1683993.2597609058</v>
      </c>
      <c r="BC44" s="21">
        <f t="shared" si="19"/>
        <v>1683900</v>
      </c>
    </row>
    <row r="45" spans="1:55" ht="18" customHeight="1" x14ac:dyDescent="0.3">
      <c r="A45" s="10">
        <f>IF(A44&lt;INPUTS!$C$7-INPUTS!$C$6,A44+1,"")</f>
        <v>43</v>
      </c>
      <c r="B45" s="10">
        <f>IF(A45="","",INPUTS!$C$6+A45)</f>
        <v>65</v>
      </c>
      <c r="C45" s="11">
        <f t="shared" si="29"/>
        <v>9987493.9183751941</v>
      </c>
      <c r="D45" s="11">
        <f>IF(A45="","",IF(A45&lt;INPUTS!$C$13,0,J45))</f>
        <v>104900</v>
      </c>
      <c r="E45" s="12" t="str">
        <f>IF(A45="","",IF(D45=0,"—",IF(Y45&lt;IF(AK45="Married Filing Jointly",'CONSTANTS &amp; REFERENCES'!$B$44,IF(AK45="Married Filing Separately",'CONSTANTS &amp; REFERENCES'!$B$45,'CONSTANTS &amp; REFERENCES'!$B$43)),"Direct","Backdoor")))</f>
        <v>Backdoor</v>
      </c>
      <c r="F45" s="13">
        <f t="shared" si="20"/>
        <v>91878.409759529837</v>
      </c>
      <c r="G45" s="14">
        <f t="shared" si="21"/>
        <v>91500</v>
      </c>
      <c r="H45" s="13">
        <f t="shared" si="22"/>
        <v>13475.500098064376</v>
      </c>
      <c r="I45" s="14">
        <f t="shared" si="23"/>
        <v>13400</v>
      </c>
      <c r="J45" s="14">
        <f t="shared" si="24"/>
        <v>104900</v>
      </c>
      <c r="K45" s="11">
        <f>IF(A45="","",IF(INPUTS!$C$12="Beginning",(C45+D45)*INPUTS!$C$10,C45*INPUTS!$C$10))</f>
        <v>1009239.3918375195</v>
      </c>
      <c r="L45" s="11">
        <f>IF(A45="","",IF(INPUTS!$C$12="Beginning",(C45+D45)*(1+INPUTS!$C$10),C45*(1+INPUTS!$C$10)+D45))</f>
        <v>11101633.310212715</v>
      </c>
      <c r="M45" s="15">
        <f>IF(A45="","",(1+INPUTS!$C$11)^A45)</f>
        <v>12.250454634603978</v>
      </c>
      <c r="N45" s="11">
        <f t="shared" si="30"/>
        <v>906222.14777677099</v>
      </c>
      <c r="O45" s="11">
        <f t="shared" si="31"/>
        <v>1630400</v>
      </c>
      <c r="P45" s="11">
        <f>IF(A45="","",L45-INPUTS!$C$8-O45)</f>
        <v>9471233.3102127146</v>
      </c>
      <c r="Q45" s="16"/>
      <c r="R45" s="16"/>
      <c r="S45" s="16">
        <f t="shared" si="32"/>
        <v>65</v>
      </c>
      <c r="T45" s="18">
        <f t="shared" si="33"/>
        <v>11101633.310212715</v>
      </c>
      <c r="U45" s="18">
        <f t="shared" si="34"/>
        <v>906222.14777677099</v>
      </c>
      <c r="V45" s="19">
        <f>IF(A45="","",FV(INPUTS!$C$10,INPUTS!$C$7-INPUTS!$C$6-A45+IF(INPUTS!$C$12="Beginning",1,0),0,-D45,0))</f>
        <v>115390.00000000001</v>
      </c>
      <c r="W45" s="7"/>
      <c r="X45" s="7"/>
      <c r="Y45" s="21">
        <f>IF(A45="","",IF(INPUTS!$C$17="Yes",MIN(Y44*(1+INPUTS!$C$15)+IF(INPUTS!$C$27="Yes",(Z45-Z44)*INPUTS!$C$31+IF(AND(INPUTS!$C$28="Not yet credentialed",A45=INPUTS!$C$33),INPUTS!$C$32,0)+IF(AND(INPUTS!$C$28&lt;&gt;"FSA / FCAS",A45=INPUTS!$C$35),INPUTS!$C$34,0),0),INPUTS!$C$18),Y44*(1+INPUTS!$C$15)+IF(INPUTS!$C$27="Yes",(Z45-Z44)*INPUTS!$C$31+IF(AND(INPUTS!$C$28="Not yet credentialed",A45=INPUTS!$C$33),INPUTS!$C$32,0)+IF(AND(INPUTS!$C$28&lt;&gt;"FSA / FCAS",A45=INPUTS!$C$35),INPUTS!$C$34,0),0)))</f>
        <v>326833.31274757499</v>
      </c>
      <c r="Z45" s="22">
        <f>IF(A45="","",IF(AND(INPUTS!$C$27="Yes",INPUTS!$C$28&lt;&gt;"FSA / FCAS",ISNUMBER(INPUTS!$C$37)),MIN(A45*INPUTS!$C$37,INPUTS!$C$30),0))</f>
        <v>3</v>
      </c>
      <c r="AA45" s="21">
        <f t="shared" si="25"/>
        <v>309750</v>
      </c>
      <c r="AB45" s="21">
        <f t="shared" si="26"/>
        <v>17083.312747574993</v>
      </c>
      <c r="AC45" s="21">
        <f>IF(A45="","",MIN(AB45,AP45)*'CONSTANTS &amp; REFERENCES'!$A$5+MAX(MIN(AB45,AR45)-AP45,0)*'CONSTANTS &amp; REFERENCES'!$A$6+MAX(MIN(AB45,AT45)-AR45,0)*'CONSTANTS &amp; REFERENCES'!$A$7+MAX(MIN(AB45,AV45)-AT45,0)*'CONSTANTS &amp; REFERENCES'!$A$8+MAX(MIN(AB45,AX45)-AV45,0)*'CONSTANTS &amp; REFERENCES'!$A$9+MAX(MIN(AB45,AZ45)-AX45,0)*'CONSTANTS &amp; REFERENCES'!$A$10+MAX(AB45-AZ45,0)*'CONSTANTS &amp; REFERENCES'!$A$11)</f>
        <v>1708.3312747574994</v>
      </c>
      <c r="AD45" s="21">
        <f>IF(AB45="","",IF(INPUTS!$C$20="Yes",AB45*INPUTS!$C$21,0))</f>
        <v>0</v>
      </c>
      <c r="AE45" s="21">
        <f>IF(Y45="","",MIN(Y45,BC45)*'CONSTANTS &amp; REFERENCES'!$B$22)</f>
        <v>20263.665390349648</v>
      </c>
      <c r="AF45" s="21">
        <f>IF(Y45="","",Y45*'CONSTANTS &amp; REFERENCES'!$B$24+MAX(0,Y45-IF(AK45="Married Filing Jointly",'CONSTANTS &amp; REFERENCES'!$C$26,IF(AK45="Married Filing Separately",'CONSTANTS &amp; REFERENCES'!$C$27,IF(AK45="Head of Household",'CONSTANTS &amp; REFERENCES'!$C$28,'CONSTANTS &amp; REFERENCES'!$C$25))))*'CONSTANTS &amp; REFERENCES'!$B$25)</f>
        <v>5430.5828495680125</v>
      </c>
      <c r="AG45" s="21">
        <f t="shared" si="15"/>
        <v>25694.248239917659</v>
      </c>
      <c r="AH45" s="21">
        <f t="shared" si="16"/>
        <v>27402.579514675159</v>
      </c>
      <c r="AI45" s="21">
        <f t="shared" si="17"/>
        <v>299430.73323289986</v>
      </c>
      <c r="AJ45" s="21">
        <f t="shared" si="18"/>
        <v>0</v>
      </c>
      <c r="AK45" s="7" t="str">
        <f>IF(A45="","",IF(AND(INPUTS!$C$43="Yes",A45&gt;=INPUTS!$C$45),INPUTS!$C$44,INPUTS!$C$19))</f>
        <v>Married Filing Jointly</v>
      </c>
      <c r="AL45" s="23">
        <f t="shared" si="27"/>
        <v>9.6207584573635803</v>
      </c>
      <c r="AM45" s="24">
        <f>IF(A45="","",(IF(OR(AK45="Single",AK45="Married Filing Separately"),'CONSTANTS &amp; REFERENCES'!$B$13,IF(AK45="Married Filing Jointly",'CONSTANTS &amp; REFERENCES'!$G$13,IF(AK45="Head of Household",'CONSTANTS &amp; REFERENCES'!$L$13,""))))*AL45)</f>
        <v>309788.42232710728</v>
      </c>
      <c r="AN45" s="21">
        <f>IF(AM45="","",IF(A45=0,IF(OR(AK45="Single",AK45="Married Filing Separately"),'CONSTANTS &amp; REFERENCES'!$B$13,IF(AK45="Married Filing Jointly",'CONSTANTS &amp; REFERENCES'!$G$13,IF(AK45="Head of Household",'CONSTANTS &amp; REFERENCES'!$L$13,""))),_xlfn.FLOOR.MATH(AM45,IF(AK45="Married Filing Separately",Bracket_Round_MFS,Bracket_Round_Standard))))</f>
        <v>309750</v>
      </c>
      <c r="AO45" s="24">
        <f>IF(A45="","",(IF(OR(AK45="Single",AK45="Married Filing Separately"),'CONSTANTS &amp; REFERENCES'!$C$5,IF(AK45="Married Filing Jointly",'CONSTANTS &amp; REFERENCES'!$H$5,IF(AK45="Head of Household",'CONSTANTS &amp; REFERENCES'!$M$5,""))))*AL45)</f>
        <v>238594.80974261678</v>
      </c>
      <c r="AP45" s="21">
        <f>IF(AO45="","",IF(A45=0,IF(OR(AK45="Single",AK45="Married Filing Separately"),'CONSTANTS &amp; REFERENCES'!$C$5,IF(AK45="Married Filing Jointly",'CONSTANTS &amp; REFERENCES'!$H$5,IF(AK45="Head of Household",'CONSTANTS &amp; REFERENCES'!$M$5,""))),_xlfn.FLOOR.MATH(AO45,IF(AK45="Married Filing Separately",Bracket_Round_MFS,Bracket_Round_Standard))))</f>
        <v>238550</v>
      </c>
      <c r="AQ45" s="24">
        <f>IF(A45="","",(IF(OR(AK45="Single",AK45="Married Filing Separately"),'CONSTANTS &amp; REFERENCES'!$C$6,IF(AK45="Married Filing Jointly",'CONSTANTS &amp; REFERENCES'!$H$6,IF(AK45="Head of Household",'CONSTANTS &amp; REFERENCES'!$M$6,""))))*AL45)</f>
        <v>969772.45250224893</v>
      </c>
      <c r="AR45" s="21">
        <f>IF(AQ45="","",IF(A45=0,IF(OR(AK45="Single",AK45="Married Filing Separately"),'CONSTANTS &amp; REFERENCES'!$C$6,IF(AK45="Married Filing Jointly",'CONSTANTS &amp; REFERENCES'!$H$6,IF(AK45="Head of Household",'CONSTANTS &amp; REFERENCES'!$M$6,""))),_xlfn.FLOOR.MATH(AQ45,IF(AK45="Married Filing Separately",Bracket_Round_MFS,Bracket_Round_Standard))))</f>
        <v>969750</v>
      </c>
      <c r="AS45" s="24">
        <f>IF(A45="","",(IF(OR(AK45="Single",AK45="Married Filing Separately"),'CONSTANTS &amp; REFERENCES'!$C$7,IF(AK45="Married Filing Jointly",'CONSTANTS &amp; REFERENCES'!$H$7,IF(AK45="Head of Household",'CONSTANTS &amp; REFERENCES'!$M$7,""))))*AL45)</f>
        <v>2033828.3378866608</v>
      </c>
      <c r="AT45" s="21">
        <f>IF(AS45="","",IF(A45=0,IF(OR(AK45="Single",AK45="Married Filing Separately"),'CONSTANTS &amp; REFERENCES'!$C$7,IF(AK45="Married Filing Jointly",'CONSTANTS &amp; REFERENCES'!$H$7,IF(AK45="Head of Household",'CONSTANTS &amp; REFERENCES'!$M$7,""))),_xlfn.FLOOR.MATH(AS45,IF(AK45="Married Filing Separately",Bracket_Round_MFS,Bracket_Round_Standard))))</f>
        <v>2033800</v>
      </c>
      <c r="AU45" s="24">
        <f>IF(A45="","",(IF(OR(AK45="Single",AK45="Married Filing Separately"),'CONSTANTS &amp; REFERENCES'!$C$8,IF(AK45="Married Filing Jointly",'CONSTANTS &amp; REFERENCES'!$H$8,IF(AK45="Head of Household",'CONSTANTS &amp; REFERENCES'!$M$8,""))))*AL45)</f>
        <v>3882457.0754690729</v>
      </c>
      <c r="AV45" s="21">
        <f>IF(AU45="","",IF(A45=0,IF(OR(AK45="Single",AK45="Married Filing Separately"),'CONSTANTS &amp; REFERENCES'!$C$8,IF(AK45="Married Filing Jointly",'CONSTANTS &amp; REFERENCES'!$H$8,IF(AK45="Head of Household",'CONSTANTS &amp; REFERENCES'!$M$8,""))),_xlfn.FLOOR.MATH(AU45,IF(AK45="Married Filing Separately",Bracket_Round_MFS,Bracket_Round_Standard))))</f>
        <v>3882450</v>
      </c>
      <c r="AW45" s="24">
        <f>IF(A45="","",(IF(OR(AK45="Single",AK45="Married Filing Separately"),'CONSTANTS &amp; REFERENCES'!$C$9,IF(AK45="Married Filing Jointly",'CONSTANTS &amp; REFERENCES'!$H$9,IF(AK45="Head of Household",'CONSTANTS &amp; REFERENCES'!$M$9,""))))*AL45)</f>
        <v>4930157.6714759665</v>
      </c>
      <c r="AX45" s="21">
        <f>IF(AW45="","",IF(A45=0,IF(OR(AK45="Single",AK45="Married Filing Separately"),'CONSTANTS &amp; REFERENCES'!$C$9,IF(AK45="Married Filing Jointly",'CONSTANTS &amp; REFERENCES'!$H$9,IF(AK45="Head of Household",'CONSTANTS &amp; REFERENCES'!$M$9,""))),_xlfn.FLOOR.MATH(AW45,IF(AK45="Married Filing Separately",Bracket_Round_MFS,Bracket_Round_Standard))))</f>
        <v>4930150</v>
      </c>
      <c r="AY45" s="24">
        <f>IF(A45="","",(IF(OR(AK45="Single",AK45="Married Filing Separately"),'CONSTANTS &amp; REFERENCES'!$C$10,IF(AK45="Married Filing Jointly",'CONSTANTS &amp; REFERENCES'!$H$10,IF(AK45="Head of Household",'CONSTANTS &amp; REFERENCES'!$M$10,""))))*AL45)</f>
        <v>7394514.9503296474</v>
      </c>
      <c r="AZ45" s="21">
        <f>IF(AY45="","",IF(A45=0,IF(OR(AK45="Single",AK45="Married Filing Separately"),'CONSTANTS &amp; REFERENCES'!$C$10,IF(AK45="Married Filing Jointly",'CONSTANTS &amp; REFERENCES'!$H$10,IF(AK45="Head of Household",'CONSTANTS &amp; REFERENCES'!$M$10,""))),_xlfn.FLOOR.MATH(AY45,IF(AK45="Married Filing Separately",Bracket_Round_MFS,Bracket_Round_Standard))))</f>
        <v>7394500</v>
      </c>
      <c r="BA45" s="7" t="str">
        <f t="shared" si="28"/>
        <v>Illustrative future tax assumptions under simplified C-CPI-U indexing; not an IRS forecast.</v>
      </c>
      <c r="BB45" s="7">
        <f>IF(A45="","",'CONSTANTS &amp; REFERENCES'!$C$22*AL45)</f>
        <v>1775029.9353835806</v>
      </c>
      <c r="BC45" s="21">
        <f t="shared" si="19"/>
        <v>1775000</v>
      </c>
    </row>
    <row r="46" spans="1:55" ht="18" customHeight="1" x14ac:dyDescent="0.3">
      <c r="A46" s="10" t="str">
        <f>IF(A45&lt;INPUTS!$C$7-INPUTS!$C$6,A45+1,"")</f>
        <v/>
      </c>
      <c r="B46" s="10" t="str">
        <f>IF(A46="","",INPUTS!$C$6+A46)</f>
        <v/>
      </c>
      <c r="C46" s="11" t="str">
        <f t="shared" si="29"/>
        <v/>
      </c>
      <c r="D46" s="11" t="str">
        <f>IF(A46="","",IF(A46&lt;INPUTS!$C$13,0,J46))</f>
        <v/>
      </c>
      <c r="E46" s="12" t="str">
        <f>IF(A46="","",IF(D46=0,"—",IF(Y46&lt;IF(AK46="Married Filing Jointly",'CONSTANTS &amp; REFERENCES'!$B$44,IF(AK46="Married Filing Separately",'CONSTANTS &amp; REFERENCES'!$B$45,'CONSTANTS &amp; REFERENCES'!$B$43)),"Direct","Backdoor")))</f>
        <v/>
      </c>
      <c r="F46" s="13" t="str">
        <f t="shared" si="20"/>
        <v/>
      </c>
      <c r="G46" s="14" t="str">
        <f t="shared" si="21"/>
        <v/>
      </c>
      <c r="H46" s="13" t="str">
        <f t="shared" si="22"/>
        <v/>
      </c>
      <c r="I46" s="14" t="str">
        <f t="shared" si="23"/>
        <v/>
      </c>
      <c r="J46" s="14" t="str">
        <f t="shared" si="24"/>
        <v/>
      </c>
      <c r="K46" s="11" t="str">
        <f>IF(A46="","",IF(INPUTS!$C$12="Beginning",(C46+D46)*INPUTS!$C$10,C46*INPUTS!$C$10))</f>
        <v/>
      </c>
      <c r="L46" s="11" t="str">
        <f>IF(A46="","",IF(INPUTS!$C$12="Beginning",(C46+D46)*(1+INPUTS!$C$10),C46*(1+INPUTS!$C$10)+D46))</f>
        <v/>
      </c>
      <c r="M46" s="15" t="str">
        <f>IF(A46="","",(1+INPUTS!$C$11)^A46)</f>
        <v/>
      </c>
      <c r="N46" s="11" t="str">
        <f t="shared" si="30"/>
        <v/>
      </c>
      <c r="O46" s="11" t="str">
        <f t="shared" si="31"/>
        <v/>
      </c>
      <c r="P46" s="11" t="str">
        <f>IF(A46="","",L46-INPUTS!$C$8-O46)</f>
        <v/>
      </c>
      <c r="Q46" s="16"/>
      <c r="R46" s="16"/>
      <c r="S46" s="16" t="str">
        <f t="shared" si="32"/>
        <v/>
      </c>
      <c r="T46" s="18" t="str">
        <f t="shared" si="33"/>
        <v/>
      </c>
      <c r="U46" s="18" t="str">
        <f t="shared" si="34"/>
        <v/>
      </c>
      <c r="V46" s="19" t="str">
        <f>IF(A46="","",FV(INPUTS!$C$10,INPUTS!$C$7-INPUTS!$C$6-A46+IF(INPUTS!$C$12="Beginning",1,0),0,-D46,0))</f>
        <v/>
      </c>
      <c r="W46" s="7"/>
      <c r="X46" s="7"/>
      <c r="Y46" s="21" t="str">
        <f>IF(A46="","",IF(INPUTS!$C$17="Yes",MIN(Y45*(1+INPUTS!$C$15)+IF(INPUTS!$C$27="Yes",(Z46-Z45)*INPUTS!$C$31+IF(AND(INPUTS!$C$28="Not yet credentialed",A46=INPUTS!$C$33),INPUTS!$C$32,0)+IF(AND(INPUTS!$C$28&lt;&gt;"FSA / FCAS",A46=INPUTS!$C$35),INPUTS!$C$34,0),0),INPUTS!$C$18),Y45*(1+INPUTS!$C$15)+IF(INPUTS!$C$27="Yes",(Z46-Z45)*INPUTS!$C$31+IF(AND(INPUTS!$C$28="Not yet credentialed",A46=INPUTS!$C$33),INPUTS!$C$32,0)+IF(AND(INPUTS!$C$28&lt;&gt;"FSA / FCAS",A46=INPUTS!$C$35),INPUTS!$C$34,0),0)))</f>
        <v/>
      </c>
      <c r="Z46" s="22" t="str">
        <f>IF(A46="","",IF(AND(INPUTS!$C$27="Yes",INPUTS!$C$28&lt;&gt;"FSA / FCAS",ISNUMBER(INPUTS!$C$37)),MIN(A46*INPUTS!$C$37,INPUTS!$C$30),0))</f>
        <v/>
      </c>
      <c r="AA46" s="21" t="str">
        <f t="shared" si="25"/>
        <v/>
      </c>
      <c r="AB46" s="21" t="str">
        <f t="shared" si="26"/>
        <v/>
      </c>
      <c r="AC46" s="21" t="str">
        <f>IF(A46="","",MIN(AB46,AP46)*'CONSTANTS &amp; REFERENCES'!$A$5+MAX(MIN(AB46,AR46)-AP46,0)*'CONSTANTS &amp; REFERENCES'!$A$6+MAX(MIN(AB46,AT46)-AR46,0)*'CONSTANTS &amp; REFERENCES'!$A$7+MAX(MIN(AB46,AV46)-AT46,0)*'CONSTANTS &amp; REFERENCES'!$A$8+MAX(MIN(AB46,AX46)-AV46,0)*'CONSTANTS &amp; REFERENCES'!$A$9+MAX(MIN(AB46,AZ46)-AX46,0)*'CONSTANTS &amp; REFERENCES'!$A$10+MAX(AB46-AZ46,0)*'CONSTANTS &amp; REFERENCES'!$A$11)</f>
        <v/>
      </c>
      <c r="AD46" s="21" t="str">
        <f>IF(AB46="","",IF(INPUTS!$C$20="Yes",AB46*INPUTS!$C$21,0))</f>
        <v/>
      </c>
      <c r="AE46" s="21" t="str">
        <f>IF(Y46="","",MIN(Y46,BC46)*'CONSTANTS &amp; REFERENCES'!$B$22)</f>
        <v/>
      </c>
      <c r="AF46" s="21" t="str">
        <f>IF(Y46="","",Y46*'CONSTANTS &amp; REFERENCES'!$B$24+MAX(0,Y46-IF(AK46="Married Filing Jointly",'CONSTANTS &amp; REFERENCES'!$C$26,IF(AK46="Married Filing Separately",'CONSTANTS &amp; REFERENCES'!$C$27,IF(AK46="Head of Household",'CONSTANTS &amp; REFERENCES'!$C$28,'CONSTANTS &amp; REFERENCES'!$C$25))))*'CONSTANTS &amp; REFERENCES'!$B$25)</f>
        <v/>
      </c>
      <c r="AG46" s="21" t="str">
        <f t="shared" si="15"/>
        <v/>
      </c>
      <c r="AH46" s="21" t="str">
        <f t="shared" si="16"/>
        <v/>
      </c>
      <c r="AI46" s="21" t="str">
        <f t="shared" si="17"/>
        <v/>
      </c>
      <c r="AJ46" s="21" t="str">
        <f t="shared" si="18"/>
        <v/>
      </c>
      <c r="AK46" s="7" t="str">
        <f>IF(A46="","",IF(AND(INPUTS!$C$43="Yes",A46&gt;=INPUTS!$C$45),INPUTS!$C$44,INPUTS!$C$19))</f>
        <v/>
      </c>
      <c r="AL46" s="23" t="str">
        <f t="shared" si="27"/>
        <v/>
      </c>
      <c r="AM46" s="24" t="str">
        <f>IF(A46="","",(IF(OR(AK46="Single",AK46="Married Filing Separately"),'CONSTANTS &amp; REFERENCES'!$B$13,IF(AK46="Married Filing Jointly",'CONSTANTS &amp; REFERENCES'!$G$13,IF(AK46="Head of Household",'CONSTANTS &amp; REFERENCES'!$L$13,""))))*AL46)</f>
        <v/>
      </c>
      <c r="AN46" s="21" t="str">
        <f>IF(AM46="","",IF(A46=0,IF(OR(AK46="Single",AK46="Married Filing Separately"),'CONSTANTS &amp; REFERENCES'!$B$13,IF(AK46="Married Filing Jointly",'CONSTANTS &amp; REFERENCES'!$G$13,IF(AK46="Head of Household",'CONSTANTS &amp; REFERENCES'!$L$13,""))),_xlfn.FLOOR.MATH(AM46,IF(AK46="Married Filing Separately",Bracket_Round_MFS,Bracket_Round_Standard))))</f>
        <v/>
      </c>
      <c r="AO46" s="24" t="str">
        <f>IF(A46="","",(IF(OR(AK46="Single",AK46="Married Filing Separately"),'CONSTANTS &amp; REFERENCES'!$C$5,IF(AK46="Married Filing Jointly",'CONSTANTS &amp; REFERENCES'!$H$5,IF(AK46="Head of Household",'CONSTANTS &amp; REFERENCES'!$M$5,""))))*AL46)</f>
        <v/>
      </c>
      <c r="AP46" s="21" t="str">
        <f>IF(AO46="","",IF(A46=0,IF(OR(AK46="Single",AK46="Married Filing Separately"),'CONSTANTS &amp; REFERENCES'!$C$5,IF(AK46="Married Filing Jointly",'CONSTANTS &amp; REFERENCES'!$H$5,IF(AK46="Head of Household",'CONSTANTS &amp; REFERENCES'!$M$5,""))),_xlfn.FLOOR.MATH(AO46,IF(AK46="Married Filing Separately",Bracket_Round_MFS,Bracket_Round_Standard))))</f>
        <v/>
      </c>
      <c r="AQ46" s="24" t="str">
        <f>IF(A46="","",(IF(OR(AK46="Single",AK46="Married Filing Separately"),'CONSTANTS &amp; REFERENCES'!$C$6,IF(AK46="Married Filing Jointly",'CONSTANTS &amp; REFERENCES'!$H$6,IF(AK46="Head of Household",'CONSTANTS &amp; REFERENCES'!$M$6,""))))*AL46)</f>
        <v/>
      </c>
      <c r="AR46" s="21" t="str">
        <f>IF(AQ46="","",IF(A46=0,IF(OR(AK46="Single",AK46="Married Filing Separately"),'CONSTANTS &amp; REFERENCES'!$C$6,IF(AK46="Married Filing Jointly",'CONSTANTS &amp; REFERENCES'!$H$6,IF(AK46="Head of Household",'CONSTANTS &amp; REFERENCES'!$M$6,""))),_xlfn.FLOOR.MATH(AQ46,IF(AK46="Married Filing Separately",Bracket_Round_MFS,Bracket_Round_Standard))))</f>
        <v/>
      </c>
      <c r="AS46" s="24" t="str">
        <f>IF(A46="","",(IF(OR(AK46="Single",AK46="Married Filing Separately"),'CONSTANTS &amp; REFERENCES'!$C$7,IF(AK46="Married Filing Jointly",'CONSTANTS &amp; REFERENCES'!$H$7,IF(AK46="Head of Household",'CONSTANTS &amp; REFERENCES'!$M$7,""))))*AL46)</f>
        <v/>
      </c>
      <c r="AT46" s="21" t="str">
        <f>IF(AS46="","",IF(A46=0,IF(OR(AK46="Single",AK46="Married Filing Separately"),'CONSTANTS &amp; REFERENCES'!$C$7,IF(AK46="Married Filing Jointly",'CONSTANTS &amp; REFERENCES'!$H$7,IF(AK46="Head of Household",'CONSTANTS &amp; REFERENCES'!$M$7,""))),_xlfn.FLOOR.MATH(AS46,IF(AK46="Married Filing Separately",Bracket_Round_MFS,Bracket_Round_Standard))))</f>
        <v/>
      </c>
      <c r="AU46" s="24" t="str">
        <f>IF(A46="","",(IF(OR(AK46="Single",AK46="Married Filing Separately"),'CONSTANTS &amp; REFERENCES'!$C$8,IF(AK46="Married Filing Jointly",'CONSTANTS &amp; REFERENCES'!$H$8,IF(AK46="Head of Household",'CONSTANTS &amp; REFERENCES'!$M$8,""))))*AL46)</f>
        <v/>
      </c>
      <c r="AV46" s="21" t="str">
        <f>IF(AU46="","",IF(A46=0,IF(OR(AK46="Single",AK46="Married Filing Separately"),'CONSTANTS &amp; REFERENCES'!$C$8,IF(AK46="Married Filing Jointly",'CONSTANTS &amp; REFERENCES'!$H$8,IF(AK46="Head of Household",'CONSTANTS &amp; REFERENCES'!$M$8,""))),_xlfn.FLOOR.MATH(AU46,IF(AK46="Married Filing Separately",Bracket_Round_MFS,Bracket_Round_Standard))))</f>
        <v/>
      </c>
      <c r="AW46" s="24" t="str">
        <f>IF(A46="","",(IF(OR(AK46="Single",AK46="Married Filing Separately"),'CONSTANTS &amp; REFERENCES'!$C$9,IF(AK46="Married Filing Jointly",'CONSTANTS &amp; REFERENCES'!$H$9,IF(AK46="Head of Household",'CONSTANTS &amp; REFERENCES'!$M$9,""))))*AL46)</f>
        <v/>
      </c>
      <c r="AX46" s="21" t="str">
        <f>IF(AW46="","",IF(A46=0,IF(OR(AK46="Single",AK46="Married Filing Separately"),'CONSTANTS &amp; REFERENCES'!$C$9,IF(AK46="Married Filing Jointly",'CONSTANTS &amp; REFERENCES'!$H$9,IF(AK46="Head of Household",'CONSTANTS &amp; REFERENCES'!$M$9,""))),_xlfn.FLOOR.MATH(AW46,IF(AK46="Married Filing Separately",Bracket_Round_MFS,Bracket_Round_Standard))))</f>
        <v/>
      </c>
      <c r="AY46" s="24" t="str">
        <f>IF(A46="","",(IF(OR(AK46="Single",AK46="Married Filing Separately"),'CONSTANTS &amp; REFERENCES'!$C$10,IF(AK46="Married Filing Jointly",'CONSTANTS &amp; REFERENCES'!$H$10,IF(AK46="Head of Household",'CONSTANTS &amp; REFERENCES'!$M$10,""))))*AL46)</f>
        <v/>
      </c>
      <c r="AZ46" s="21" t="str">
        <f>IF(AY46="","",IF(A46=0,IF(OR(AK46="Single",AK46="Married Filing Separately"),'CONSTANTS &amp; REFERENCES'!$C$10,IF(AK46="Married Filing Jointly",'CONSTANTS &amp; REFERENCES'!$H$10,IF(AK46="Head of Household",'CONSTANTS &amp; REFERENCES'!$M$10,""))),_xlfn.FLOOR.MATH(AY46,IF(AK46="Married Filing Separately",Bracket_Round_MFS,Bracket_Round_Standard))))</f>
        <v/>
      </c>
      <c r="BA46" s="7" t="str">
        <f t="shared" si="28"/>
        <v/>
      </c>
      <c r="BB46" s="7" t="str">
        <f>IF(A46="","",'CONSTANTS &amp; REFERENCES'!$C$22*AL46)</f>
        <v/>
      </c>
      <c r="BC46" s="21" t="str">
        <f t="shared" si="19"/>
        <v/>
      </c>
    </row>
    <row r="47" spans="1:55" ht="18" customHeight="1" x14ac:dyDescent="0.3">
      <c r="A47" s="10" t="str">
        <f>IF(A46&lt;INPUTS!$C$7-INPUTS!$C$6,A46+1,"")</f>
        <v/>
      </c>
      <c r="B47" s="10" t="str">
        <f>IF(A47="","",INPUTS!$C$6+A47)</f>
        <v/>
      </c>
      <c r="C47" s="11" t="str">
        <f t="shared" si="29"/>
        <v/>
      </c>
      <c r="D47" s="11" t="str">
        <f>IF(A47="","",IF(A47&lt;INPUTS!$C$13,0,J47))</f>
        <v/>
      </c>
      <c r="E47" s="12" t="str">
        <f>IF(A47="","",IF(D47=0,"—",IF(Y47&lt;IF(AK47="Married Filing Jointly",'CONSTANTS &amp; REFERENCES'!$B$44,IF(AK47="Married Filing Separately",'CONSTANTS &amp; REFERENCES'!$B$45,'CONSTANTS &amp; REFERENCES'!$B$43)),"Direct","Backdoor")))</f>
        <v/>
      </c>
      <c r="F47" s="13" t="str">
        <f t="shared" si="20"/>
        <v/>
      </c>
      <c r="G47" s="14" t="str">
        <f t="shared" si="21"/>
        <v/>
      </c>
      <c r="H47" s="13" t="str">
        <f t="shared" si="22"/>
        <v/>
      </c>
      <c r="I47" s="14" t="str">
        <f t="shared" si="23"/>
        <v/>
      </c>
      <c r="J47" s="14" t="str">
        <f t="shared" si="24"/>
        <v/>
      </c>
      <c r="K47" s="11" t="str">
        <f>IF(A47="","",IF(INPUTS!$C$12="Beginning",(C47+D47)*INPUTS!$C$10,C47*INPUTS!$C$10))</f>
        <v/>
      </c>
      <c r="L47" s="11" t="str">
        <f>IF(A47="","",IF(INPUTS!$C$12="Beginning",(C47+D47)*(1+INPUTS!$C$10),C47*(1+INPUTS!$C$10)+D47))</f>
        <v/>
      </c>
      <c r="M47" s="15" t="str">
        <f>IF(A47="","",(1+INPUTS!$C$11)^A47)</f>
        <v/>
      </c>
      <c r="N47" s="11" t="str">
        <f t="shared" si="30"/>
        <v/>
      </c>
      <c r="O47" s="11" t="str">
        <f t="shared" si="31"/>
        <v/>
      </c>
      <c r="P47" s="11" t="str">
        <f>IF(A47="","",L47-INPUTS!$C$8-O47)</f>
        <v/>
      </c>
      <c r="Q47" s="16"/>
      <c r="R47" s="16"/>
      <c r="S47" s="16" t="str">
        <f t="shared" si="32"/>
        <v/>
      </c>
      <c r="T47" s="18" t="str">
        <f t="shared" si="33"/>
        <v/>
      </c>
      <c r="U47" s="18" t="str">
        <f t="shared" si="34"/>
        <v/>
      </c>
      <c r="V47" s="19" t="str">
        <f>IF(A47="","",FV(INPUTS!$C$10,INPUTS!$C$7-INPUTS!$C$6-A47+IF(INPUTS!$C$12="Beginning",1,0),0,-D47,0))</f>
        <v/>
      </c>
      <c r="W47" s="7"/>
      <c r="X47" s="7"/>
      <c r="Y47" s="21" t="str">
        <f>IF(A47="","",IF(INPUTS!$C$17="Yes",MIN(Y46*(1+INPUTS!$C$15)+IF(INPUTS!$C$27="Yes",(Z47-Z46)*INPUTS!$C$31+IF(AND(INPUTS!$C$28="Not yet credentialed",A47=INPUTS!$C$33),INPUTS!$C$32,0)+IF(AND(INPUTS!$C$28&lt;&gt;"FSA / FCAS",A47=INPUTS!$C$35),INPUTS!$C$34,0),0),INPUTS!$C$18),Y46*(1+INPUTS!$C$15)+IF(INPUTS!$C$27="Yes",(Z47-Z46)*INPUTS!$C$31+IF(AND(INPUTS!$C$28="Not yet credentialed",A47=INPUTS!$C$33),INPUTS!$C$32,0)+IF(AND(INPUTS!$C$28&lt;&gt;"FSA / FCAS",A47=INPUTS!$C$35),INPUTS!$C$34,0),0)))</f>
        <v/>
      </c>
      <c r="Z47" s="22" t="str">
        <f>IF(A47="","",IF(AND(INPUTS!$C$27="Yes",INPUTS!$C$28&lt;&gt;"FSA / FCAS",ISNUMBER(INPUTS!$C$37)),MIN(A47*INPUTS!$C$37,INPUTS!$C$30),0))</f>
        <v/>
      </c>
      <c r="AA47" s="21" t="str">
        <f t="shared" si="25"/>
        <v/>
      </c>
      <c r="AB47" s="21" t="str">
        <f t="shared" si="26"/>
        <v/>
      </c>
      <c r="AC47" s="21" t="str">
        <f>IF(A47="","",MIN(AB47,AP47)*'CONSTANTS &amp; REFERENCES'!$A$5+MAX(MIN(AB47,AR47)-AP47,0)*'CONSTANTS &amp; REFERENCES'!$A$6+MAX(MIN(AB47,AT47)-AR47,0)*'CONSTANTS &amp; REFERENCES'!$A$7+MAX(MIN(AB47,AV47)-AT47,0)*'CONSTANTS &amp; REFERENCES'!$A$8+MAX(MIN(AB47,AX47)-AV47,0)*'CONSTANTS &amp; REFERENCES'!$A$9+MAX(MIN(AB47,AZ47)-AX47,0)*'CONSTANTS &amp; REFERENCES'!$A$10+MAX(AB47-AZ47,0)*'CONSTANTS &amp; REFERENCES'!$A$11)</f>
        <v/>
      </c>
      <c r="AD47" s="21" t="str">
        <f>IF(AB47="","",IF(INPUTS!$C$20="Yes",AB47*INPUTS!$C$21,0))</f>
        <v/>
      </c>
      <c r="AE47" s="21" t="str">
        <f>IF(Y47="","",MIN(Y47,BC47)*'CONSTANTS &amp; REFERENCES'!$B$22)</f>
        <v/>
      </c>
      <c r="AF47" s="21" t="str">
        <f>IF(Y47="","",Y47*'CONSTANTS &amp; REFERENCES'!$B$24+MAX(0,Y47-IF(AK47="Married Filing Jointly",'CONSTANTS &amp; REFERENCES'!$C$26,IF(AK47="Married Filing Separately",'CONSTANTS &amp; REFERENCES'!$C$27,IF(AK47="Head of Household",'CONSTANTS &amp; REFERENCES'!$C$28,'CONSTANTS &amp; REFERENCES'!$C$25))))*'CONSTANTS &amp; REFERENCES'!$B$25)</f>
        <v/>
      </c>
      <c r="AG47" s="21" t="str">
        <f t="shared" si="15"/>
        <v/>
      </c>
      <c r="AH47" s="21" t="str">
        <f t="shared" si="16"/>
        <v/>
      </c>
      <c r="AI47" s="21" t="str">
        <f t="shared" si="17"/>
        <v/>
      </c>
      <c r="AJ47" s="21" t="str">
        <f t="shared" si="18"/>
        <v/>
      </c>
      <c r="AK47" s="7" t="str">
        <f>IF(A47="","",IF(AND(INPUTS!$C$43="Yes",A47&gt;=INPUTS!$C$45),INPUTS!$C$44,INPUTS!$C$19))</f>
        <v/>
      </c>
      <c r="AL47" s="23" t="str">
        <f t="shared" si="27"/>
        <v/>
      </c>
      <c r="AM47" s="24" t="str">
        <f>IF(A47="","",(IF(OR(AK47="Single",AK47="Married Filing Separately"),'CONSTANTS &amp; REFERENCES'!$B$13,IF(AK47="Married Filing Jointly",'CONSTANTS &amp; REFERENCES'!$G$13,IF(AK47="Head of Household",'CONSTANTS &amp; REFERENCES'!$L$13,""))))*AL47)</f>
        <v/>
      </c>
      <c r="AN47" s="21" t="str">
        <f>IF(AM47="","",IF(A47=0,IF(OR(AK47="Single",AK47="Married Filing Separately"),'CONSTANTS &amp; REFERENCES'!$B$13,IF(AK47="Married Filing Jointly",'CONSTANTS &amp; REFERENCES'!$G$13,IF(AK47="Head of Household",'CONSTANTS &amp; REFERENCES'!$L$13,""))),_xlfn.FLOOR.MATH(AM47,IF(AK47="Married Filing Separately",Bracket_Round_MFS,Bracket_Round_Standard))))</f>
        <v/>
      </c>
      <c r="AO47" s="24" t="str">
        <f>IF(A47="","",(IF(OR(AK47="Single",AK47="Married Filing Separately"),'CONSTANTS &amp; REFERENCES'!$C$5,IF(AK47="Married Filing Jointly",'CONSTANTS &amp; REFERENCES'!$H$5,IF(AK47="Head of Household",'CONSTANTS &amp; REFERENCES'!$M$5,""))))*AL47)</f>
        <v/>
      </c>
      <c r="AP47" s="21" t="str">
        <f>IF(AO47="","",IF(A47=0,IF(OR(AK47="Single",AK47="Married Filing Separately"),'CONSTANTS &amp; REFERENCES'!$C$5,IF(AK47="Married Filing Jointly",'CONSTANTS &amp; REFERENCES'!$H$5,IF(AK47="Head of Household",'CONSTANTS &amp; REFERENCES'!$M$5,""))),_xlfn.FLOOR.MATH(AO47,IF(AK47="Married Filing Separately",Bracket_Round_MFS,Bracket_Round_Standard))))</f>
        <v/>
      </c>
      <c r="AQ47" s="24" t="str">
        <f>IF(A47="","",(IF(OR(AK47="Single",AK47="Married Filing Separately"),'CONSTANTS &amp; REFERENCES'!$C$6,IF(AK47="Married Filing Jointly",'CONSTANTS &amp; REFERENCES'!$H$6,IF(AK47="Head of Household",'CONSTANTS &amp; REFERENCES'!$M$6,""))))*AL47)</f>
        <v/>
      </c>
      <c r="AR47" s="21" t="str">
        <f>IF(AQ47="","",IF(A47=0,IF(OR(AK47="Single",AK47="Married Filing Separately"),'CONSTANTS &amp; REFERENCES'!$C$6,IF(AK47="Married Filing Jointly",'CONSTANTS &amp; REFERENCES'!$H$6,IF(AK47="Head of Household",'CONSTANTS &amp; REFERENCES'!$M$6,""))),_xlfn.FLOOR.MATH(AQ47,IF(AK47="Married Filing Separately",Bracket_Round_MFS,Bracket_Round_Standard))))</f>
        <v/>
      </c>
      <c r="AS47" s="24" t="str">
        <f>IF(A47="","",(IF(OR(AK47="Single",AK47="Married Filing Separately"),'CONSTANTS &amp; REFERENCES'!$C$7,IF(AK47="Married Filing Jointly",'CONSTANTS &amp; REFERENCES'!$H$7,IF(AK47="Head of Household",'CONSTANTS &amp; REFERENCES'!$M$7,""))))*AL47)</f>
        <v/>
      </c>
      <c r="AT47" s="21" t="str">
        <f>IF(AS47="","",IF(A47=0,IF(OR(AK47="Single",AK47="Married Filing Separately"),'CONSTANTS &amp; REFERENCES'!$C$7,IF(AK47="Married Filing Jointly",'CONSTANTS &amp; REFERENCES'!$H$7,IF(AK47="Head of Household",'CONSTANTS &amp; REFERENCES'!$M$7,""))),_xlfn.FLOOR.MATH(AS47,IF(AK47="Married Filing Separately",Bracket_Round_MFS,Bracket_Round_Standard))))</f>
        <v/>
      </c>
      <c r="AU47" s="24" t="str">
        <f>IF(A47="","",(IF(OR(AK47="Single",AK47="Married Filing Separately"),'CONSTANTS &amp; REFERENCES'!$C$8,IF(AK47="Married Filing Jointly",'CONSTANTS &amp; REFERENCES'!$H$8,IF(AK47="Head of Household",'CONSTANTS &amp; REFERENCES'!$M$8,""))))*AL47)</f>
        <v/>
      </c>
      <c r="AV47" s="21" t="str">
        <f>IF(AU47="","",IF(A47=0,IF(OR(AK47="Single",AK47="Married Filing Separately"),'CONSTANTS &amp; REFERENCES'!$C$8,IF(AK47="Married Filing Jointly",'CONSTANTS &amp; REFERENCES'!$H$8,IF(AK47="Head of Household",'CONSTANTS &amp; REFERENCES'!$M$8,""))),_xlfn.FLOOR.MATH(AU47,IF(AK47="Married Filing Separately",Bracket_Round_MFS,Bracket_Round_Standard))))</f>
        <v/>
      </c>
      <c r="AW47" s="24" t="str">
        <f>IF(A47="","",(IF(OR(AK47="Single",AK47="Married Filing Separately"),'CONSTANTS &amp; REFERENCES'!$C$9,IF(AK47="Married Filing Jointly",'CONSTANTS &amp; REFERENCES'!$H$9,IF(AK47="Head of Household",'CONSTANTS &amp; REFERENCES'!$M$9,""))))*AL47)</f>
        <v/>
      </c>
      <c r="AX47" s="21" t="str">
        <f>IF(AW47="","",IF(A47=0,IF(OR(AK47="Single",AK47="Married Filing Separately"),'CONSTANTS &amp; REFERENCES'!$C$9,IF(AK47="Married Filing Jointly",'CONSTANTS &amp; REFERENCES'!$H$9,IF(AK47="Head of Household",'CONSTANTS &amp; REFERENCES'!$M$9,""))),_xlfn.FLOOR.MATH(AW47,IF(AK47="Married Filing Separately",Bracket_Round_MFS,Bracket_Round_Standard))))</f>
        <v/>
      </c>
      <c r="AY47" s="24" t="str">
        <f>IF(A47="","",(IF(OR(AK47="Single",AK47="Married Filing Separately"),'CONSTANTS &amp; REFERENCES'!$C$10,IF(AK47="Married Filing Jointly",'CONSTANTS &amp; REFERENCES'!$H$10,IF(AK47="Head of Household",'CONSTANTS &amp; REFERENCES'!$M$10,""))))*AL47)</f>
        <v/>
      </c>
      <c r="AZ47" s="21" t="str">
        <f>IF(AY47="","",IF(A47=0,IF(OR(AK47="Single",AK47="Married Filing Separately"),'CONSTANTS &amp; REFERENCES'!$C$10,IF(AK47="Married Filing Jointly",'CONSTANTS &amp; REFERENCES'!$H$10,IF(AK47="Head of Household",'CONSTANTS &amp; REFERENCES'!$M$10,""))),_xlfn.FLOOR.MATH(AY47,IF(AK47="Married Filing Separately",Bracket_Round_MFS,Bracket_Round_Standard))))</f>
        <v/>
      </c>
      <c r="BA47" s="7" t="str">
        <f t="shared" si="28"/>
        <v/>
      </c>
      <c r="BB47" s="7" t="str">
        <f>IF(A47="","",'CONSTANTS &amp; REFERENCES'!$C$22*AL47)</f>
        <v/>
      </c>
      <c r="BC47" s="21" t="str">
        <f t="shared" si="19"/>
        <v/>
      </c>
    </row>
    <row r="48" spans="1:55" ht="18" customHeight="1" x14ac:dyDescent="0.3">
      <c r="A48" s="10" t="str">
        <f>IF(A47&lt;INPUTS!$C$7-INPUTS!$C$6,A47+1,"")</f>
        <v/>
      </c>
      <c r="B48" s="10" t="str">
        <f>IF(A48="","",INPUTS!$C$6+A48)</f>
        <v/>
      </c>
      <c r="C48" s="11" t="str">
        <f t="shared" si="29"/>
        <v/>
      </c>
      <c r="D48" s="11" t="str">
        <f>IF(A48="","",IF(A48&lt;INPUTS!$C$13,0,J48))</f>
        <v/>
      </c>
      <c r="E48" s="12" t="str">
        <f>IF(A48="","",IF(D48=0,"—",IF(Y48&lt;IF(AK48="Married Filing Jointly",'CONSTANTS &amp; REFERENCES'!$B$44,IF(AK48="Married Filing Separately",'CONSTANTS &amp; REFERENCES'!$B$45,'CONSTANTS &amp; REFERENCES'!$B$43)),"Direct","Backdoor")))</f>
        <v/>
      </c>
      <c r="F48" s="13" t="str">
        <f t="shared" si="20"/>
        <v/>
      </c>
      <c r="G48" s="14" t="str">
        <f t="shared" si="21"/>
        <v/>
      </c>
      <c r="H48" s="13" t="str">
        <f t="shared" si="22"/>
        <v/>
      </c>
      <c r="I48" s="14" t="str">
        <f t="shared" si="23"/>
        <v/>
      </c>
      <c r="J48" s="14" t="str">
        <f t="shared" si="24"/>
        <v/>
      </c>
      <c r="K48" s="11" t="str">
        <f>IF(A48="","",IF(INPUTS!$C$12="Beginning",(C48+D48)*INPUTS!$C$10,C48*INPUTS!$C$10))</f>
        <v/>
      </c>
      <c r="L48" s="11" t="str">
        <f>IF(A48="","",IF(INPUTS!$C$12="Beginning",(C48+D48)*(1+INPUTS!$C$10),C48*(1+INPUTS!$C$10)+D48))</f>
        <v/>
      </c>
      <c r="M48" s="15" t="str">
        <f>IF(A48="","",(1+INPUTS!$C$11)^A48)</f>
        <v/>
      </c>
      <c r="N48" s="11" t="str">
        <f t="shared" si="30"/>
        <v/>
      </c>
      <c r="O48" s="11" t="str">
        <f t="shared" si="31"/>
        <v/>
      </c>
      <c r="P48" s="11" t="str">
        <f>IF(A48="","",L48-INPUTS!$C$8-O48)</f>
        <v/>
      </c>
      <c r="Q48" s="16"/>
      <c r="R48" s="16"/>
      <c r="S48" s="16" t="str">
        <f t="shared" si="32"/>
        <v/>
      </c>
      <c r="T48" s="18" t="str">
        <f t="shared" si="33"/>
        <v/>
      </c>
      <c r="U48" s="18" t="str">
        <f t="shared" si="34"/>
        <v/>
      </c>
      <c r="V48" s="19" t="str">
        <f>IF(A48="","",FV(INPUTS!$C$10,INPUTS!$C$7-INPUTS!$C$6-A48+IF(INPUTS!$C$12="Beginning",1,0),0,-D48,0))</f>
        <v/>
      </c>
      <c r="W48" s="7"/>
      <c r="X48" s="7"/>
      <c r="Y48" s="21" t="str">
        <f>IF(A48="","",IF(INPUTS!$C$17="Yes",MIN(Y47*(1+INPUTS!$C$15)+IF(INPUTS!$C$27="Yes",(Z48-Z47)*INPUTS!$C$31+IF(AND(INPUTS!$C$28="Not yet credentialed",A48=INPUTS!$C$33),INPUTS!$C$32,0)+IF(AND(INPUTS!$C$28&lt;&gt;"FSA / FCAS",A48=INPUTS!$C$35),INPUTS!$C$34,0),0),INPUTS!$C$18),Y47*(1+INPUTS!$C$15)+IF(INPUTS!$C$27="Yes",(Z48-Z47)*INPUTS!$C$31+IF(AND(INPUTS!$C$28="Not yet credentialed",A48=INPUTS!$C$33),INPUTS!$C$32,0)+IF(AND(INPUTS!$C$28&lt;&gt;"FSA / FCAS",A48=INPUTS!$C$35),INPUTS!$C$34,0),0)))</f>
        <v/>
      </c>
      <c r="Z48" s="22" t="str">
        <f>IF(A48="","",IF(AND(INPUTS!$C$27="Yes",INPUTS!$C$28&lt;&gt;"FSA / FCAS",ISNUMBER(INPUTS!$C$37)),MIN(A48*INPUTS!$C$37,INPUTS!$C$30),0))</f>
        <v/>
      </c>
      <c r="AA48" s="21" t="str">
        <f t="shared" si="25"/>
        <v/>
      </c>
      <c r="AB48" s="21" t="str">
        <f t="shared" si="26"/>
        <v/>
      </c>
      <c r="AC48" s="21" t="str">
        <f>IF(A48="","",MIN(AB48,AP48)*'CONSTANTS &amp; REFERENCES'!$A$5+MAX(MIN(AB48,AR48)-AP48,0)*'CONSTANTS &amp; REFERENCES'!$A$6+MAX(MIN(AB48,AT48)-AR48,0)*'CONSTANTS &amp; REFERENCES'!$A$7+MAX(MIN(AB48,AV48)-AT48,0)*'CONSTANTS &amp; REFERENCES'!$A$8+MAX(MIN(AB48,AX48)-AV48,0)*'CONSTANTS &amp; REFERENCES'!$A$9+MAX(MIN(AB48,AZ48)-AX48,0)*'CONSTANTS &amp; REFERENCES'!$A$10+MAX(AB48-AZ48,0)*'CONSTANTS &amp; REFERENCES'!$A$11)</f>
        <v/>
      </c>
      <c r="AD48" s="21" t="str">
        <f>IF(AB48="","",IF(INPUTS!$C$20="Yes",AB48*INPUTS!$C$21,0))</f>
        <v/>
      </c>
      <c r="AE48" s="21" t="str">
        <f>IF(Y48="","",MIN(Y48,BC48)*'CONSTANTS &amp; REFERENCES'!$B$22)</f>
        <v/>
      </c>
      <c r="AF48" s="21" t="str">
        <f>IF(Y48="","",Y48*'CONSTANTS &amp; REFERENCES'!$B$24+MAX(0,Y48-IF(AK48="Married Filing Jointly",'CONSTANTS &amp; REFERENCES'!$C$26,IF(AK48="Married Filing Separately",'CONSTANTS &amp; REFERENCES'!$C$27,IF(AK48="Head of Household",'CONSTANTS &amp; REFERENCES'!$C$28,'CONSTANTS &amp; REFERENCES'!$C$25))))*'CONSTANTS &amp; REFERENCES'!$B$25)</f>
        <v/>
      </c>
      <c r="AG48" s="21" t="str">
        <f t="shared" si="15"/>
        <v/>
      </c>
      <c r="AH48" s="21" t="str">
        <f t="shared" si="16"/>
        <v/>
      </c>
      <c r="AI48" s="21" t="str">
        <f t="shared" si="17"/>
        <v/>
      </c>
      <c r="AJ48" s="21" t="str">
        <f t="shared" si="18"/>
        <v/>
      </c>
      <c r="AK48" s="7" t="str">
        <f>IF(A48="","",IF(AND(INPUTS!$C$43="Yes",A48&gt;=INPUTS!$C$45),INPUTS!$C$44,INPUTS!$C$19))</f>
        <v/>
      </c>
      <c r="AL48" s="23" t="str">
        <f t="shared" si="27"/>
        <v/>
      </c>
      <c r="AM48" s="24" t="str">
        <f>IF(A48="","",(IF(OR(AK48="Single",AK48="Married Filing Separately"),'CONSTANTS &amp; REFERENCES'!$B$13,IF(AK48="Married Filing Jointly",'CONSTANTS &amp; REFERENCES'!$G$13,IF(AK48="Head of Household",'CONSTANTS &amp; REFERENCES'!$L$13,""))))*AL48)</f>
        <v/>
      </c>
      <c r="AN48" s="21" t="str">
        <f>IF(AM48="","",IF(A48=0,IF(OR(AK48="Single",AK48="Married Filing Separately"),'CONSTANTS &amp; REFERENCES'!$B$13,IF(AK48="Married Filing Jointly",'CONSTANTS &amp; REFERENCES'!$G$13,IF(AK48="Head of Household",'CONSTANTS &amp; REFERENCES'!$L$13,""))),_xlfn.FLOOR.MATH(AM48,IF(AK48="Married Filing Separately",Bracket_Round_MFS,Bracket_Round_Standard))))</f>
        <v/>
      </c>
      <c r="AO48" s="24" t="str">
        <f>IF(A48="","",(IF(OR(AK48="Single",AK48="Married Filing Separately"),'CONSTANTS &amp; REFERENCES'!$C$5,IF(AK48="Married Filing Jointly",'CONSTANTS &amp; REFERENCES'!$H$5,IF(AK48="Head of Household",'CONSTANTS &amp; REFERENCES'!$M$5,""))))*AL48)</f>
        <v/>
      </c>
      <c r="AP48" s="21" t="str">
        <f>IF(AO48="","",IF(A48=0,IF(OR(AK48="Single",AK48="Married Filing Separately"),'CONSTANTS &amp; REFERENCES'!$C$5,IF(AK48="Married Filing Jointly",'CONSTANTS &amp; REFERENCES'!$H$5,IF(AK48="Head of Household",'CONSTANTS &amp; REFERENCES'!$M$5,""))),_xlfn.FLOOR.MATH(AO48,IF(AK48="Married Filing Separately",Bracket_Round_MFS,Bracket_Round_Standard))))</f>
        <v/>
      </c>
      <c r="AQ48" s="24" t="str">
        <f>IF(A48="","",(IF(OR(AK48="Single",AK48="Married Filing Separately"),'CONSTANTS &amp; REFERENCES'!$C$6,IF(AK48="Married Filing Jointly",'CONSTANTS &amp; REFERENCES'!$H$6,IF(AK48="Head of Household",'CONSTANTS &amp; REFERENCES'!$M$6,""))))*AL48)</f>
        <v/>
      </c>
      <c r="AR48" s="21" t="str">
        <f>IF(AQ48="","",IF(A48=0,IF(OR(AK48="Single",AK48="Married Filing Separately"),'CONSTANTS &amp; REFERENCES'!$C$6,IF(AK48="Married Filing Jointly",'CONSTANTS &amp; REFERENCES'!$H$6,IF(AK48="Head of Household",'CONSTANTS &amp; REFERENCES'!$M$6,""))),_xlfn.FLOOR.MATH(AQ48,IF(AK48="Married Filing Separately",Bracket_Round_MFS,Bracket_Round_Standard))))</f>
        <v/>
      </c>
      <c r="AS48" s="24" t="str">
        <f>IF(A48="","",(IF(OR(AK48="Single",AK48="Married Filing Separately"),'CONSTANTS &amp; REFERENCES'!$C$7,IF(AK48="Married Filing Jointly",'CONSTANTS &amp; REFERENCES'!$H$7,IF(AK48="Head of Household",'CONSTANTS &amp; REFERENCES'!$M$7,""))))*AL48)</f>
        <v/>
      </c>
      <c r="AT48" s="21" t="str">
        <f>IF(AS48="","",IF(A48=0,IF(OR(AK48="Single",AK48="Married Filing Separately"),'CONSTANTS &amp; REFERENCES'!$C$7,IF(AK48="Married Filing Jointly",'CONSTANTS &amp; REFERENCES'!$H$7,IF(AK48="Head of Household",'CONSTANTS &amp; REFERENCES'!$M$7,""))),_xlfn.FLOOR.MATH(AS48,IF(AK48="Married Filing Separately",Bracket_Round_MFS,Bracket_Round_Standard))))</f>
        <v/>
      </c>
      <c r="AU48" s="24" t="str">
        <f>IF(A48="","",(IF(OR(AK48="Single",AK48="Married Filing Separately"),'CONSTANTS &amp; REFERENCES'!$C$8,IF(AK48="Married Filing Jointly",'CONSTANTS &amp; REFERENCES'!$H$8,IF(AK48="Head of Household",'CONSTANTS &amp; REFERENCES'!$M$8,""))))*AL48)</f>
        <v/>
      </c>
      <c r="AV48" s="21" t="str">
        <f>IF(AU48="","",IF(A48=0,IF(OR(AK48="Single",AK48="Married Filing Separately"),'CONSTANTS &amp; REFERENCES'!$C$8,IF(AK48="Married Filing Jointly",'CONSTANTS &amp; REFERENCES'!$H$8,IF(AK48="Head of Household",'CONSTANTS &amp; REFERENCES'!$M$8,""))),_xlfn.FLOOR.MATH(AU48,IF(AK48="Married Filing Separately",Bracket_Round_MFS,Bracket_Round_Standard))))</f>
        <v/>
      </c>
      <c r="AW48" s="24" t="str">
        <f>IF(A48="","",(IF(OR(AK48="Single",AK48="Married Filing Separately"),'CONSTANTS &amp; REFERENCES'!$C$9,IF(AK48="Married Filing Jointly",'CONSTANTS &amp; REFERENCES'!$H$9,IF(AK48="Head of Household",'CONSTANTS &amp; REFERENCES'!$M$9,""))))*AL48)</f>
        <v/>
      </c>
      <c r="AX48" s="21" t="str">
        <f>IF(AW48="","",IF(A48=0,IF(OR(AK48="Single",AK48="Married Filing Separately"),'CONSTANTS &amp; REFERENCES'!$C$9,IF(AK48="Married Filing Jointly",'CONSTANTS &amp; REFERENCES'!$H$9,IF(AK48="Head of Household",'CONSTANTS &amp; REFERENCES'!$M$9,""))),_xlfn.FLOOR.MATH(AW48,IF(AK48="Married Filing Separately",Bracket_Round_MFS,Bracket_Round_Standard))))</f>
        <v/>
      </c>
      <c r="AY48" s="24" t="str">
        <f>IF(A48="","",(IF(OR(AK48="Single",AK48="Married Filing Separately"),'CONSTANTS &amp; REFERENCES'!$C$10,IF(AK48="Married Filing Jointly",'CONSTANTS &amp; REFERENCES'!$H$10,IF(AK48="Head of Household",'CONSTANTS &amp; REFERENCES'!$M$10,""))))*AL48)</f>
        <v/>
      </c>
      <c r="AZ48" s="21" t="str">
        <f>IF(AY48="","",IF(A48=0,IF(OR(AK48="Single",AK48="Married Filing Separately"),'CONSTANTS &amp; REFERENCES'!$C$10,IF(AK48="Married Filing Jointly",'CONSTANTS &amp; REFERENCES'!$H$10,IF(AK48="Head of Household",'CONSTANTS &amp; REFERENCES'!$M$10,""))),_xlfn.FLOOR.MATH(AY48,IF(AK48="Married Filing Separately",Bracket_Round_MFS,Bracket_Round_Standard))))</f>
        <v/>
      </c>
      <c r="BA48" s="7" t="str">
        <f t="shared" si="28"/>
        <v/>
      </c>
      <c r="BB48" s="7" t="str">
        <f>IF(A48="","",'CONSTANTS &amp; REFERENCES'!$C$22*AL48)</f>
        <v/>
      </c>
      <c r="BC48" s="21" t="str">
        <f t="shared" si="19"/>
        <v/>
      </c>
    </row>
    <row r="49" spans="1:55" ht="18" customHeight="1" x14ac:dyDescent="0.3">
      <c r="A49" s="10" t="str">
        <f>IF(A48&lt;INPUTS!$C$7-INPUTS!$C$6,A48+1,"")</f>
        <v/>
      </c>
      <c r="B49" s="10" t="str">
        <f>IF(A49="","",INPUTS!$C$6+A49)</f>
        <v/>
      </c>
      <c r="C49" s="11" t="str">
        <f t="shared" si="29"/>
        <v/>
      </c>
      <c r="D49" s="11" t="str">
        <f>IF(A49="","",IF(A49&lt;INPUTS!$C$13,0,J49))</f>
        <v/>
      </c>
      <c r="E49" s="12" t="str">
        <f>IF(A49="","",IF(D49=0,"—",IF(Y49&lt;IF(AK49="Married Filing Jointly",'CONSTANTS &amp; REFERENCES'!$B$44,IF(AK49="Married Filing Separately",'CONSTANTS &amp; REFERENCES'!$B$45,'CONSTANTS &amp; REFERENCES'!$B$43)),"Direct","Backdoor")))</f>
        <v/>
      </c>
      <c r="F49" s="13" t="str">
        <f t="shared" si="20"/>
        <v/>
      </c>
      <c r="G49" s="14" t="str">
        <f t="shared" si="21"/>
        <v/>
      </c>
      <c r="H49" s="13" t="str">
        <f t="shared" si="22"/>
        <v/>
      </c>
      <c r="I49" s="14" t="str">
        <f t="shared" si="23"/>
        <v/>
      </c>
      <c r="J49" s="14" t="str">
        <f t="shared" si="24"/>
        <v/>
      </c>
      <c r="K49" s="11" t="str">
        <f>IF(A49="","",IF(INPUTS!$C$12="Beginning",(C49+D49)*INPUTS!$C$10,C49*INPUTS!$C$10))</f>
        <v/>
      </c>
      <c r="L49" s="11" t="str">
        <f>IF(A49="","",IF(INPUTS!$C$12="Beginning",(C49+D49)*(1+INPUTS!$C$10),C49*(1+INPUTS!$C$10)+D49))</f>
        <v/>
      </c>
      <c r="M49" s="15" t="str">
        <f>IF(A49="","",(1+INPUTS!$C$11)^A49)</f>
        <v/>
      </c>
      <c r="N49" s="11" t="str">
        <f t="shared" si="30"/>
        <v/>
      </c>
      <c r="O49" s="11" t="str">
        <f t="shared" si="31"/>
        <v/>
      </c>
      <c r="P49" s="11" t="str">
        <f>IF(A49="","",L49-INPUTS!$C$8-O49)</f>
        <v/>
      </c>
      <c r="Q49" s="16"/>
      <c r="R49" s="16"/>
      <c r="S49" s="16" t="str">
        <f t="shared" si="32"/>
        <v/>
      </c>
      <c r="T49" s="18" t="str">
        <f t="shared" si="33"/>
        <v/>
      </c>
      <c r="U49" s="18" t="str">
        <f t="shared" si="34"/>
        <v/>
      </c>
      <c r="V49" s="19" t="str">
        <f>IF(A49="","",FV(INPUTS!$C$10,INPUTS!$C$7-INPUTS!$C$6-A49+IF(INPUTS!$C$12="Beginning",1,0),0,-D49,0))</f>
        <v/>
      </c>
      <c r="W49" s="7"/>
      <c r="X49" s="7"/>
      <c r="Y49" s="21" t="str">
        <f>IF(A49="","",IF(INPUTS!$C$17="Yes",MIN(Y48*(1+INPUTS!$C$15)+IF(INPUTS!$C$27="Yes",(Z49-Z48)*INPUTS!$C$31+IF(AND(INPUTS!$C$28="Not yet credentialed",A49=INPUTS!$C$33),INPUTS!$C$32,0)+IF(AND(INPUTS!$C$28&lt;&gt;"FSA / FCAS",A49=INPUTS!$C$35),INPUTS!$C$34,0),0),INPUTS!$C$18),Y48*(1+INPUTS!$C$15)+IF(INPUTS!$C$27="Yes",(Z49-Z48)*INPUTS!$C$31+IF(AND(INPUTS!$C$28="Not yet credentialed",A49=INPUTS!$C$33),INPUTS!$C$32,0)+IF(AND(INPUTS!$C$28&lt;&gt;"FSA / FCAS",A49=INPUTS!$C$35),INPUTS!$C$34,0),0)))</f>
        <v/>
      </c>
      <c r="Z49" s="22" t="str">
        <f>IF(A49="","",IF(AND(INPUTS!$C$27="Yes",INPUTS!$C$28&lt;&gt;"FSA / FCAS",ISNUMBER(INPUTS!$C$37)),MIN(A49*INPUTS!$C$37,INPUTS!$C$30),0))</f>
        <v/>
      </c>
      <c r="AA49" s="21" t="str">
        <f t="shared" si="25"/>
        <v/>
      </c>
      <c r="AB49" s="21" t="str">
        <f t="shared" si="26"/>
        <v/>
      </c>
      <c r="AC49" s="21" t="str">
        <f>IF(A49="","",MIN(AB49,AP49)*'CONSTANTS &amp; REFERENCES'!$A$5+MAX(MIN(AB49,AR49)-AP49,0)*'CONSTANTS &amp; REFERENCES'!$A$6+MAX(MIN(AB49,AT49)-AR49,0)*'CONSTANTS &amp; REFERENCES'!$A$7+MAX(MIN(AB49,AV49)-AT49,0)*'CONSTANTS &amp; REFERENCES'!$A$8+MAX(MIN(AB49,AX49)-AV49,0)*'CONSTANTS &amp; REFERENCES'!$A$9+MAX(MIN(AB49,AZ49)-AX49,0)*'CONSTANTS &amp; REFERENCES'!$A$10+MAX(AB49-AZ49,0)*'CONSTANTS &amp; REFERENCES'!$A$11)</f>
        <v/>
      </c>
      <c r="AD49" s="21" t="str">
        <f>IF(AB49="","",IF(INPUTS!$C$20="Yes",AB49*INPUTS!$C$21,0))</f>
        <v/>
      </c>
      <c r="AE49" s="21" t="str">
        <f>IF(Y49="","",MIN(Y49,BC49)*'CONSTANTS &amp; REFERENCES'!$B$22)</f>
        <v/>
      </c>
      <c r="AF49" s="21" t="str">
        <f>IF(Y49="","",Y49*'CONSTANTS &amp; REFERENCES'!$B$24+MAX(0,Y49-IF(AK49="Married Filing Jointly",'CONSTANTS &amp; REFERENCES'!$C$26,IF(AK49="Married Filing Separately",'CONSTANTS &amp; REFERENCES'!$C$27,IF(AK49="Head of Household",'CONSTANTS &amp; REFERENCES'!$C$28,'CONSTANTS &amp; REFERENCES'!$C$25))))*'CONSTANTS &amp; REFERENCES'!$B$25)</f>
        <v/>
      </c>
      <c r="AG49" s="21" t="str">
        <f t="shared" si="15"/>
        <v/>
      </c>
      <c r="AH49" s="21" t="str">
        <f t="shared" si="16"/>
        <v/>
      </c>
      <c r="AI49" s="21" t="str">
        <f t="shared" si="17"/>
        <v/>
      </c>
      <c r="AJ49" s="21" t="str">
        <f t="shared" si="18"/>
        <v/>
      </c>
      <c r="AK49" s="7" t="str">
        <f>IF(A49="","",IF(AND(INPUTS!$C$43="Yes",A49&gt;=INPUTS!$C$45),INPUTS!$C$44,INPUTS!$C$19))</f>
        <v/>
      </c>
      <c r="AL49" s="23" t="str">
        <f t="shared" si="27"/>
        <v/>
      </c>
      <c r="AM49" s="24" t="str">
        <f>IF(A49="","",(IF(OR(AK49="Single",AK49="Married Filing Separately"),'CONSTANTS &amp; REFERENCES'!$B$13,IF(AK49="Married Filing Jointly",'CONSTANTS &amp; REFERENCES'!$G$13,IF(AK49="Head of Household",'CONSTANTS &amp; REFERENCES'!$L$13,""))))*AL49)</f>
        <v/>
      </c>
      <c r="AN49" s="21" t="str">
        <f>IF(AM49="","",IF(A49=0,IF(OR(AK49="Single",AK49="Married Filing Separately"),'CONSTANTS &amp; REFERENCES'!$B$13,IF(AK49="Married Filing Jointly",'CONSTANTS &amp; REFERENCES'!$G$13,IF(AK49="Head of Household",'CONSTANTS &amp; REFERENCES'!$L$13,""))),_xlfn.FLOOR.MATH(AM49,IF(AK49="Married Filing Separately",Bracket_Round_MFS,Bracket_Round_Standard))))</f>
        <v/>
      </c>
      <c r="AO49" s="24" t="str">
        <f>IF(A49="","",(IF(OR(AK49="Single",AK49="Married Filing Separately"),'CONSTANTS &amp; REFERENCES'!$C$5,IF(AK49="Married Filing Jointly",'CONSTANTS &amp; REFERENCES'!$H$5,IF(AK49="Head of Household",'CONSTANTS &amp; REFERENCES'!$M$5,""))))*AL49)</f>
        <v/>
      </c>
      <c r="AP49" s="21" t="str">
        <f>IF(AO49="","",IF(A49=0,IF(OR(AK49="Single",AK49="Married Filing Separately"),'CONSTANTS &amp; REFERENCES'!$C$5,IF(AK49="Married Filing Jointly",'CONSTANTS &amp; REFERENCES'!$H$5,IF(AK49="Head of Household",'CONSTANTS &amp; REFERENCES'!$M$5,""))),_xlfn.FLOOR.MATH(AO49,IF(AK49="Married Filing Separately",Bracket_Round_MFS,Bracket_Round_Standard))))</f>
        <v/>
      </c>
      <c r="AQ49" s="24" t="str">
        <f>IF(A49="","",(IF(OR(AK49="Single",AK49="Married Filing Separately"),'CONSTANTS &amp; REFERENCES'!$C$6,IF(AK49="Married Filing Jointly",'CONSTANTS &amp; REFERENCES'!$H$6,IF(AK49="Head of Household",'CONSTANTS &amp; REFERENCES'!$M$6,""))))*AL49)</f>
        <v/>
      </c>
      <c r="AR49" s="21" t="str">
        <f>IF(AQ49="","",IF(A49=0,IF(OR(AK49="Single",AK49="Married Filing Separately"),'CONSTANTS &amp; REFERENCES'!$C$6,IF(AK49="Married Filing Jointly",'CONSTANTS &amp; REFERENCES'!$H$6,IF(AK49="Head of Household",'CONSTANTS &amp; REFERENCES'!$M$6,""))),_xlfn.FLOOR.MATH(AQ49,IF(AK49="Married Filing Separately",Bracket_Round_MFS,Bracket_Round_Standard))))</f>
        <v/>
      </c>
      <c r="AS49" s="24" t="str">
        <f>IF(A49="","",(IF(OR(AK49="Single",AK49="Married Filing Separately"),'CONSTANTS &amp; REFERENCES'!$C$7,IF(AK49="Married Filing Jointly",'CONSTANTS &amp; REFERENCES'!$H$7,IF(AK49="Head of Household",'CONSTANTS &amp; REFERENCES'!$M$7,""))))*AL49)</f>
        <v/>
      </c>
      <c r="AT49" s="21" t="str">
        <f>IF(AS49="","",IF(A49=0,IF(OR(AK49="Single",AK49="Married Filing Separately"),'CONSTANTS &amp; REFERENCES'!$C$7,IF(AK49="Married Filing Jointly",'CONSTANTS &amp; REFERENCES'!$H$7,IF(AK49="Head of Household",'CONSTANTS &amp; REFERENCES'!$M$7,""))),_xlfn.FLOOR.MATH(AS49,IF(AK49="Married Filing Separately",Bracket_Round_MFS,Bracket_Round_Standard))))</f>
        <v/>
      </c>
      <c r="AU49" s="24" t="str">
        <f>IF(A49="","",(IF(OR(AK49="Single",AK49="Married Filing Separately"),'CONSTANTS &amp; REFERENCES'!$C$8,IF(AK49="Married Filing Jointly",'CONSTANTS &amp; REFERENCES'!$H$8,IF(AK49="Head of Household",'CONSTANTS &amp; REFERENCES'!$M$8,""))))*AL49)</f>
        <v/>
      </c>
      <c r="AV49" s="21" t="str">
        <f>IF(AU49="","",IF(A49=0,IF(OR(AK49="Single",AK49="Married Filing Separately"),'CONSTANTS &amp; REFERENCES'!$C$8,IF(AK49="Married Filing Jointly",'CONSTANTS &amp; REFERENCES'!$H$8,IF(AK49="Head of Household",'CONSTANTS &amp; REFERENCES'!$M$8,""))),_xlfn.FLOOR.MATH(AU49,IF(AK49="Married Filing Separately",Bracket_Round_MFS,Bracket_Round_Standard))))</f>
        <v/>
      </c>
      <c r="AW49" s="24" t="str">
        <f>IF(A49="","",(IF(OR(AK49="Single",AK49="Married Filing Separately"),'CONSTANTS &amp; REFERENCES'!$C$9,IF(AK49="Married Filing Jointly",'CONSTANTS &amp; REFERENCES'!$H$9,IF(AK49="Head of Household",'CONSTANTS &amp; REFERENCES'!$M$9,""))))*AL49)</f>
        <v/>
      </c>
      <c r="AX49" s="21" t="str">
        <f>IF(AW49="","",IF(A49=0,IF(OR(AK49="Single",AK49="Married Filing Separately"),'CONSTANTS &amp; REFERENCES'!$C$9,IF(AK49="Married Filing Jointly",'CONSTANTS &amp; REFERENCES'!$H$9,IF(AK49="Head of Household",'CONSTANTS &amp; REFERENCES'!$M$9,""))),_xlfn.FLOOR.MATH(AW49,IF(AK49="Married Filing Separately",Bracket_Round_MFS,Bracket_Round_Standard))))</f>
        <v/>
      </c>
      <c r="AY49" s="24" t="str">
        <f>IF(A49="","",(IF(OR(AK49="Single",AK49="Married Filing Separately"),'CONSTANTS &amp; REFERENCES'!$C$10,IF(AK49="Married Filing Jointly",'CONSTANTS &amp; REFERENCES'!$H$10,IF(AK49="Head of Household",'CONSTANTS &amp; REFERENCES'!$M$10,""))))*AL49)</f>
        <v/>
      </c>
      <c r="AZ49" s="21" t="str">
        <f>IF(AY49="","",IF(A49=0,IF(OR(AK49="Single",AK49="Married Filing Separately"),'CONSTANTS &amp; REFERENCES'!$C$10,IF(AK49="Married Filing Jointly",'CONSTANTS &amp; REFERENCES'!$H$10,IF(AK49="Head of Household",'CONSTANTS &amp; REFERENCES'!$M$10,""))),_xlfn.FLOOR.MATH(AY49,IF(AK49="Married Filing Separately",Bracket_Round_MFS,Bracket_Round_Standard))))</f>
        <v/>
      </c>
      <c r="BA49" s="7" t="str">
        <f t="shared" si="28"/>
        <v/>
      </c>
      <c r="BB49" s="7" t="str">
        <f>IF(A49="","",'CONSTANTS &amp; REFERENCES'!$C$22*AL49)</f>
        <v/>
      </c>
      <c r="BC49" s="21" t="str">
        <f t="shared" si="19"/>
        <v/>
      </c>
    </row>
    <row r="50" spans="1:55" ht="18" customHeight="1" x14ac:dyDescent="0.3">
      <c r="A50" s="10" t="str">
        <f>IF(A49&lt;INPUTS!$C$7-INPUTS!$C$6,A49+1,"")</f>
        <v/>
      </c>
      <c r="B50" s="10" t="str">
        <f>IF(A50="","",INPUTS!$C$6+A50)</f>
        <v/>
      </c>
      <c r="C50" s="11" t="str">
        <f t="shared" si="29"/>
        <v/>
      </c>
      <c r="D50" s="11" t="str">
        <f>IF(A50="","",IF(A50&lt;INPUTS!$C$13,0,J50))</f>
        <v/>
      </c>
      <c r="E50" s="12" t="str">
        <f>IF(A50="","",IF(D50=0,"—",IF(Y50&lt;IF(AK50="Married Filing Jointly",'CONSTANTS &amp; REFERENCES'!$B$44,IF(AK50="Married Filing Separately",'CONSTANTS &amp; REFERENCES'!$B$45,'CONSTANTS &amp; REFERENCES'!$B$43)),"Direct","Backdoor")))</f>
        <v/>
      </c>
      <c r="F50" s="13" t="str">
        <f t="shared" si="20"/>
        <v/>
      </c>
      <c r="G50" s="14" t="str">
        <f t="shared" si="21"/>
        <v/>
      </c>
      <c r="H50" s="13" t="str">
        <f t="shared" si="22"/>
        <v/>
      </c>
      <c r="I50" s="14" t="str">
        <f t="shared" si="23"/>
        <v/>
      </c>
      <c r="J50" s="14" t="str">
        <f t="shared" si="24"/>
        <v/>
      </c>
      <c r="K50" s="11" t="str">
        <f>IF(A50="","",IF(INPUTS!$C$12="Beginning",(C50+D50)*INPUTS!$C$10,C50*INPUTS!$C$10))</f>
        <v/>
      </c>
      <c r="L50" s="11" t="str">
        <f>IF(A50="","",IF(INPUTS!$C$12="Beginning",(C50+D50)*(1+INPUTS!$C$10),C50*(1+INPUTS!$C$10)+D50))</f>
        <v/>
      </c>
      <c r="M50" s="15" t="str">
        <f>IF(A50="","",(1+INPUTS!$C$11)^A50)</f>
        <v/>
      </c>
      <c r="N50" s="11" t="str">
        <f t="shared" si="30"/>
        <v/>
      </c>
      <c r="O50" s="11" t="str">
        <f t="shared" si="31"/>
        <v/>
      </c>
      <c r="P50" s="11" t="str">
        <f>IF(A50="","",L50-INPUTS!$C$8-O50)</f>
        <v/>
      </c>
      <c r="Q50" s="16"/>
      <c r="R50" s="16"/>
      <c r="S50" s="16" t="str">
        <f t="shared" si="32"/>
        <v/>
      </c>
      <c r="T50" s="18" t="str">
        <f t="shared" si="33"/>
        <v/>
      </c>
      <c r="U50" s="18" t="str">
        <f t="shared" si="34"/>
        <v/>
      </c>
      <c r="V50" s="19" t="str">
        <f>IF(A50="","",FV(INPUTS!$C$10,INPUTS!$C$7-INPUTS!$C$6-A50+IF(INPUTS!$C$12="Beginning",1,0),0,-D50,0))</f>
        <v/>
      </c>
      <c r="W50" s="7"/>
      <c r="X50" s="7"/>
      <c r="Y50" s="21" t="str">
        <f>IF(A50="","",IF(INPUTS!$C$17="Yes",MIN(Y49*(1+INPUTS!$C$15)+IF(INPUTS!$C$27="Yes",(Z50-Z49)*INPUTS!$C$31+IF(AND(INPUTS!$C$28="Not yet credentialed",A50=INPUTS!$C$33),INPUTS!$C$32,0)+IF(AND(INPUTS!$C$28&lt;&gt;"FSA / FCAS",A50=INPUTS!$C$35),INPUTS!$C$34,0),0),INPUTS!$C$18),Y49*(1+INPUTS!$C$15)+IF(INPUTS!$C$27="Yes",(Z50-Z49)*INPUTS!$C$31+IF(AND(INPUTS!$C$28="Not yet credentialed",A50=INPUTS!$C$33),INPUTS!$C$32,0)+IF(AND(INPUTS!$C$28&lt;&gt;"FSA / FCAS",A50=INPUTS!$C$35),INPUTS!$C$34,0),0)))</f>
        <v/>
      </c>
      <c r="Z50" s="22" t="str">
        <f>IF(A50="","",IF(AND(INPUTS!$C$27="Yes",INPUTS!$C$28&lt;&gt;"FSA / FCAS",ISNUMBER(INPUTS!$C$37)),MIN(A50*INPUTS!$C$37,INPUTS!$C$30),0))</f>
        <v/>
      </c>
      <c r="AA50" s="21" t="str">
        <f t="shared" si="25"/>
        <v/>
      </c>
      <c r="AB50" s="21" t="str">
        <f t="shared" si="26"/>
        <v/>
      </c>
      <c r="AC50" s="21" t="str">
        <f>IF(A50="","",MIN(AB50,AP50)*'CONSTANTS &amp; REFERENCES'!$A$5+MAX(MIN(AB50,AR50)-AP50,0)*'CONSTANTS &amp; REFERENCES'!$A$6+MAX(MIN(AB50,AT50)-AR50,0)*'CONSTANTS &amp; REFERENCES'!$A$7+MAX(MIN(AB50,AV50)-AT50,0)*'CONSTANTS &amp; REFERENCES'!$A$8+MAX(MIN(AB50,AX50)-AV50,0)*'CONSTANTS &amp; REFERENCES'!$A$9+MAX(MIN(AB50,AZ50)-AX50,0)*'CONSTANTS &amp; REFERENCES'!$A$10+MAX(AB50-AZ50,0)*'CONSTANTS &amp; REFERENCES'!$A$11)</f>
        <v/>
      </c>
      <c r="AD50" s="21" t="str">
        <f>IF(AB50="","",IF(INPUTS!$C$20="Yes",AB50*INPUTS!$C$21,0))</f>
        <v/>
      </c>
      <c r="AE50" s="21" t="str">
        <f>IF(Y50="","",MIN(Y50,BC50)*'CONSTANTS &amp; REFERENCES'!$B$22)</f>
        <v/>
      </c>
      <c r="AF50" s="21" t="str">
        <f>IF(Y50="","",Y50*'CONSTANTS &amp; REFERENCES'!$B$24+MAX(0,Y50-IF(AK50="Married Filing Jointly",'CONSTANTS &amp; REFERENCES'!$C$26,IF(AK50="Married Filing Separately",'CONSTANTS &amp; REFERENCES'!$C$27,IF(AK50="Head of Household",'CONSTANTS &amp; REFERENCES'!$C$28,'CONSTANTS &amp; REFERENCES'!$C$25))))*'CONSTANTS &amp; REFERENCES'!$B$25)</f>
        <v/>
      </c>
      <c r="AG50" s="21" t="str">
        <f t="shared" si="15"/>
        <v/>
      </c>
      <c r="AH50" s="21" t="str">
        <f t="shared" si="16"/>
        <v/>
      </c>
      <c r="AI50" s="21" t="str">
        <f t="shared" si="17"/>
        <v/>
      </c>
      <c r="AJ50" s="21" t="str">
        <f t="shared" si="18"/>
        <v/>
      </c>
      <c r="AK50" s="7" t="str">
        <f>IF(A50="","",IF(AND(INPUTS!$C$43="Yes",A50&gt;=INPUTS!$C$45),INPUTS!$C$44,INPUTS!$C$19))</f>
        <v/>
      </c>
      <c r="AL50" s="23" t="str">
        <f t="shared" si="27"/>
        <v/>
      </c>
      <c r="AM50" s="24" t="str">
        <f>IF(A50="","",(IF(OR(AK50="Single",AK50="Married Filing Separately"),'CONSTANTS &amp; REFERENCES'!$B$13,IF(AK50="Married Filing Jointly",'CONSTANTS &amp; REFERENCES'!$G$13,IF(AK50="Head of Household",'CONSTANTS &amp; REFERENCES'!$L$13,""))))*AL50)</f>
        <v/>
      </c>
      <c r="AN50" s="21" t="str">
        <f>IF(AM50="","",IF(A50=0,IF(OR(AK50="Single",AK50="Married Filing Separately"),'CONSTANTS &amp; REFERENCES'!$B$13,IF(AK50="Married Filing Jointly",'CONSTANTS &amp; REFERENCES'!$G$13,IF(AK50="Head of Household",'CONSTANTS &amp; REFERENCES'!$L$13,""))),_xlfn.FLOOR.MATH(AM50,IF(AK50="Married Filing Separately",Bracket_Round_MFS,Bracket_Round_Standard))))</f>
        <v/>
      </c>
      <c r="AO50" s="24" t="str">
        <f>IF(A50="","",(IF(OR(AK50="Single",AK50="Married Filing Separately"),'CONSTANTS &amp; REFERENCES'!$C$5,IF(AK50="Married Filing Jointly",'CONSTANTS &amp; REFERENCES'!$H$5,IF(AK50="Head of Household",'CONSTANTS &amp; REFERENCES'!$M$5,""))))*AL50)</f>
        <v/>
      </c>
      <c r="AP50" s="21" t="str">
        <f>IF(AO50="","",IF(A50=0,IF(OR(AK50="Single",AK50="Married Filing Separately"),'CONSTANTS &amp; REFERENCES'!$C$5,IF(AK50="Married Filing Jointly",'CONSTANTS &amp; REFERENCES'!$H$5,IF(AK50="Head of Household",'CONSTANTS &amp; REFERENCES'!$M$5,""))),_xlfn.FLOOR.MATH(AO50,IF(AK50="Married Filing Separately",Bracket_Round_MFS,Bracket_Round_Standard))))</f>
        <v/>
      </c>
      <c r="AQ50" s="24" t="str">
        <f>IF(A50="","",(IF(OR(AK50="Single",AK50="Married Filing Separately"),'CONSTANTS &amp; REFERENCES'!$C$6,IF(AK50="Married Filing Jointly",'CONSTANTS &amp; REFERENCES'!$H$6,IF(AK50="Head of Household",'CONSTANTS &amp; REFERENCES'!$M$6,""))))*AL50)</f>
        <v/>
      </c>
      <c r="AR50" s="21" t="str">
        <f>IF(AQ50="","",IF(A50=0,IF(OR(AK50="Single",AK50="Married Filing Separately"),'CONSTANTS &amp; REFERENCES'!$C$6,IF(AK50="Married Filing Jointly",'CONSTANTS &amp; REFERENCES'!$H$6,IF(AK50="Head of Household",'CONSTANTS &amp; REFERENCES'!$M$6,""))),_xlfn.FLOOR.MATH(AQ50,IF(AK50="Married Filing Separately",Bracket_Round_MFS,Bracket_Round_Standard))))</f>
        <v/>
      </c>
      <c r="AS50" s="24" t="str">
        <f>IF(A50="","",(IF(OR(AK50="Single",AK50="Married Filing Separately"),'CONSTANTS &amp; REFERENCES'!$C$7,IF(AK50="Married Filing Jointly",'CONSTANTS &amp; REFERENCES'!$H$7,IF(AK50="Head of Household",'CONSTANTS &amp; REFERENCES'!$M$7,""))))*AL50)</f>
        <v/>
      </c>
      <c r="AT50" s="21" t="str">
        <f>IF(AS50="","",IF(A50=0,IF(OR(AK50="Single",AK50="Married Filing Separately"),'CONSTANTS &amp; REFERENCES'!$C$7,IF(AK50="Married Filing Jointly",'CONSTANTS &amp; REFERENCES'!$H$7,IF(AK50="Head of Household",'CONSTANTS &amp; REFERENCES'!$M$7,""))),_xlfn.FLOOR.MATH(AS50,IF(AK50="Married Filing Separately",Bracket_Round_MFS,Bracket_Round_Standard))))</f>
        <v/>
      </c>
      <c r="AU50" s="24" t="str">
        <f>IF(A50="","",(IF(OR(AK50="Single",AK50="Married Filing Separately"),'CONSTANTS &amp; REFERENCES'!$C$8,IF(AK50="Married Filing Jointly",'CONSTANTS &amp; REFERENCES'!$H$8,IF(AK50="Head of Household",'CONSTANTS &amp; REFERENCES'!$M$8,""))))*AL50)</f>
        <v/>
      </c>
      <c r="AV50" s="21" t="str">
        <f>IF(AU50="","",IF(A50=0,IF(OR(AK50="Single",AK50="Married Filing Separately"),'CONSTANTS &amp; REFERENCES'!$C$8,IF(AK50="Married Filing Jointly",'CONSTANTS &amp; REFERENCES'!$H$8,IF(AK50="Head of Household",'CONSTANTS &amp; REFERENCES'!$M$8,""))),_xlfn.FLOOR.MATH(AU50,IF(AK50="Married Filing Separately",Bracket_Round_MFS,Bracket_Round_Standard))))</f>
        <v/>
      </c>
      <c r="AW50" s="24" t="str">
        <f>IF(A50="","",(IF(OR(AK50="Single",AK50="Married Filing Separately"),'CONSTANTS &amp; REFERENCES'!$C$9,IF(AK50="Married Filing Jointly",'CONSTANTS &amp; REFERENCES'!$H$9,IF(AK50="Head of Household",'CONSTANTS &amp; REFERENCES'!$M$9,""))))*AL50)</f>
        <v/>
      </c>
      <c r="AX50" s="21" t="str">
        <f>IF(AW50="","",IF(A50=0,IF(OR(AK50="Single",AK50="Married Filing Separately"),'CONSTANTS &amp; REFERENCES'!$C$9,IF(AK50="Married Filing Jointly",'CONSTANTS &amp; REFERENCES'!$H$9,IF(AK50="Head of Household",'CONSTANTS &amp; REFERENCES'!$M$9,""))),_xlfn.FLOOR.MATH(AW50,IF(AK50="Married Filing Separately",Bracket_Round_MFS,Bracket_Round_Standard))))</f>
        <v/>
      </c>
      <c r="AY50" s="24" t="str">
        <f>IF(A50="","",(IF(OR(AK50="Single",AK50="Married Filing Separately"),'CONSTANTS &amp; REFERENCES'!$C$10,IF(AK50="Married Filing Jointly",'CONSTANTS &amp; REFERENCES'!$H$10,IF(AK50="Head of Household",'CONSTANTS &amp; REFERENCES'!$M$10,""))))*AL50)</f>
        <v/>
      </c>
      <c r="AZ50" s="21" t="str">
        <f>IF(AY50="","",IF(A50=0,IF(OR(AK50="Single",AK50="Married Filing Separately"),'CONSTANTS &amp; REFERENCES'!$C$10,IF(AK50="Married Filing Jointly",'CONSTANTS &amp; REFERENCES'!$H$10,IF(AK50="Head of Household",'CONSTANTS &amp; REFERENCES'!$M$10,""))),_xlfn.FLOOR.MATH(AY50,IF(AK50="Married Filing Separately",Bracket_Round_MFS,Bracket_Round_Standard))))</f>
        <v/>
      </c>
      <c r="BA50" s="7" t="str">
        <f t="shared" si="28"/>
        <v/>
      </c>
      <c r="BB50" s="7" t="str">
        <f>IF(A50="","",'CONSTANTS &amp; REFERENCES'!$C$22*AL50)</f>
        <v/>
      </c>
      <c r="BC50" s="21" t="str">
        <f t="shared" si="19"/>
        <v/>
      </c>
    </row>
    <row r="51" spans="1:55" ht="18" customHeight="1" x14ac:dyDescent="0.3">
      <c r="A51" s="10" t="str">
        <f>IF(A50&lt;INPUTS!$C$7-INPUTS!$C$6,A50+1,"")</f>
        <v/>
      </c>
      <c r="B51" s="10" t="str">
        <f>IF(A51="","",INPUTS!$C$6+A51)</f>
        <v/>
      </c>
      <c r="C51" s="11" t="str">
        <f t="shared" si="29"/>
        <v/>
      </c>
      <c r="D51" s="11" t="str">
        <f>IF(A51="","",IF(A51&lt;INPUTS!$C$13,0,J51))</f>
        <v/>
      </c>
      <c r="E51" s="12" t="str">
        <f>IF(A51="","",IF(D51=0,"—",IF(Y51&lt;IF(AK51="Married Filing Jointly",'CONSTANTS &amp; REFERENCES'!$B$44,IF(AK51="Married Filing Separately",'CONSTANTS &amp; REFERENCES'!$B$45,'CONSTANTS &amp; REFERENCES'!$B$43)),"Direct","Backdoor")))</f>
        <v/>
      </c>
      <c r="F51" s="13" t="str">
        <f t="shared" si="20"/>
        <v/>
      </c>
      <c r="G51" s="14" t="str">
        <f t="shared" si="21"/>
        <v/>
      </c>
      <c r="H51" s="13" t="str">
        <f t="shared" si="22"/>
        <v/>
      </c>
      <c r="I51" s="14" t="str">
        <f t="shared" si="23"/>
        <v/>
      </c>
      <c r="J51" s="14" t="str">
        <f t="shared" si="24"/>
        <v/>
      </c>
      <c r="K51" s="11" t="str">
        <f>IF(A51="","",IF(INPUTS!$C$12="Beginning",(C51+D51)*INPUTS!$C$10,C51*INPUTS!$C$10))</f>
        <v/>
      </c>
      <c r="L51" s="11" t="str">
        <f>IF(A51="","",IF(INPUTS!$C$12="Beginning",(C51+D51)*(1+INPUTS!$C$10),C51*(1+INPUTS!$C$10)+D51))</f>
        <v/>
      </c>
      <c r="M51" s="15" t="str">
        <f>IF(A51="","",(1+INPUTS!$C$11)^A51)</f>
        <v/>
      </c>
      <c r="N51" s="11" t="str">
        <f t="shared" si="30"/>
        <v/>
      </c>
      <c r="O51" s="11" t="str">
        <f t="shared" si="31"/>
        <v/>
      </c>
      <c r="P51" s="11" t="str">
        <f>IF(A51="","",L51-INPUTS!$C$8-O51)</f>
        <v/>
      </c>
      <c r="Q51" s="16"/>
      <c r="R51" s="16"/>
      <c r="S51" s="16" t="str">
        <f t="shared" si="32"/>
        <v/>
      </c>
      <c r="T51" s="18" t="str">
        <f t="shared" si="33"/>
        <v/>
      </c>
      <c r="U51" s="18" t="str">
        <f t="shared" si="34"/>
        <v/>
      </c>
      <c r="V51" s="19" t="str">
        <f>IF(A51="","",FV(INPUTS!$C$10,INPUTS!$C$7-INPUTS!$C$6-A51+IF(INPUTS!$C$12="Beginning",1,0),0,-D51,0))</f>
        <v/>
      </c>
      <c r="W51" s="7"/>
      <c r="X51" s="7"/>
      <c r="Y51" s="21" t="str">
        <f>IF(A51="","",IF(INPUTS!$C$17="Yes",MIN(Y50*(1+INPUTS!$C$15)+IF(INPUTS!$C$27="Yes",(Z51-Z50)*INPUTS!$C$31+IF(AND(INPUTS!$C$28="Not yet credentialed",A51=INPUTS!$C$33),INPUTS!$C$32,0)+IF(AND(INPUTS!$C$28&lt;&gt;"FSA / FCAS",A51=INPUTS!$C$35),INPUTS!$C$34,0),0),INPUTS!$C$18),Y50*(1+INPUTS!$C$15)+IF(INPUTS!$C$27="Yes",(Z51-Z50)*INPUTS!$C$31+IF(AND(INPUTS!$C$28="Not yet credentialed",A51=INPUTS!$C$33),INPUTS!$C$32,0)+IF(AND(INPUTS!$C$28&lt;&gt;"FSA / FCAS",A51=INPUTS!$C$35),INPUTS!$C$34,0),0)))</f>
        <v/>
      </c>
      <c r="Z51" s="22" t="str">
        <f>IF(A51="","",IF(AND(INPUTS!$C$27="Yes",INPUTS!$C$28&lt;&gt;"FSA / FCAS",ISNUMBER(INPUTS!$C$37)),MIN(A51*INPUTS!$C$37,INPUTS!$C$30),0))</f>
        <v/>
      </c>
      <c r="AA51" s="21" t="str">
        <f t="shared" si="25"/>
        <v/>
      </c>
      <c r="AB51" s="21" t="str">
        <f t="shared" si="26"/>
        <v/>
      </c>
      <c r="AC51" s="21" t="str">
        <f>IF(A51="","",MIN(AB51,AP51)*'CONSTANTS &amp; REFERENCES'!$A$5+MAX(MIN(AB51,AR51)-AP51,0)*'CONSTANTS &amp; REFERENCES'!$A$6+MAX(MIN(AB51,AT51)-AR51,0)*'CONSTANTS &amp; REFERENCES'!$A$7+MAX(MIN(AB51,AV51)-AT51,0)*'CONSTANTS &amp; REFERENCES'!$A$8+MAX(MIN(AB51,AX51)-AV51,0)*'CONSTANTS &amp; REFERENCES'!$A$9+MAX(MIN(AB51,AZ51)-AX51,0)*'CONSTANTS &amp; REFERENCES'!$A$10+MAX(AB51-AZ51,0)*'CONSTANTS &amp; REFERENCES'!$A$11)</f>
        <v/>
      </c>
      <c r="AD51" s="21" t="str">
        <f>IF(AB51="","",IF(INPUTS!$C$20="Yes",AB51*INPUTS!$C$21,0))</f>
        <v/>
      </c>
      <c r="AE51" s="21" t="str">
        <f>IF(Y51="","",MIN(Y51,BC51)*'CONSTANTS &amp; REFERENCES'!$B$22)</f>
        <v/>
      </c>
      <c r="AF51" s="21" t="str">
        <f>IF(Y51="","",Y51*'CONSTANTS &amp; REFERENCES'!$B$24+MAX(0,Y51-IF(AK51="Married Filing Jointly",'CONSTANTS &amp; REFERENCES'!$C$26,IF(AK51="Married Filing Separately",'CONSTANTS &amp; REFERENCES'!$C$27,IF(AK51="Head of Household",'CONSTANTS &amp; REFERENCES'!$C$28,'CONSTANTS &amp; REFERENCES'!$C$25))))*'CONSTANTS &amp; REFERENCES'!$B$25)</f>
        <v/>
      </c>
      <c r="AG51" s="21" t="str">
        <f t="shared" si="15"/>
        <v/>
      </c>
      <c r="AH51" s="21" t="str">
        <f t="shared" si="16"/>
        <v/>
      </c>
      <c r="AI51" s="21" t="str">
        <f t="shared" si="17"/>
        <v/>
      </c>
      <c r="AJ51" s="21" t="str">
        <f t="shared" si="18"/>
        <v/>
      </c>
      <c r="AK51" s="7" t="str">
        <f>IF(A51="","",IF(AND(INPUTS!$C$43="Yes",A51&gt;=INPUTS!$C$45),INPUTS!$C$44,INPUTS!$C$19))</f>
        <v/>
      </c>
      <c r="AL51" s="23" t="str">
        <f t="shared" si="27"/>
        <v/>
      </c>
      <c r="AM51" s="24" t="str">
        <f>IF(A51="","",(IF(OR(AK51="Single",AK51="Married Filing Separately"),'CONSTANTS &amp; REFERENCES'!$B$13,IF(AK51="Married Filing Jointly",'CONSTANTS &amp; REFERENCES'!$G$13,IF(AK51="Head of Household",'CONSTANTS &amp; REFERENCES'!$L$13,""))))*AL51)</f>
        <v/>
      </c>
      <c r="AN51" s="21" t="str">
        <f>IF(AM51="","",IF(A51=0,IF(OR(AK51="Single",AK51="Married Filing Separately"),'CONSTANTS &amp; REFERENCES'!$B$13,IF(AK51="Married Filing Jointly",'CONSTANTS &amp; REFERENCES'!$G$13,IF(AK51="Head of Household",'CONSTANTS &amp; REFERENCES'!$L$13,""))),_xlfn.FLOOR.MATH(AM51,IF(AK51="Married Filing Separately",Bracket_Round_MFS,Bracket_Round_Standard))))</f>
        <v/>
      </c>
      <c r="AO51" s="24" t="str">
        <f>IF(A51="","",(IF(OR(AK51="Single",AK51="Married Filing Separately"),'CONSTANTS &amp; REFERENCES'!$C$5,IF(AK51="Married Filing Jointly",'CONSTANTS &amp; REFERENCES'!$H$5,IF(AK51="Head of Household",'CONSTANTS &amp; REFERENCES'!$M$5,""))))*AL51)</f>
        <v/>
      </c>
      <c r="AP51" s="21" t="str">
        <f>IF(AO51="","",IF(A51=0,IF(OR(AK51="Single",AK51="Married Filing Separately"),'CONSTANTS &amp; REFERENCES'!$C$5,IF(AK51="Married Filing Jointly",'CONSTANTS &amp; REFERENCES'!$H$5,IF(AK51="Head of Household",'CONSTANTS &amp; REFERENCES'!$M$5,""))),_xlfn.FLOOR.MATH(AO51,IF(AK51="Married Filing Separately",Bracket_Round_MFS,Bracket_Round_Standard))))</f>
        <v/>
      </c>
      <c r="AQ51" s="24" t="str">
        <f>IF(A51="","",(IF(OR(AK51="Single",AK51="Married Filing Separately"),'CONSTANTS &amp; REFERENCES'!$C$6,IF(AK51="Married Filing Jointly",'CONSTANTS &amp; REFERENCES'!$H$6,IF(AK51="Head of Household",'CONSTANTS &amp; REFERENCES'!$M$6,""))))*AL51)</f>
        <v/>
      </c>
      <c r="AR51" s="21" t="str">
        <f>IF(AQ51="","",IF(A51=0,IF(OR(AK51="Single",AK51="Married Filing Separately"),'CONSTANTS &amp; REFERENCES'!$C$6,IF(AK51="Married Filing Jointly",'CONSTANTS &amp; REFERENCES'!$H$6,IF(AK51="Head of Household",'CONSTANTS &amp; REFERENCES'!$M$6,""))),_xlfn.FLOOR.MATH(AQ51,IF(AK51="Married Filing Separately",Bracket_Round_MFS,Bracket_Round_Standard))))</f>
        <v/>
      </c>
      <c r="AS51" s="24" t="str">
        <f>IF(A51="","",(IF(OR(AK51="Single",AK51="Married Filing Separately"),'CONSTANTS &amp; REFERENCES'!$C$7,IF(AK51="Married Filing Jointly",'CONSTANTS &amp; REFERENCES'!$H$7,IF(AK51="Head of Household",'CONSTANTS &amp; REFERENCES'!$M$7,""))))*AL51)</f>
        <v/>
      </c>
      <c r="AT51" s="21" t="str">
        <f>IF(AS51="","",IF(A51=0,IF(OR(AK51="Single",AK51="Married Filing Separately"),'CONSTANTS &amp; REFERENCES'!$C$7,IF(AK51="Married Filing Jointly",'CONSTANTS &amp; REFERENCES'!$H$7,IF(AK51="Head of Household",'CONSTANTS &amp; REFERENCES'!$M$7,""))),_xlfn.FLOOR.MATH(AS51,IF(AK51="Married Filing Separately",Bracket_Round_MFS,Bracket_Round_Standard))))</f>
        <v/>
      </c>
      <c r="AU51" s="24" t="str">
        <f>IF(A51="","",(IF(OR(AK51="Single",AK51="Married Filing Separately"),'CONSTANTS &amp; REFERENCES'!$C$8,IF(AK51="Married Filing Jointly",'CONSTANTS &amp; REFERENCES'!$H$8,IF(AK51="Head of Household",'CONSTANTS &amp; REFERENCES'!$M$8,""))))*AL51)</f>
        <v/>
      </c>
      <c r="AV51" s="21" t="str">
        <f>IF(AU51="","",IF(A51=0,IF(OR(AK51="Single",AK51="Married Filing Separately"),'CONSTANTS &amp; REFERENCES'!$C$8,IF(AK51="Married Filing Jointly",'CONSTANTS &amp; REFERENCES'!$H$8,IF(AK51="Head of Household",'CONSTANTS &amp; REFERENCES'!$M$8,""))),_xlfn.FLOOR.MATH(AU51,IF(AK51="Married Filing Separately",Bracket_Round_MFS,Bracket_Round_Standard))))</f>
        <v/>
      </c>
      <c r="AW51" s="24" t="str">
        <f>IF(A51="","",(IF(OR(AK51="Single",AK51="Married Filing Separately"),'CONSTANTS &amp; REFERENCES'!$C$9,IF(AK51="Married Filing Jointly",'CONSTANTS &amp; REFERENCES'!$H$9,IF(AK51="Head of Household",'CONSTANTS &amp; REFERENCES'!$M$9,""))))*AL51)</f>
        <v/>
      </c>
      <c r="AX51" s="21" t="str">
        <f>IF(AW51="","",IF(A51=0,IF(OR(AK51="Single",AK51="Married Filing Separately"),'CONSTANTS &amp; REFERENCES'!$C$9,IF(AK51="Married Filing Jointly",'CONSTANTS &amp; REFERENCES'!$H$9,IF(AK51="Head of Household",'CONSTANTS &amp; REFERENCES'!$M$9,""))),_xlfn.FLOOR.MATH(AW51,IF(AK51="Married Filing Separately",Bracket_Round_MFS,Bracket_Round_Standard))))</f>
        <v/>
      </c>
      <c r="AY51" s="24" t="str">
        <f>IF(A51="","",(IF(OR(AK51="Single",AK51="Married Filing Separately"),'CONSTANTS &amp; REFERENCES'!$C$10,IF(AK51="Married Filing Jointly",'CONSTANTS &amp; REFERENCES'!$H$10,IF(AK51="Head of Household",'CONSTANTS &amp; REFERENCES'!$M$10,""))))*AL51)</f>
        <v/>
      </c>
      <c r="AZ51" s="21" t="str">
        <f>IF(AY51="","",IF(A51=0,IF(OR(AK51="Single",AK51="Married Filing Separately"),'CONSTANTS &amp; REFERENCES'!$C$10,IF(AK51="Married Filing Jointly",'CONSTANTS &amp; REFERENCES'!$H$10,IF(AK51="Head of Household",'CONSTANTS &amp; REFERENCES'!$M$10,""))),_xlfn.FLOOR.MATH(AY51,IF(AK51="Married Filing Separately",Bracket_Round_MFS,Bracket_Round_Standard))))</f>
        <v/>
      </c>
      <c r="BA51" s="7" t="str">
        <f t="shared" si="28"/>
        <v/>
      </c>
      <c r="BB51" s="7" t="str">
        <f>IF(A51="","",'CONSTANTS &amp; REFERENCES'!$C$22*AL51)</f>
        <v/>
      </c>
      <c r="BC51" s="21" t="str">
        <f t="shared" si="19"/>
        <v/>
      </c>
    </row>
    <row r="52" spans="1:55" ht="18" customHeight="1" x14ac:dyDescent="0.3">
      <c r="A52" s="10" t="str">
        <f>IF(A51&lt;INPUTS!$C$7-INPUTS!$C$6,A51+1,"")</f>
        <v/>
      </c>
      <c r="B52" s="10" t="str">
        <f>IF(A52="","",INPUTS!$C$6+A52)</f>
        <v/>
      </c>
      <c r="C52" s="11" t="str">
        <f t="shared" si="29"/>
        <v/>
      </c>
      <c r="D52" s="11" t="str">
        <f>IF(A52="","",IF(A52&lt;INPUTS!$C$13,0,J52))</f>
        <v/>
      </c>
      <c r="E52" s="12" t="str">
        <f>IF(A52="","",IF(D52=0,"—",IF(Y52&lt;IF(AK52="Married Filing Jointly",'CONSTANTS &amp; REFERENCES'!$B$44,IF(AK52="Married Filing Separately",'CONSTANTS &amp; REFERENCES'!$B$45,'CONSTANTS &amp; REFERENCES'!$B$43)),"Direct","Backdoor")))</f>
        <v/>
      </c>
      <c r="F52" s="13" t="str">
        <f t="shared" si="20"/>
        <v/>
      </c>
      <c r="G52" s="14" t="str">
        <f t="shared" si="21"/>
        <v/>
      </c>
      <c r="H52" s="13" t="str">
        <f t="shared" si="22"/>
        <v/>
      </c>
      <c r="I52" s="14" t="str">
        <f t="shared" si="23"/>
        <v/>
      </c>
      <c r="J52" s="14" t="str">
        <f t="shared" si="24"/>
        <v/>
      </c>
      <c r="K52" s="11" t="str">
        <f>IF(A52="","",IF(INPUTS!$C$12="Beginning",(C52+D52)*INPUTS!$C$10,C52*INPUTS!$C$10))</f>
        <v/>
      </c>
      <c r="L52" s="11" t="str">
        <f>IF(A52="","",IF(INPUTS!$C$12="Beginning",(C52+D52)*(1+INPUTS!$C$10),C52*(1+INPUTS!$C$10)+D52))</f>
        <v/>
      </c>
      <c r="M52" s="15" t="str">
        <f>IF(A52="","",(1+INPUTS!$C$11)^A52)</f>
        <v/>
      </c>
      <c r="N52" s="11" t="str">
        <f t="shared" si="30"/>
        <v/>
      </c>
      <c r="O52" s="11" t="str">
        <f t="shared" si="31"/>
        <v/>
      </c>
      <c r="P52" s="11" t="str">
        <f>IF(A52="","",L52-INPUTS!$C$8-O52)</f>
        <v/>
      </c>
      <c r="Q52" s="16"/>
      <c r="R52" s="16"/>
      <c r="S52" s="16" t="str">
        <f t="shared" si="32"/>
        <v/>
      </c>
      <c r="T52" s="18" t="str">
        <f t="shared" si="33"/>
        <v/>
      </c>
      <c r="U52" s="18" t="str">
        <f t="shared" si="34"/>
        <v/>
      </c>
      <c r="V52" s="19" t="str">
        <f>IF(A52="","",FV(INPUTS!$C$10,INPUTS!$C$7-INPUTS!$C$6-A52+IF(INPUTS!$C$12="Beginning",1,0),0,-D52,0))</f>
        <v/>
      </c>
      <c r="W52" s="7"/>
      <c r="X52" s="7"/>
      <c r="Y52" s="21" t="str">
        <f>IF(A52="","",IF(INPUTS!$C$17="Yes",MIN(Y51*(1+INPUTS!$C$15)+IF(INPUTS!$C$27="Yes",(Z52-Z51)*INPUTS!$C$31+IF(AND(INPUTS!$C$28="Not yet credentialed",A52=INPUTS!$C$33),INPUTS!$C$32,0)+IF(AND(INPUTS!$C$28&lt;&gt;"FSA / FCAS",A52=INPUTS!$C$35),INPUTS!$C$34,0),0),INPUTS!$C$18),Y51*(1+INPUTS!$C$15)+IF(INPUTS!$C$27="Yes",(Z52-Z51)*INPUTS!$C$31+IF(AND(INPUTS!$C$28="Not yet credentialed",A52=INPUTS!$C$33),INPUTS!$C$32,0)+IF(AND(INPUTS!$C$28&lt;&gt;"FSA / FCAS",A52=INPUTS!$C$35),INPUTS!$C$34,0),0)))</f>
        <v/>
      </c>
      <c r="Z52" s="22" t="str">
        <f>IF(A52="","",IF(AND(INPUTS!$C$27="Yes",INPUTS!$C$28&lt;&gt;"FSA / FCAS",ISNUMBER(INPUTS!$C$37)),MIN(A52*INPUTS!$C$37,INPUTS!$C$30),0))</f>
        <v/>
      </c>
      <c r="AA52" s="21" t="str">
        <f t="shared" si="25"/>
        <v/>
      </c>
      <c r="AB52" s="21" t="str">
        <f t="shared" si="26"/>
        <v/>
      </c>
      <c r="AC52" s="21" t="str">
        <f>IF(A52="","",MIN(AB52,AP52)*'CONSTANTS &amp; REFERENCES'!$A$5+MAX(MIN(AB52,AR52)-AP52,0)*'CONSTANTS &amp; REFERENCES'!$A$6+MAX(MIN(AB52,AT52)-AR52,0)*'CONSTANTS &amp; REFERENCES'!$A$7+MAX(MIN(AB52,AV52)-AT52,0)*'CONSTANTS &amp; REFERENCES'!$A$8+MAX(MIN(AB52,AX52)-AV52,0)*'CONSTANTS &amp; REFERENCES'!$A$9+MAX(MIN(AB52,AZ52)-AX52,0)*'CONSTANTS &amp; REFERENCES'!$A$10+MAX(AB52-AZ52,0)*'CONSTANTS &amp; REFERENCES'!$A$11)</f>
        <v/>
      </c>
      <c r="AD52" s="21" t="str">
        <f>IF(AB52="","",IF(INPUTS!$C$20="Yes",AB52*INPUTS!$C$21,0))</f>
        <v/>
      </c>
      <c r="AE52" s="21" t="str">
        <f>IF(Y52="","",MIN(Y52,BC52)*'CONSTANTS &amp; REFERENCES'!$B$22)</f>
        <v/>
      </c>
      <c r="AF52" s="21" t="str">
        <f>IF(Y52="","",Y52*'CONSTANTS &amp; REFERENCES'!$B$24+MAX(0,Y52-IF(AK52="Married Filing Jointly",'CONSTANTS &amp; REFERENCES'!$C$26,IF(AK52="Married Filing Separately",'CONSTANTS &amp; REFERENCES'!$C$27,IF(AK52="Head of Household",'CONSTANTS &amp; REFERENCES'!$C$28,'CONSTANTS &amp; REFERENCES'!$C$25))))*'CONSTANTS &amp; REFERENCES'!$B$25)</f>
        <v/>
      </c>
      <c r="AG52" s="21" t="str">
        <f t="shared" si="15"/>
        <v/>
      </c>
      <c r="AH52" s="21" t="str">
        <f t="shared" si="16"/>
        <v/>
      </c>
      <c r="AI52" s="21" t="str">
        <f t="shared" si="17"/>
        <v/>
      </c>
      <c r="AJ52" s="21" t="str">
        <f t="shared" si="18"/>
        <v/>
      </c>
      <c r="AK52" s="7" t="str">
        <f>IF(A52="","",IF(AND(INPUTS!$C$43="Yes",A52&gt;=INPUTS!$C$45),INPUTS!$C$44,INPUTS!$C$19))</f>
        <v/>
      </c>
      <c r="AL52" s="23" t="str">
        <f t="shared" si="27"/>
        <v/>
      </c>
      <c r="AM52" s="24" t="str">
        <f>IF(A52="","",(IF(OR(AK52="Single",AK52="Married Filing Separately"),'CONSTANTS &amp; REFERENCES'!$B$13,IF(AK52="Married Filing Jointly",'CONSTANTS &amp; REFERENCES'!$G$13,IF(AK52="Head of Household",'CONSTANTS &amp; REFERENCES'!$L$13,""))))*AL52)</f>
        <v/>
      </c>
      <c r="AN52" s="21" t="str">
        <f>IF(AM52="","",IF(A52=0,IF(OR(AK52="Single",AK52="Married Filing Separately"),'CONSTANTS &amp; REFERENCES'!$B$13,IF(AK52="Married Filing Jointly",'CONSTANTS &amp; REFERENCES'!$G$13,IF(AK52="Head of Household",'CONSTANTS &amp; REFERENCES'!$L$13,""))),_xlfn.FLOOR.MATH(AM52,IF(AK52="Married Filing Separately",Bracket_Round_MFS,Bracket_Round_Standard))))</f>
        <v/>
      </c>
      <c r="AO52" s="24" t="str">
        <f>IF(A52="","",(IF(OR(AK52="Single",AK52="Married Filing Separately"),'CONSTANTS &amp; REFERENCES'!$C$5,IF(AK52="Married Filing Jointly",'CONSTANTS &amp; REFERENCES'!$H$5,IF(AK52="Head of Household",'CONSTANTS &amp; REFERENCES'!$M$5,""))))*AL52)</f>
        <v/>
      </c>
      <c r="AP52" s="21" t="str">
        <f>IF(AO52="","",IF(A52=0,IF(OR(AK52="Single",AK52="Married Filing Separately"),'CONSTANTS &amp; REFERENCES'!$C$5,IF(AK52="Married Filing Jointly",'CONSTANTS &amp; REFERENCES'!$H$5,IF(AK52="Head of Household",'CONSTANTS &amp; REFERENCES'!$M$5,""))),_xlfn.FLOOR.MATH(AO52,IF(AK52="Married Filing Separately",Bracket_Round_MFS,Bracket_Round_Standard))))</f>
        <v/>
      </c>
      <c r="AQ52" s="24" t="str">
        <f>IF(A52="","",(IF(OR(AK52="Single",AK52="Married Filing Separately"),'CONSTANTS &amp; REFERENCES'!$C$6,IF(AK52="Married Filing Jointly",'CONSTANTS &amp; REFERENCES'!$H$6,IF(AK52="Head of Household",'CONSTANTS &amp; REFERENCES'!$M$6,""))))*AL52)</f>
        <v/>
      </c>
      <c r="AR52" s="21" t="str">
        <f>IF(AQ52="","",IF(A52=0,IF(OR(AK52="Single",AK52="Married Filing Separately"),'CONSTANTS &amp; REFERENCES'!$C$6,IF(AK52="Married Filing Jointly",'CONSTANTS &amp; REFERENCES'!$H$6,IF(AK52="Head of Household",'CONSTANTS &amp; REFERENCES'!$M$6,""))),_xlfn.FLOOR.MATH(AQ52,IF(AK52="Married Filing Separately",Bracket_Round_MFS,Bracket_Round_Standard))))</f>
        <v/>
      </c>
      <c r="AS52" s="24" t="str">
        <f>IF(A52="","",(IF(OR(AK52="Single",AK52="Married Filing Separately"),'CONSTANTS &amp; REFERENCES'!$C$7,IF(AK52="Married Filing Jointly",'CONSTANTS &amp; REFERENCES'!$H$7,IF(AK52="Head of Household",'CONSTANTS &amp; REFERENCES'!$M$7,""))))*AL52)</f>
        <v/>
      </c>
      <c r="AT52" s="21" t="str">
        <f>IF(AS52="","",IF(A52=0,IF(OR(AK52="Single",AK52="Married Filing Separately"),'CONSTANTS &amp; REFERENCES'!$C$7,IF(AK52="Married Filing Jointly",'CONSTANTS &amp; REFERENCES'!$H$7,IF(AK52="Head of Household",'CONSTANTS &amp; REFERENCES'!$M$7,""))),_xlfn.FLOOR.MATH(AS52,IF(AK52="Married Filing Separately",Bracket_Round_MFS,Bracket_Round_Standard))))</f>
        <v/>
      </c>
      <c r="AU52" s="24" t="str">
        <f>IF(A52="","",(IF(OR(AK52="Single",AK52="Married Filing Separately"),'CONSTANTS &amp; REFERENCES'!$C$8,IF(AK52="Married Filing Jointly",'CONSTANTS &amp; REFERENCES'!$H$8,IF(AK52="Head of Household",'CONSTANTS &amp; REFERENCES'!$M$8,""))))*AL52)</f>
        <v/>
      </c>
      <c r="AV52" s="21" t="str">
        <f>IF(AU52="","",IF(A52=0,IF(OR(AK52="Single",AK52="Married Filing Separately"),'CONSTANTS &amp; REFERENCES'!$C$8,IF(AK52="Married Filing Jointly",'CONSTANTS &amp; REFERENCES'!$H$8,IF(AK52="Head of Household",'CONSTANTS &amp; REFERENCES'!$M$8,""))),_xlfn.FLOOR.MATH(AU52,IF(AK52="Married Filing Separately",Bracket_Round_MFS,Bracket_Round_Standard))))</f>
        <v/>
      </c>
      <c r="AW52" s="24" t="str">
        <f>IF(A52="","",(IF(OR(AK52="Single",AK52="Married Filing Separately"),'CONSTANTS &amp; REFERENCES'!$C$9,IF(AK52="Married Filing Jointly",'CONSTANTS &amp; REFERENCES'!$H$9,IF(AK52="Head of Household",'CONSTANTS &amp; REFERENCES'!$M$9,""))))*AL52)</f>
        <v/>
      </c>
      <c r="AX52" s="21" t="str">
        <f>IF(AW52="","",IF(A52=0,IF(OR(AK52="Single",AK52="Married Filing Separately"),'CONSTANTS &amp; REFERENCES'!$C$9,IF(AK52="Married Filing Jointly",'CONSTANTS &amp; REFERENCES'!$H$9,IF(AK52="Head of Household",'CONSTANTS &amp; REFERENCES'!$M$9,""))),_xlfn.FLOOR.MATH(AW52,IF(AK52="Married Filing Separately",Bracket_Round_MFS,Bracket_Round_Standard))))</f>
        <v/>
      </c>
      <c r="AY52" s="24" t="str">
        <f>IF(A52="","",(IF(OR(AK52="Single",AK52="Married Filing Separately"),'CONSTANTS &amp; REFERENCES'!$C$10,IF(AK52="Married Filing Jointly",'CONSTANTS &amp; REFERENCES'!$H$10,IF(AK52="Head of Household",'CONSTANTS &amp; REFERENCES'!$M$10,""))))*AL52)</f>
        <v/>
      </c>
      <c r="AZ52" s="21" t="str">
        <f>IF(AY52="","",IF(A52=0,IF(OR(AK52="Single",AK52="Married Filing Separately"),'CONSTANTS &amp; REFERENCES'!$C$10,IF(AK52="Married Filing Jointly",'CONSTANTS &amp; REFERENCES'!$H$10,IF(AK52="Head of Household",'CONSTANTS &amp; REFERENCES'!$M$10,""))),_xlfn.FLOOR.MATH(AY52,IF(AK52="Married Filing Separately",Bracket_Round_MFS,Bracket_Round_Standard))))</f>
        <v/>
      </c>
      <c r="BA52" s="7" t="str">
        <f t="shared" si="28"/>
        <v/>
      </c>
      <c r="BB52" s="7" t="str">
        <f>IF(A52="","",'CONSTANTS &amp; REFERENCES'!$C$22*AL52)</f>
        <v/>
      </c>
      <c r="BC52" s="21" t="str">
        <f t="shared" si="19"/>
        <v/>
      </c>
    </row>
    <row r="53" spans="1:55" ht="18" customHeight="1" x14ac:dyDescent="0.3">
      <c r="A53" s="10" t="str">
        <f>IF(A52&lt;INPUTS!$C$7-INPUTS!$C$6,A52+1,"")</f>
        <v/>
      </c>
      <c r="B53" s="10" t="str">
        <f>IF(A53="","",INPUTS!$C$6+A53)</f>
        <v/>
      </c>
      <c r="C53" s="11" t="str">
        <f t="shared" si="29"/>
        <v/>
      </c>
      <c r="D53" s="11" t="str">
        <f>IF(A53="","",IF(A53&lt;INPUTS!$C$13,0,J53))</f>
        <v/>
      </c>
      <c r="E53" s="12" t="str">
        <f>IF(A53="","",IF(D53=0,"—",IF(Y53&lt;IF(AK53="Married Filing Jointly",'CONSTANTS &amp; REFERENCES'!$B$44,IF(AK53="Married Filing Separately",'CONSTANTS &amp; REFERENCES'!$B$45,'CONSTANTS &amp; REFERENCES'!$B$43)),"Direct","Backdoor")))</f>
        <v/>
      </c>
      <c r="F53" s="13" t="str">
        <f t="shared" si="20"/>
        <v/>
      </c>
      <c r="G53" s="14" t="str">
        <f t="shared" si="21"/>
        <v/>
      </c>
      <c r="H53" s="13" t="str">
        <f t="shared" si="22"/>
        <v/>
      </c>
      <c r="I53" s="14" t="str">
        <f t="shared" si="23"/>
        <v/>
      </c>
      <c r="J53" s="14" t="str">
        <f t="shared" si="24"/>
        <v/>
      </c>
      <c r="K53" s="11" t="str">
        <f>IF(A53="","",IF(INPUTS!$C$12="Beginning",(C53+D53)*INPUTS!$C$10,C53*INPUTS!$C$10))</f>
        <v/>
      </c>
      <c r="L53" s="11" t="str">
        <f>IF(A53="","",IF(INPUTS!$C$12="Beginning",(C53+D53)*(1+INPUTS!$C$10),C53*(1+INPUTS!$C$10)+D53))</f>
        <v/>
      </c>
      <c r="M53" s="15" t="str">
        <f>IF(A53="","",(1+INPUTS!$C$11)^A53)</f>
        <v/>
      </c>
      <c r="N53" s="11" t="str">
        <f t="shared" si="30"/>
        <v/>
      </c>
      <c r="O53" s="11" t="str">
        <f t="shared" si="31"/>
        <v/>
      </c>
      <c r="P53" s="11" t="str">
        <f>IF(A53="","",L53-INPUTS!$C$8-O53)</f>
        <v/>
      </c>
      <c r="Q53" s="16"/>
      <c r="R53" s="16"/>
      <c r="S53" s="16" t="str">
        <f t="shared" si="32"/>
        <v/>
      </c>
      <c r="T53" s="18" t="str">
        <f t="shared" si="33"/>
        <v/>
      </c>
      <c r="U53" s="18" t="str">
        <f t="shared" si="34"/>
        <v/>
      </c>
      <c r="V53" s="19" t="str">
        <f>IF(A53="","",FV(INPUTS!$C$10,INPUTS!$C$7-INPUTS!$C$6-A53+IF(INPUTS!$C$12="Beginning",1,0),0,-D53,0))</f>
        <v/>
      </c>
      <c r="W53" s="7"/>
      <c r="X53" s="7"/>
      <c r="Y53" s="21" t="str">
        <f>IF(A53="","",IF(INPUTS!$C$17="Yes",MIN(Y52*(1+INPUTS!$C$15)+IF(INPUTS!$C$27="Yes",(Z53-Z52)*INPUTS!$C$31+IF(AND(INPUTS!$C$28="Not yet credentialed",A53=INPUTS!$C$33),INPUTS!$C$32,0)+IF(AND(INPUTS!$C$28&lt;&gt;"FSA / FCAS",A53=INPUTS!$C$35),INPUTS!$C$34,0),0),INPUTS!$C$18),Y52*(1+INPUTS!$C$15)+IF(INPUTS!$C$27="Yes",(Z53-Z52)*INPUTS!$C$31+IF(AND(INPUTS!$C$28="Not yet credentialed",A53=INPUTS!$C$33),INPUTS!$C$32,0)+IF(AND(INPUTS!$C$28&lt;&gt;"FSA / FCAS",A53=INPUTS!$C$35),INPUTS!$C$34,0),0)))</f>
        <v/>
      </c>
      <c r="Z53" s="22" t="str">
        <f>IF(A53="","",IF(AND(INPUTS!$C$27="Yes",INPUTS!$C$28&lt;&gt;"FSA / FCAS",ISNUMBER(INPUTS!$C$37)),MIN(A53*INPUTS!$C$37,INPUTS!$C$30),0))</f>
        <v/>
      </c>
      <c r="AA53" s="21" t="str">
        <f t="shared" si="25"/>
        <v/>
      </c>
      <c r="AB53" s="21" t="str">
        <f t="shared" si="26"/>
        <v/>
      </c>
      <c r="AC53" s="21" t="str">
        <f>IF(A53="","",MIN(AB53,AP53)*'CONSTANTS &amp; REFERENCES'!$A$5+MAX(MIN(AB53,AR53)-AP53,0)*'CONSTANTS &amp; REFERENCES'!$A$6+MAX(MIN(AB53,AT53)-AR53,0)*'CONSTANTS &amp; REFERENCES'!$A$7+MAX(MIN(AB53,AV53)-AT53,0)*'CONSTANTS &amp; REFERENCES'!$A$8+MAX(MIN(AB53,AX53)-AV53,0)*'CONSTANTS &amp; REFERENCES'!$A$9+MAX(MIN(AB53,AZ53)-AX53,0)*'CONSTANTS &amp; REFERENCES'!$A$10+MAX(AB53-AZ53,0)*'CONSTANTS &amp; REFERENCES'!$A$11)</f>
        <v/>
      </c>
      <c r="AD53" s="21" t="str">
        <f>IF(AB53="","",IF(INPUTS!$C$20="Yes",AB53*INPUTS!$C$21,0))</f>
        <v/>
      </c>
      <c r="AE53" s="21" t="str">
        <f>IF(Y53="","",MIN(Y53,BC53)*'CONSTANTS &amp; REFERENCES'!$B$22)</f>
        <v/>
      </c>
      <c r="AF53" s="21" t="str">
        <f>IF(Y53="","",Y53*'CONSTANTS &amp; REFERENCES'!$B$24+MAX(0,Y53-IF(AK53="Married Filing Jointly",'CONSTANTS &amp; REFERENCES'!$C$26,IF(AK53="Married Filing Separately",'CONSTANTS &amp; REFERENCES'!$C$27,IF(AK53="Head of Household",'CONSTANTS &amp; REFERENCES'!$C$28,'CONSTANTS &amp; REFERENCES'!$C$25))))*'CONSTANTS &amp; REFERENCES'!$B$25)</f>
        <v/>
      </c>
      <c r="AG53" s="21" t="str">
        <f t="shared" si="15"/>
        <v/>
      </c>
      <c r="AH53" s="21" t="str">
        <f t="shared" si="16"/>
        <v/>
      </c>
      <c r="AI53" s="21" t="str">
        <f t="shared" si="17"/>
        <v/>
      </c>
      <c r="AJ53" s="21" t="str">
        <f t="shared" si="18"/>
        <v/>
      </c>
      <c r="AK53" s="7" t="str">
        <f>IF(A53="","",IF(AND(INPUTS!$C$43="Yes",A53&gt;=INPUTS!$C$45),INPUTS!$C$44,INPUTS!$C$19))</f>
        <v/>
      </c>
      <c r="AL53" s="23" t="str">
        <f t="shared" si="27"/>
        <v/>
      </c>
      <c r="AM53" s="24" t="str">
        <f>IF(A53="","",(IF(OR(AK53="Single",AK53="Married Filing Separately"),'CONSTANTS &amp; REFERENCES'!$B$13,IF(AK53="Married Filing Jointly",'CONSTANTS &amp; REFERENCES'!$G$13,IF(AK53="Head of Household",'CONSTANTS &amp; REFERENCES'!$L$13,""))))*AL53)</f>
        <v/>
      </c>
      <c r="AN53" s="21" t="str">
        <f>IF(AM53="","",IF(A53=0,IF(OR(AK53="Single",AK53="Married Filing Separately"),'CONSTANTS &amp; REFERENCES'!$B$13,IF(AK53="Married Filing Jointly",'CONSTANTS &amp; REFERENCES'!$G$13,IF(AK53="Head of Household",'CONSTANTS &amp; REFERENCES'!$L$13,""))),_xlfn.FLOOR.MATH(AM53,IF(AK53="Married Filing Separately",Bracket_Round_MFS,Bracket_Round_Standard))))</f>
        <v/>
      </c>
      <c r="AO53" s="24" t="str">
        <f>IF(A53="","",(IF(OR(AK53="Single",AK53="Married Filing Separately"),'CONSTANTS &amp; REFERENCES'!$C$5,IF(AK53="Married Filing Jointly",'CONSTANTS &amp; REFERENCES'!$H$5,IF(AK53="Head of Household",'CONSTANTS &amp; REFERENCES'!$M$5,""))))*AL53)</f>
        <v/>
      </c>
      <c r="AP53" s="21" t="str">
        <f>IF(AO53="","",IF(A53=0,IF(OR(AK53="Single",AK53="Married Filing Separately"),'CONSTANTS &amp; REFERENCES'!$C$5,IF(AK53="Married Filing Jointly",'CONSTANTS &amp; REFERENCES'!$H$5,IF(AK53="Head of Household",'CONSTANTS &amp; REFERENCES'!$M$5,""))),_xlfn.FLOOR.MATH(AO53,IF(AK53="Married Filing Separately",Bracket_Round_MFS,Bracket_Round_Standard))))</f>
        <v/>
      </c>
      <c r="AQ53" s="24" t="str">
        <f>IF(A53="","",(IF(OR(AK53="Single",AK53="Married Filing Separately"),'CONSTANTS &amp; REFERENCES'!$C$6,IF(AK53="Married Filing Jointly",'CONSTANTS &amp; REFERENCES'!$H$6,IF(AK53="Head of Household",'CONSTANTS &amp; REFERENCES'!$M$6,""))))*AL53)</f>
        <v/>
      </c>
      <c r="AR53" s="21" t="str">
        <f>IF(AQ53="","",IF(A53=0,IF(OR(AK53="Single",AK53="Married Filing Separately"),'CONSTANTS &amp; REFERENCES'!$C$6,IF(AK53="Married Filing Jointly",'CONSTANTS &amp; REFERENCES'!$H$6,IF(AK53="Head of Household",'CONSTANTS &amp; REFERENCES'!$M$6,""))),_xlfn.FLOOR.MATH(AQ53,IF(AK53="Married Filing Separately",Bracket_Round_MFS,Bracket_Round_Standard))))</f>
        <v/>
      </c>
      <c r="AS53" s="24" t="str">
        <f>IF(A53="","",(IF(OR(AK53="Single",AK53="Married Filing Separately"),'CONSTANTS &amp; REFERENCES'!$C$7,IF(AK53="Married Filing Jointly",'CONSTANTS &amp; REFERENCES'!$H$7,IF(AK53="Head of Household",'CONSTANTS &amp; REFERENCES'!$M$7,""))))*AL53)</f>
        <v/>
      </c>
      <c r="AT53" s="21" t="str">
        <f>IF(AS53="","",IF(A53=0,IF(OR(AK53="Single",AK53="Married Filing Separately"),'CONSTANTS &amp; REFERENCES'!$C$7,IF(AK53="Married Filing Jointly",'CONSTANTS &amp; REFERENCES'!$H$7,IF(AK53="Head of Household",'CONSTANTS &amp; REFERENCES'!$M$7,""))),_xlfn.FLOOR.MATH(AS53,IF(AK53="Married Filing Separately",Bracket_Round_MFS,Bracket_Round_Standard))))</f>
        <v/>
      </c>
      <c r="AU53" s="24" t="str">
        <f>IF(A53="","",(IF(OR(AK53="Single",AK53="Married Filing Separately"),'CONSTANTS &amp; REFERENCES'!$C$8,IF(AK53="Married Filing Jointly",'CONSTANTS &amp; REFERENCES'!$H$8,IF(AK53="Head of Household",'CONSTANTS &amp; REFERENCES'!$M$8,""))))*AL53)</f>
        <v/>
      </c>
      <c r="AV53" s="21" t="str">
        <f>IF(AU53="","",IF(A53=0,IF(OR(AK53="Single",AK53="Married Filing Separately"),'CONSTANTS &amp; REFERENCES'!$C$8,IF(AK53="Married Filing Jointly",'CONSTANTS &amp; REFERENCES'!$H$8,IF(AK53="Head of Household",'CONSTANTS &amp; REFERENCES'!$M$8,""))),_xlfn.FLOOR.MATH(AU53,IF(AK53="Married Filing Separately",Bracket_Round_MFS,Bracket_Round_Standard))))</f>
        <v/>
      </c>
      <c r="AW53" s="24" t="str">
        <f>IF(A53="","",(IF(OR(AK53="Single",AK53="Married Filing Separately"),'CONSTANTS &amp; REFERENCES'!$C$9,IF(AK53="Married Filing Jointly",'CONSTANTS &amp; REFERENCES'!$H$9,IF(AK53="Head of Household",'CONSTANTS &amp; REFERENCES'!$M$9,""))))*AL53)</f>
        <v/>
      </c>
      <c r="AX53" s="21" t="str">
        <f>IF(AW53="","",IF(A53=0,IF(OR(AK53="Single",AK53="Married Filing Separately"),'CONSTANTS &amp; REFERENCES'!$C$9,IF(AK53="Married Filing Jointly",'CONSTANTS &amp; REFERENCES'!$H$9,IF(AK53="Head of Household",'CONSTANTS &amp; REFERENCES'!$M$9,""))),_xlfn.FLOOR.MATH(AW53,IF(AK53="Married Filing Separately",Bracket_Round_MFS,Bracket_Round_Standard))))</f>
        <v/>
      </c>
      <c r="AY53" s="24" t="str">
        <f>IF(A53="","",(IF(OR(AK53="Single",AK53="Married Filing Separately"),'CONSTANTS &amp; REFERENCES'!$C$10,IF(AK53="Married Filing Jointly",'CONSTANTS &amp; REFERENCES'!$H$10,IF(AK53="Head of Household",'CONSTANTS &amp; REFERENCES'!$M$10,""))))*AL53)</f>
        <v/>
      </c>
      <c r="AZ53" s="21" t="str">
        <f>IF(AY53="","",IF(A53=0,IF(OR(AK53="Single",AK53="Married Filing Separately"),'CONSTANTS &amp; REFERENCES'!$C$10,IF(AK53="Married Filing Jointly",'CONSTANTS &amp; REFERENCES'!$H$10,IF(AK53="Head of Household",'CONSTANTS &amp; REFERENCES'!$M$10,""))),_xlfn.FLOOR.MATH(AY53,IF(AK53="Married Filing Separately",Bracket_Round_MFS,Bracket_Round_Standard))))</f>
        <v/>
      </c>
      <c r="BA53" s="7" t="str">
        <f t="shared" si="28"/>
        <v/>
      </c>
      <c r="BB53" s="7" t="str">
        <f>IF(A53="","",'CONSTANTS &amp; REFERENCES'!$C$22*AL53)</f>
        <v/>
      </c>
      <c r="BC53" s="21" t="str">
        <f t="shared" si="19"/>
        <v/>
      </c>
    </row>
    <row r="54" spans="1:55" ht="18" customHeight="1" x14ac:dyDescent="0.3">
      <c r="A54" s="10" t="str">
        <f>IF(A53&lt;INPUTS!$C$7-INPUTS!$C$6,A53+1,"")</f>
        <v/>
      </c>
      <c r="B54" s="10" t="str">
        <f>IF(A54="","",INPUTS!$C$6+A54)</f>
        <v/>
      </c>
      <c r="C54" s="11" t="str">
        <f t="shared" si="29"/>
        <v/>
      </c>
      <c r="D54" s="11" t="str">
        <f>IF(A54="","",IF(A54&lt;INPUTS!$C$13,0,J54))</f>
        <v/>
      </c>
      <c r="E54" s="12" t="str">
        <f>IF(A54="","",IF(D54=0,"—",IF(Y54&lt;IF(AK54="Married Filing Jointly",'CONSTANTS &amp; REFERENCES'!$B$44,IF(AK54="Married Filing Separately",'CONSTANTS &amp; REFERENCES'!$B$45,'CONSTANTS &amp; REFERENCES'!$B$43)),"Direct","Backdoor")))</f>
        <v/>
      </c>
      <c r="F54" s="13" t="str">
        <f t="shared" si="20"/>
        <v/>
      </c>
      <c r="G54" s="14" t="str">
        <f t="shared" si="21"/>
        <v/>
      </c>
      <c r="H54" s="13" t="str">
        <f t="shared" si="22"/>
        <v/>
      </c>
      <c r="I54" s="14" t="str">
        <f t="shared" si="23"/>
        <v/>
      </c>
      <c r="J54" s="14" t="str">
        <f t="shared" si="24"/>
        <v/>
      </c>
      <c r="K54" s="11" t="str">
        <f>IF(A54="","",IF(INPUTS!$C$12="Beginning",(C54+D54)*INPUTS!$C$10,C54*INPUTS!$C$10))</f>
        <v/>
      </c>
      <c r="L54" s="11" t="str">
        <f>IF(A54="","",IF(INPUTS!$C$12="Beginning",(C54+D54)*(1+INPUTS!$C$10),C54*(1+INPUTS!$C$10)+D54))</f>
        <v/>
      </c>
      <c r="M54" s="15" t="str">
        <f>IF(A54="","",(1+INPUTS!$C$11)^A54)</f>
        <v/>
      </c>
      <c r="N54" s="11" t="str">
        <f t="shared" si="30"/>
        <v/>
      </c>
      <c r="O54" s="11" t="str">
        <f t="shared" si="31"/>
        <v/>
      </c>
      <c r="P54" s="11" t="str">
        <f>IF(A54="","",L54-INPUTS!$C$8-O54)</f>
        <v/>
      </c>
      <c r="Q54" s="16"/>
      <c r="R54" s="16"/>
      <c r="S54" s="16" t="str">
        <f t="shared" si="32"/>
        <v/>
      </c>
      <c r="T54" s="18" t="str">
        <f t="shared" si="33"/>
        <v/>
      </c>
      <c r="U54" s="18" t="str">
        <f t="shared" si="34"/>
        <v/>
      </c>
      <c r="V54" s="19" t="str">
        <f>IF(A54="","",FV(INPUTS!$C$10,INPUTS!$C$7-INPUTS!$C$6-A54+IF(INPUTS!$C$12="Beginning",1,0),0,-D54,0))</f>
        <v/>
      </c>
      <c r="W54" s="7"/>
      <c r="X54" s="7"/>
      <c r="Y54" s="21" t="str">
        <f>IF(A54="","",IF(INPUTS!$C$17="Yes",MIN(Y53*(1+INPUTS!$C$15)+IF(INPUTS!$C$27="Yes",(Z54-Z53)*INPUTS!$C$31+IF(AND(INPUTS!$C$28="Not yet credentialed",A54=INPUTS!$C$33),INPUTS!$C$32,0)+IF(AND(INPUTS!$C$28&lt;&gt;"FSA / FCAS",A54=INPUTS!$C$35),INPUTS!$C$34,0),0),INPUTS!$C$18),Y53*(1+INPUTS!$C$15)+IF(INPUTS!$C$27="Yes",(Z54-Z53)*INPUTS!$C$31+IF(AND(INPUTS!$C$28="Not yet credentialed",A54=INPUTS!$C$33),INPUTS!$C$32,0)+IF(AND(INPUTS!$C$28&lt;&gt;"FSA / FCAS",A54=INPUTS!$C$35),INPUTS!$C$34,0),0)))</f>
        <v/>
      </c>
      <c r="Z54" s="22" t="str">
        <f>IF(A54="","",IF(AND(INPUTS!$C$27="Yes",INPUTS!$C$28&lt;&gt;"FSA / FCAS",ISNUMBER(INPUTS!$C$37)),MIN(A54*INPUTS!$C$37,INPUTS!$C$30),0))</f>
        <v/>
      </c>
      <c r="AA54" s="21" t="str">
        <f t="shared" si="25"/>
        <v/>
      </c>
      <c r="AB54" s="21" t="str">
        <f t="shared" si="26"/>
        <v/>
      </c>
      <c r="AC54" s="21" t="str">
        <f>IF(A54="","",MIN(AB54,AP54)*'CONSTANTS &amp; REFERENCES'!$A$5+MAX(MIN(AB54,AR54)-AP54,0)*'CONSTANTS &amp; REFERENCES'!$A$6+MAX(MIN(AB54,AT54)-AR54,0)*'CONSTANTS &amp; REFERENCES'!$A$7+MAX(MIN(AB54,AV54)-AT54,0)*'CONSTANTS &amp; REFERENCES'!$A$8+MAX(MIN(AB54,AX54)-AV54,0)*'CONSTANTS &amp; REFERENCES'!$A$9+MAX(MIN(AB54,AZ54)-AX54,0)*'CONSTANTS &amp; REFERENCES'!$A$10+MAX(AB54-AZ54,0)*'CONSTANTS &amp; REFERENCES'!$A$11)</f>
        <v/>
      </c>
      <c r="AD54" s="21" t="str">
        <f>IF(AB54="","",IF(INPUTS!$C$20="Yes",AB54*INPUTS!$C$21,0))</f>
        <v/>
      </c>
      <c r="AE54" s="21" t="str">
        <f>IF(Y54="","",MIN(Y54,BC54)*'CONSTANTS &amp; REFERENCES'!$B$22)</f>
        <v/>
      </c>
      <c r="AF54" s="21" t="str">
        <f>IF(Y54="","",Y54*'CONSTANTS &amp; REFERENCES'!$B$24+MAX(0,Y54-IF(AK54="Married Filing Jointly",'CONSTANTS &amp; REFERENCES'!$C$26,IF(AK54="Married Filing Separately",'CONSTANTS &amp; REFERENCES'!$C$27,IF(AK54="Head of Household",'CONSTANTS &amp; REFERENCES'!$C$28,'CONSTANTS &amp; REFERENCES'!$C$25))))*'CONSTANTS &amp; REFERENCES'!$B$25)</f>
        <v/>
      </c>
      <c r="AG54" s="21" t="str">
        <f t="shared" si="15"/>
        <v/>
      </c>
      <c r="AH54" s="21" t="str">
        <f t="shared" si="16"/>
        <v/>
      </c>
      <c r="AI54" s="21" t="str">
        <f t="shared" si="17"/>
        <v/>
      </c>
      <c r="AJ54" s="21" t="str">
        <f t="shared" si="18"/>
        <v/>
      </c>
      <c r="AK54" s="7" t="str">
        <f>IF(A54="","",IF(AND(INPUTS!$C$43="Yes",A54&gt;=INPUTS!$C$45),INPUTS!$C$44,INPUTS!$C$19))</f>
        <v/>
      </c>
      <c r="AL54" s="23" t="str">
        <f t="shared" si="27"/>
        <v/>
      </c>
      <c r="AM54" s="24" t="str">
        <f>IF(A54="","",(IF(OR(AK54="Single",AK54="Married Filing Separately"),'CONSTANTS &amp; REFERENCES'!$B$13,IF(AK54="Married Filing Jointly",'CONSTANTS &amp; REFERENCES'!$G$13,IF(AK54="Head of Household",'CONSTANTS &amp; REFERENCES'!$L$13,""))))*AL54)</f>
        <v/>
      </c>
      <c r="AN54" s="21" t="str">
        <f>IF(AM54="","",IF(A54=0,IF(OR(AK54="Single",AK54="Married Filing Separately"),'CONSTANTS &amp; REFERENCES'!$B$13,IF(AK54="Married Filing Jointly",'CONSTANTS &amp; REFERENCES'!$G$13,IF(AK54="Head of Household",'CONSTANTS &amp; REFERENCES'!$L$13,""))),_xlfn.FLOOR.MATH(AM54,IF(AK54="Married Filing Separately",Bracket_Round_MFS,Bracket_Round_Standard))))</f>
        <v/>
      </c>
      <c r="AO54" s="24" t="str">
        <f>IF(A54="","",(IF(OR(AK54="Single",AK54="Married Filing Separately"),'CONSTANTS &amp; REFERENCES'!$C$5,IF(AK54="Married Filing Jointly",'CONSTANTS &amp; REFERENCES'!$H$5,IF(AK54="Head of Household",'CONSTANTS &amp; REFERENCES'!$M$5,""))))*AL54)</f>
        <v/>
      </c>
      <c r="AP54" s="21" t="str">
        <f>IF(AO54="","",IF(A54=0,IF(OR(AK54="Single",AK54="Married Filing Separately"),'CONSTANTS &amp; REFERENCES'!$C$5,IF(AK54="Married Filing Jointly",'CONSTANTS &amp; REFERENCES'!$H$5,IF(AK54="Head of Household",'CONSTANTS &amp; REFERENCES'!$M$5,""))),_xlfn.FLOOR.MATH(AO54,IF(AK54="Married Filing Separately",Bracket_Round_MFS,Bracket_Round_Standard))))</f>
        <v/>
      </c>
      <c r="AQ54" s="24" t="str">
        <f>IF(A54="","",(IF(OR(AK54="Single",AK54="Married Filing Separately"),'CONSTANTS &amp; REFERENCES'!$C$6,IF(AK54="Married Filing Jointly",'CONSTANTS &amp; REFERENCES'!$H$6,IF(AK54="Head of Household",'CONSTANTS &amp; REFERENCES'!$M$6,""))))*AL54)</f>
        <v/>
      </c>
      <c r="AR54" s="21" t="str">
        <f>IF(AQ54="","",IF(A54=0,IF(OR(AK54="Single",AK54="Married Filing Separately"),'CONSTANTS &amp; REFERENCES'!$C$6,IF(AK54="Married Filing Jointly",'CONSTANTS &amp; REFERENCES'!$H$6,IF(AK54="Head of Household",'CONSTANTS &amp; REFERENCES'!$M$6,""))),_xlfn.FLOOR.MATH(AQ54,IF(AK54="Married Filing Separately",Bracket_Round_MFS,Bracket_Round_Standard))))</f>
        <v/>
      </c>
      <c r="AS54" s="24" t="str">
        <f>IF(A54="","",(IF(OR(AK54="Single",AK54="Married Filing Separately"),'CONSTANTS &amp; REFERENCES'!$C$7,IF(AK54="Married Filing Jointly",'CONSTANTS &amp; REFERENCES'!$H$7,IF(AK54="Head of Household",'CONSTANTS &amp; REFERENCES'!$M$7,""))))*AL54)</f>
        <v/>
      </c>
      <c r="AT54" s="21" t="str">
        <f>IF(AS54="","",IF(A54=0,IF(OR(AK54="Single",AK54="Married Filing Separately"),'CONSTANTS &amp; REFERENCES'!$C$7,IF(AK54="Married Filing Jointly",'CONSTANTS &amp; REFERENCES'!$H$7,IF(AK54="Head of Household",'CONSTANTS &amp; REFERENCES'!$M$7,""))),_xlfn.FLOOR.MATH(AS54,IF(AK54="Married Filing Separately",Bracket_Round_MFS,Bracket_Round_Standard))))</f>
        <v/>
      </c>
      <c r="AU54" s="24" t="str">
        <f>IF(A54="","",(IF(OR(AK54="Single",AK54="Married Filing Separately"),'CONSTANTS &amp; REFERENCES'!$C$8,IF(AK54="Married Filing Jointly",'CONSTANTS &amp; REFERENCES'!$H$8,IF(AK54="Head of Household",'CONSTANTS &amp; REFERENCES'!$M$8,""))))*AL54)</f>
        <v/>
      </c>
      <c r="AV54" s="21" t="str">
        <f>IF(AU54="","",IF(A54=0,IF(OR(AK54="Single",AK54="Married Filing Separately"),'CONSTANTS &amp; REFERENCES'!$C$8,IF(AK54="Married Filing Jointly",'CONSTANTS &amp; REFERENCES'!$H$8,IF(AK54="Head of Household",'CONSTANTS &amp; REFERENCES'!$M$8,""))),_xlfn.FLOOR.MATH(AU54,IF(AK54="Married Filing Separately",Bracket_Round_MFS,Bracket_Round_Standard))))</f>
        <v/>
      </c>
      <c r="AW54" s="24" t="str">
        <f>IF(A54="","",(IF(OR(AK54="Single",AK54="Married Filing Separately"),'CONSTANTS &amp; REFERENCES'!$C$9,IF(AK54="Married Filing Jointly",'CONSTANTS &amp; REFERENCES'!$H$9,IF(AK54="Head of Household",'CONSTANTS &amp; REFERENCES'!$M$9,""))))*AL54)</f>
        <v/>
      </c>
      <c r="AX54" s="21" t="str">
        <f>IF(AW54="","",IF(A54=0,IF(OR(AK54="Single",AK54="Married Filing Separately"),'CONSTANTS &amp; REFERENCES'!$C$9,IF(AK54="Married Filing Jointly",'CONSTANTS &amp; REFERENCES'!$H$9,IF(AK54="Head of Household",'CONSTANTS &amp; REFERENCES'!$M$9,""))),_xlfn.FLOOR.MATH(AW54,IF(AK54="Married Filing Separately",Bracket_Round_MFS,Bracket_Round_Standard))))</f>
        <v/>
      </c>
      <c r="AY54" s="24" t="str">
        <f>IF(A54="","",(IF(OR(AK54="Single",AK54="Married Filing Separately"),'CONSTANTS &amp; REFERENCES'!$C$10,IF(AK54="Married Filing Jointly",'CONSTANTS &amp; REFERENCES'!$H$10,IF(AK54="Head of Household",'CONSTANTS &amp; REFERENCES'!$M$10,""))))*AL54)</f>
        <v/>
      </c>
      <c r="AZ54" s="21" t="str">
        <f>IF(AY54="","",IF(A54=0,IF(OR(AK54="Single",AK54="Married Filing Separately"),'CONSTANTS &amp; REFERENCES'!$C$10,IF(AK54="Married Filing Jointly",'CONSTANTS &amp; REFERENCES'!$H$10,IF(AK54="Head of Household",'CONSTANTS &amp; REFERENCES'!$M$10,""))),_xlfn.FLOOR.MATH(AY54,IF(AK54="Married Filing Separately",Bracket_Round_MFS,Bracket_Round_Standard))))</f>
        <v/>
      </c>
      <c r="BA54" s="7" t="str">
        <f t="shared" si="28"/>
        <v/>
      </c>
      <c r="BB54" s="7" t="str">
        <f>IF(A54="","",'CONSTANTS &amp; REFERENCES'!$C$22*AL54)</f>
        <v/>
      </c>
      <c r="BC54" s="21" t="str">
        <f t="shared" si="19"/>
        <v/>
      </c>
    </row>
    <row r="55" spans="1:55" ht="18" customHeight="1" x14ac:dyDescent="0.3">
      <c r="A55" s="10" t="str">
        <f>IF(A54&lt;INPUTS!$C$7-INPUTS!$C$6,A54+1,"")</f>
        <v/>
      </c>
      <c r="B55" s="10" t="str">
        <f>IF(A55="","",INPUTS!$C$6+A55)</f>
        <v/>
      </c>
      <c r="C55" s="11" t="str">
        <f t="shared" si="29"/>
        <v/>
      </c>
      <c r="D55" s="11" t="str">
        <f>IF(A55="","",IF(A55&lt;INPUTS!$C$13,0,J55))</f>
        <v/>
      </c>
      <c r="E55" s="12" t="str">
        <f>IF(A55="","",IF(D55=0,"—",IF(Y55&lt;IF(AK55="Married Filing Jointly",'CONSTANTS &amp; REFERENCES'!$B$44,IF(AK55="Married Filing Separately",'CONSTANTS &amp; REFERENCES'!$B$45,'CONSTANTS &amp; REFERENCES'!$B$43)),"Direct","Backdoor")))</f>
        <v/>
      </c>
      <c r="F55" s="13" t="str">
        <f t="shared" si="20"/>
        <v/>
      </c>
      <c r="G55" s="14" t="str">
        <f t="shared" si="21"/>
        <v/>
      </c>
      <c r="H55" s="13" t="str">
        <f t="shared" si="22"/>
        <v/>
      </c>
      <c r="I55" s="14" t="str">
        <f t="shared" si="23"/>
        <v/>
      </c>
      <c r="J55" s="14" t="str">
        <f t="shared" si="24"/>
        <v/>
      </c>
      <c r="K55" s="11" t="str">
        <f>IF(A55="","",IF(INPUTS!$C$12="Beginning",(C55+D55)*INPUTS!$C$10,C55*INPUTS!$C$10))</f>
        <v/>
      </c>
      <c r="L55" s="11" t="str">
        <f>IF(A55="","",IF(INPUTS!$C$12="Beginning",(C55+D55)*(1+INPUTS!$C$10),C55*(1+INPUTS!$C$10)+D55))</f>
        <v/>
      </c>
      <c r="M55" s="15" t="str">
        <f>IF(A55="","",(1+INPUTS!$C$11)^A55)</f>
        <v/>
      </c>
      <c r="N55" s="11" t="str">
        <f t="shared" si="30"/>
        <v/>
      </c>
      <c r="O55" s="11" t="str">
        <f t="shared" si="31"/>
        <v/>
      </c>
      <c r="P55" s="11" t="str">
        <f>IF(A55="","",L55-INPUTS!$C$8-O55)</f>
        <v/>
      </c>
      <c r="Q55" s="16"/>
      <c r="R55" s="16"/>
      <c r="S55" s="16" t="str">
        <f t="shared" si="32"/>
        <v/>
      </c>
      <c r="T55" s="18" t="str">
        <f t="shared" si="33"/>
        <v/>
      </c>
      <c r="U55" s="18" t="str">
        <f t="shared" si="34"/>
        <v/>
      </c>
      <c r="V55" s="19" t="str">
        <f>IF(A55="","",FV(INPUTS!$C$10,INPUTS!$C$7-INPUTS!$C$6-A55+IF(INPUTS!$C$12="Beginning",1,0),0,-D55,0))</f>
        <v/>
      </c>
      <c r="W55" s="7"/>
      <c r="X55" s="7"/>
      <c r="Y55" s="21" t="str">
        <f>IF(A55="","",IF(INPUTS!$C$17="Yes",MIN(Y54*(1+INPUTS!$C$15)+IF(INPUTS!$C$27="Yes",(Z55-Z54)*INPUTS!$C$31+IF(AND(INPUTS!$C$28="Not yet credentialed",A55=INPUTS!$C$33),INPUTS!$C$32,0)+IF(AND(INPUTS!$C$28&lt;&gt;"FSA / FCAS",A55=INPUTS!$C$35),INPUTS!$C$34,0),0),INPUTS!$C$18),Y54*(1+INPUTS!$C$15)+IF(INPUTS!$C$27="Yes",(Z55-Z54)*INPUTS!$C$31+IF(AND(INPUTS!$C$28="Not yet credentialed",A55=INPUTS!$C$33),INPUTS!$C$32,0)+IF(AND(INPUTS!$C$28&lt;&gt;"FSA / FCAS",A55=INPUTS!$C$35),INPUTS!$C$34,0),0)))</f>
        <v/>
      </c>
      <c r="Z55" s="22" t="str">
        <f>IF(A55="","",IF(AND(INPUTS!$C$27="Yes",INPUTS!$C$28&lt;&gt;"FSA / FCAS",ISNUMBER(INPUTS!$C$37)),MIN(A55*INPUTS!$C$37,INPUTS!$C$30),0))</f>
        <v/>
      </c>
      <c r="AA55" s="21" t="str">
        <f t="shared" si="25"/>
        <v/>
      </c>
      <c r="AB55" s="21" t="str">
        <f t="shared" si="26"/>
        <v/>
      </c>
      <c r="AC55" s="21" t="str">
        <f>IF(A55="","",MIN(AB55,AP55)*'CONSTANTS &amp; REFERENCES'!$A$5+MAX(MIN(AB55,AR55)-AP55,0)*'CONSTANTS &amp; REFERENCES'!$A$6+MAX(MIN(AB55,AT55)-AR55,0)*'CONSTANTS &amp; REFERENCES'!$A$7+MAX(MIN(AB55,AV55)-AT55,0)*'CONSTANTS &amp; REFERENCES'!$A$8+MAX(MIN(AB55,AX55)-AV55,0)*'CONSTANTS &amp; REFERENCES'!$A$9+MAX(MIN(AB55,AZ55)-AX55,0)*'CONSTANTS &amp; REFERENCES'!$A$10+MAX(AB55-AZ55,0)*'CONSTANTS &amp; REFERENCES'!$A$11)</f>
        <v/>
      </c>
      <c r="AD55" s="21" t="str">
        <f>IF(AB55="","",IF(INPUTS!$C$20="Yes",AB55*INPUTS!$C$21,0))</f>
        <v/>
      </c>
      <c r="AE55" s="21" t="str">
        <f>IF(Y55="","",MIN(Y55,BC55)*'CONSTANTS &amp; REFERENCES'!$B$22)</f>
        <v/>
      </c>
      <c r="AF55" s="21" t="str">
        <f>IF(Y55="","",Y55*'CONSTANTS &amp; REFERENCES'!$B$24+MAX(0,Y55-IF(AK55="Married Filing Jointly",'CONSTANTS &amp; REFERENCES'!$C$26,IF(AK55="Married Filing Separately",'CONSTANTS &amp; REFERENCES'!$C$27,IF(AK55="Head of Household",'CONSTANTS &amp; REFERENCES'!$C$28,'CONSTANTS &amp; REFERENCES'!$C$25))))*'CONSTANTS &amp; REFERENCES'!$B$25)</f>
        <v/>
      </c>
      <c r="AG55" s="21" t="str">
        <f t="shared" si="15"/>
        <v/>
      </c>
      <c r="AH55" s="21" t="str">
        <f t="shared" si="16"/>
        <v/>
      </c>
      <c r="AI55" s="21" t="str">
        <f t="shared" si="17"/>
        <v/>
      </c>
      <c r="AJ55" s="21" t="str">
        <f t="shared" si="18"/>
        <v/>
      </c>
      <c r="AK55" s="7" t="str">
        <f>IF(A55="","",IF(AND(INPUTS!$C$43="Yes",A55&gt;=INPUTS!$C$45),INPUTS!$C$44,INPUTS!$C$19))</f>
        <v/>
      </c>
      <c r="AL55" s="23" t="str">
        <f t="shared" si="27"/>
        <v/>
      </c>
      <c r="AM55" s="24" t="str">
        <f>IF(A55="","",(IF(OR(AK55="Single",AK55="Married Filing Separately"),'CONSTANTS &amp; REFERENCES'!$B$13,IF(AK55="Married Filing Jointly",'CONSTANTS &amp; REFERENCES'!$G$13,IF(AK55="Head of Household",'CONSTANTS &amp; REFERENCES'!$L$13,""))))*AL55)</f>
        <v/>
      </c>
      <c r="AN55" s="21" t="str">
        <f>IF(AM55="","",IF(A55=0,IF(OR(AK55="Single",AK55="Married Filing Separately"),'CONSTANTS &amp; REFERENCES'!$B$13,IF(AK55="Married Filing Jointly",'CONSTANTS &amp; REFERENCES'!$G$13,IF(AK55="Head of Household",'CONSTANTS &amp; REFERENCES'!$L$13,""))),_xlfn.FLOOR.MATH(AM55,IF(AK55="Married Filing Separately",Bracket_Round_MFS,Bracket_Round_Standard))))</f>
        <v/>
      </c>
      <c r="AO55" s="24" t="str">
        <f>IF(A55="","",(IF(OR(AK55="Single",AK55="Married Filing Separately"),'CONSTANTS &amp; REFERENCES'!$C$5,IF(AK55="Married Filing Jointly",'CONSTANTS &amp; REFERENCES'!$H$5,IF(AK55="Head of Household",'CONSTANTS &amp; REFERENCES'!$M$5,""))))*AL55)</f>
        <v/>
      </c>
      <c r="AP55" s="21" t="str">
        <f>IF(AO55="","",IF(A55=0,IF(OR(AK55="Single",AK55="Married Filing Separately"),'CONSTANTS &amp; REFERENCES'!$C$5,IF(AK55="Married Filing Jointly",'CONSTANTS &amp; REFERENCES'!$H$5,IF(AK55="Head of Household",'CONSTANTS &amp; REFERENCES'!$M$5,""))),_xlfn.FLOOR.MATH(AO55,IF(AK55="Married Filing Separately",Bracket_Round_MFS,Bracket_Round_Standard))))</f>
        <v/>
      </c>
      <c r="AQ55" s="24" t="str">
        <f>IF(A55="","",(IF(OR(AK55="Single",AK55="Married Filing Separately"),'CONSTANTS &amp; REFERENCES'!$C$6,IF(AK55="Married Filing Jointly",'CONSTANTS &amp; REFERENCES'!$H$6,IF(AK55="Head of Household",'CONSTANTS &amp; REFERENCES'!$M$6,""))))*AL55)</f>
        <v/>
      </c>
      <c r="AR55" s="21" t="str">
        <f>IF(AQ55="","",IF(A55=0,IF(OR(AK55="Single",AK55="Married Filing Separately"),'CONSTANTS &amp; REFERENCES'!$C$6,IF(AK55="Married Filing Jointly",'CONSTANTS &amp; REFERENCES'!$H$6,IF(AK55="Head of Household",'CONSTANTS &amp; REFERENCES'!$M$6,""))),_xlfn.FLOOR.MATH(AQ55,IF(AK55="Married Filing Separately",Bracket_Round_MFS,Bracket_Round_Standard))))</f>
        <v/>
      </c>
      <c r="AS55" s="24" t="str">
        <f>IF(A55="","",(IF(OR(AK55="Single",AK55="Married Filing Separately"),'CONSTANTS &amp; REFERENCES'!$C$7,IF(AK55="Married Filing Jointly",'CONSTANTS &amp; REFERENCES'!$H$7,IF(AK55="Head of Household",'CONSTANTS &amp; REFERENCES'!$M$7,""))))*AL55)</f>
        <v/>
      </c>
      <c r="AT55" s="21" t="str">
        <f>IF(AS55="","",IF(A55=0,IF(OR(AK55="Single",AK55="Married Filing Separately"),'CONSTANTS &amp; REFERENCES'!$C$7,IF(AK55="Married Filing Jointly",'CONSTANTS &amp; REFERENCES'!$H$7,IF(AK55="Head of Household",'CONSTANTS &amp; REFERENCES'!$M$7,""))),_xlfn.FLOOR.MATH(AS55,IF(AK55="Married Filing Separately",Bracket_Round_MFS,Bracket_Round_Standard))))</f>
        <v/>
      </c>
      <c r="AU55" s="24" t="str">
        <f>IF(A55="","",(IF(OR(AK55="Single",AK55="Married Filing Separately"),'CONSTANTS &amp; REFERENCES'!$C$8,IF(AK55="Married Filing Jointly",'CONSTANTS &amp; REFERENCES'!$H$8,IF(AK55="Head of Household",'CONSTANTS &amp; REFERENCES'!$M$8,""))))*AL55)</f>
        <v/>
      </c>
      <c r="AV55" s="21" t="str">
        <f>IF(AU55="","",IF(A55=0,IF(OR(AK55="Single",AK55="Married Filing Separately"),'CONSTANTS &amp; REFERENCES'!$C$8,IF(AK55="Married Filing Jointly",'CONSTANTS &amp; REFERENCES'!$H$8,IF(AK55="Head of Household",'CONSTANTS &amp; REFERENCES'!$M$8,""))),_xlfn.FLOOR.MATH(AU55,IF(AK55="Married Filing Separately",Bracket_Round_MFS,Bracket_Round_Standard))))</f>
        <v/>
      </c>
      <c r="AW55" s="24" t="str">
        <f>IF(A55="","",(IF(OR(AK55="Single",AK55="Married Filing Separately"),'CONSTANTS &amp; REFERENCES'!$C$9,IF(AK55="Married Filing Jointly",'CONSTANTS &amp; REFERENCES'!$H$9,IF(AK55="Head of Household",'CONSTANTS &amp; REFERENCES'!$M$9,""))))*AL55)</f>
        <v/>
      </c>
      <c r="AX55" s="21" t="str">
        <f>IF(AW55="","",IF(A55=0,IF(OR(AK55="Single",AK55="Married Filing Separately"),'CONSTANTS &amp; REFERENCES'!$C$9,IF(AK55="Married Filing Jointly",'CONSTANTS &amp; REFERENCES'!$H$9,IF(AK55="Head of Household",'CONSTANTS &amp; REFERENCES'!$M$9,""))),_xlfn.FLOOR.MATH(AW55,IF(AK55="Married Filing Separately",Bracket_Round_MFS,Bracket_Round_Standard))))</f>
        <v/>
      </c>
      <c r="AY55" s="24" t="str">
        <f>IF(A55="","",(IF(OR(AK55="Single",AK55="Married Filing Separately"),'CONSTANTS &amp; REFERENCES'!$C$10,IF(AK55="Married Filing Jointly",'CONSTANTS &amp; REFERENCES'!$H$10,IF(AK55="Head of Household",'CONSTANTS &amp; REFERENCES'!$M$10,""))))*AL55)</f>
        <v/>
      </c>
      <c r="AZ55" s="21" t="str">
        <f>IF(AY55="","",IF(A55=0,IF(OR(AK55="Single",AK55="Married Filing Separately"),'CONSTANTS &amp; REFERENCES'!$C$10,IF(AK55="Married Filing Jointly",'CONSTANTS &amp; REFERENCES'!$H$10,IF(AK55="Head of Household",'CONSTANTS &amp; REFERENCES'!$M$10,""))),_xlfn.FLOOR.MATH(AY55,IF(AK55="Married Filing Separately",Bracket_Round_MFS,Bracket_Round_Standard))))</f>
        <v/>
      </c>
      <c r="BA55" s="7" t="str">
        <f t="shared" si="28"/>
        <v/>
      </c>
      <c r="BB55" s="7" t="str">
        <f>IF(A55="","",'CONSTANTS &amp; REFERENCES'!$C$22*AL55)</f>
        <v/>
      </c>
      <c r="BC55" s="21" t="str">
        <f t="shared" si="19"/>
        <v/>
      </c>
    </row>
    <row r="56" spans="1:55" ht="18" customHeight="1" x14ac:dyDescent="0.3">
      <c r="A56" s="10" t="str">
        <f>IF(A55&lt;INPUTS!$C$7-INPUTS!$C$6,A55+1,"")</f>
        <v/>
      </c>
      <c r="B56" s="10" t="str">
        <f>IF(A56="","",INPUTS!$C$6+A56)</f>
        <v/>
      </c>
      <c r="C56" s="11" t="str">
        <f t="shared" si="29"/>
        <v/>
      </c>
      <c r="D56" s="11" t="str">
        <f>IF(A56="","",IF(A56&lt;INPUTS!$C$13,0,J56))</f>
        <v/>
      </c>
      <c r="E56" s="12" t="str">
        <f>IF(A56="","",IF(D56=0,"—",IF(Y56&lt;IF(AK56="Married Filing Jointly",'CONSTANTS &amp; REFERENCES'!$B$44,IF(AK56="Married Filing Separately",'CONSTANTS &amp; REFERENCES'!$B$45,'CONSTANTS &amp; REFERENCES'!$B$43)),"Direct","Backdoor")))</f>
        <v/>
      </c>
      <c r="F56" s="13" t="str">
        <f t="shared" si="20"/>
        <v/>
      </c>
      <c r="G56" s="14" t="str">
        <f t="shared" si="21"/>
        <v/>
      </c>
      <c r="H56" s="13" t="str">
        <f t="shared" si="22"/>
        <v/>
      </c>
      <c r="I56" s="14" t="str">
        <f t="shared" si="23"/>
        <v/>
      </c>
      <c r="J56" s="14" t="str">
        <f t="shared" si="24"/>
        <v/>
      </c>
      <c r="K56" s="11" t="str">
        <f>IF(A56="","",IF(INPUTS!$C$12="Beginning",(C56+D56)*INPUTS!$C$10,C56*INPUTS!$C$10))</f>
        <v/>
      </c>
      <c r="L56" s="11" t="str">
        <f>IF(A56="","",IF(INPUTS!$C$12="Beginning",(C56+D56)*(1+INPUTS!$C$10),C56*(1+INPUTS!$C$10)+D56))</f>
        <v/>
      </c>
      <c r="M56" s="15" t="str">
        <f>IF(A56="","",(1+INPUTS!$C$11)^A56)</f>
        <v/>
      </c>
      <c r="N56" s="11" t="str">
        <f t="shared" si="30"/>
        <v/>
      </c>
      <c r="O56" s="11" t="str">
        <f t="shared" si="31"/>
        <v/>
      </c>
      <c r="P56" s="11" t="str">
        <f>IF(A56="","",L56-INPUTS!$C$8-O56)</f>
        <v/>
      </c>
      <c r="Q56" s="16"/>
      <c r="R56" s="16"/>
      <c r="S56" s="16" t="str">
        <f t="shared" si="32"/>
        <v/>
      </c>
      <c r="T56" s="18" t="str">
        <f t="shared" si="33"/>
        <v/>
      </c>
      <c r="U56" s="18" t="str">
        <f t="shared" si="34"/>
        <v/>
      </c>
      <c r="V56" s="19" t="str">
        <f>IF(A56="","",FV(INPUTS!$C$10,INPUTS!$C$7-INPUTS!$C$6-A56+IF(INPUTS!$C$12="Beginning",1,0),0,-D56,0))</f>
        <v/>
      </c>
      <c r="W56" s="7"/>
      <c r="X56" s="7"/>
      <c r="Y56" s="21" t="str">
        <f>IF(A56="","",IF(INPUTS!$C$17="Yes",MIN(Y55*(1+INPUTS!$C$15)+IF(INPUTS!$C$27="Yes",(Z56-Z55)*INPUTS!$C$31+IF(AND(INPUTS!$C$28="Not yet credentialed",A56=INPUTS!$C$33),INPUTS!$C$32,0)+IF(AND(INPUTS!$C$28&lt;&gt;"FSA / FCAS",A56=INPUTS!$C$35),INPUTS!$C$34,0),0),INPUTS!$C$18),Y55*(1+INPUTS!$C$15)+IF(INPUTS!$C$27="Yes",(Z56-Z55)*INPUTS!$C$31+IF(AND(INPUTS!$C$28="Not yet credentialed",A56=INPUTS!$C$33),INPUTS!$C$32,0)+IF(AND(INPUTS!$C$28&lt;&gt;"FSA / FCAS",A56=INPUTS!$C$35),INPUTS!$C$34,0),0)))</f>
        <v/>
      </c>
      <c r="Z56" s="22" t="str">
        <f>IF(A56="","",IF(AND(INPUTS!$C$27="Yes",INPUTS!$C$28&lt;&gt;"FSA / FCAS",ISNUMBER(INPUTS!$C$37)),MIN(A56*INPUTS!$C$37,INPUTS!$C$30),0))</f>
        <v/>
      </c>
      <c r="AA56" s="21" t="str">
        <f t="shared" si="25"/>
        <v/>
      </c>
      <c r="AB56" s="21" t="str">
        <f t="shared" si="26"/>
        <v/>
      </c>
      <c r="AC56" s="21" t="str">
        <f>IF(A56="","",MIN(AB56,AP56)*'CONSTANTS &amp; REFERENCES'!$A$5+MAX(MIN(AB56,AR56)-AP56,0)*'CONSTANTS &amp; REFERENCES'!$A$6+MAX(MIN(AB56,AT56)-AR56,0)*'CONSTANTS &amp; REFERENCES'!$A$7+MAX(MIN(AB56,AV56)-AT56,0)*'CONSTANTS &amp; REFERENCES'!$A$8+MAX(MIN(AB56,AX56)-AV56,0)*'CONSTANTS &amp; REFERENCES'!$A$9+MAX(MIN(AB56,AZ56)-AX56,0)*'CONSTANTS &amp; REFERENCES'!$A$10+MAX(AB56-AZ56,0)*'CONSTANTS &amp; REFERENCES'!$A$11)</f>
        <v/>
      </c>
      <c r="AD56" s="21" t="str">
        <f>IF(AB56="","",IF(INPUTS!$C$20="Yes",AB56*INPUTS!$C$21,0))</f>
        <v/>
      </c>
      <c r="AE56" s="21" t="str">
        <f>IF(Y56="","",MIN(Y56,BC56)*'CONSTANTS &amp; REFERENCES'!$B$22)</f>
        <v/>
      </c>
      <c r="AF56" s="21" t="str">
        <f>IF(Y56="","",Y56*'CONSTANTS &amp; REFERENCES'!$B$24+MAX(0,Y56-IF(AK56="Married Filing Jointly",'CONSTANTS &amp; REFERENCES'!$C$26,IF(AK56="Married Filing Separately",'CONSTANTS &amp; REFERENCES'!$C$27,IF(AK56="Head of Household",'CONSTANTS &amp; REFERENCES'!$C$28,'CONSTANTS &amp; REFERENCES'!$C$25))))*'CONSTANTS &amp; REFERENCES'!$B$25)</f>
        <v/>
      </c>
      <c r="AG56" s="21" t="str">
        <f t="shared" si="15"/>
        <v/>
      </c>
      <c r="AH56" s="21" t="str">
        <f t="shared" si="16"/>
        <v/>
      </c>
      <c r="AI56" s="21" t="str">
        <f t="shared" si="17"/>
        <v/>
      </c>
      <c r="AJ56" s="21" t="str">
        <f t="shared" si="18"/>
        <v/>
      </c>
      <c r="AK56" s="7" t="str">
        <f>IF(A56="","",IF(AND(INPUTS!$C$43="Yes",A56&gt;=INPUTS!$C$45),INPUTS!$C$44,INPUTS!$C$19))</f>
        <v/>
      </c>
      <c r="AL56" s="23" t="str">
        <f t="shared" si="27"/>
        <v/>
      </c>
      <c r="AM56" s="24" t="str">
        <f>IF(A56="","",(IF(OR(AK56="Single",AK56="Married Filing Separately"),'CONSTANTS &amp; REFERENCES'!$B$13,IF(AK56="Married Filing Jointly",'CONSTANTS &amp; REFERENCES'!$G$13,IF(AK56="Head of Household",'CONSTANTS &amp; REFERENCES'!$L$13,""))))*AL56)</f>
        <v/>
      </c>
      <c r="AN56" s="21" t="str">
        <f>IF(AM56="","",IF(A56=0,IF(OR(AK56="Single",AK56="Married Filing Separately"),'CONSTANTS &amp; REFERENCES'!$B$13,IF(AK56="Married Filing Jointly",'CONSTANTS &amp; REFERENCES'!$G$13,IF(AK56="Head of Household",'CONSTANTS &amp; REFERENCES'!$L$13,""))),_xlfn.FLOOR.MATH(AM56,IF(AK56="Married Filing Separately",Bracket_Round_MFS,Bracket_Round_Standard))))</f>
        <v/>
      </c>
      <c r="AO56" s="24" t="str">
        <f>IF(A56="","",(IF(OR(AK56="Single",AK56="Married Filing Separately"),'CONSTANTS &amp; REFERENCES'!$C$5,IF(AK56="Married Filing Jointly",'CONSTANTS &amp; REFERENCES'!$H$5,IF(AK56="Head of Household",'CONSTANTS &amp; REFERENCES'!$M$5,""))))*AL56)</f>
        <v/>
      </c>
      <c r="AP56" s="21" t="str">
        <f>IF(AO56="","",IF(A56=0,IF(OR(AK56="Single",AK56="Married Filing Separately"),'CONSTANTS &amp; REFERENCES'!$C$5,IF(AK56="Married Filing Jointly",'CONSTANTS &amp; REFERENCES'!$H$5,IF(AK56="Head of Household",'CONSTANTS &amp; REFERENCES'!$M$5,""))),_xlfn.FLOOR.MATH(AO56,IF(AK56="Married Filing Separately",Bracket_Round_MFS,Bracket_Round_Standard))))</f>
        <v/>
      </c>
      <c r="AQ56" s="24" t="str">
        <f>IF(A56="","",(IF(OR(AK56="Single",AK56="Married Filing Separately"),'CONSTANTS &amp; REFERENCES'!$C$6,IF(AK56="Married Filing Jointly",'CONSTANTS &amp; REFERENCES'!$H$6,IF(AK56="Head of Household",'CONSTANTS &amp; REFERENCES'!$M$6,""))))*AL56)</f>
        <v/>
      </c>
      <c r="AR56" s="21" t="str">
        <f>IF(AQ56="","",IF(A56=0,IF(OR(AK56="Single",AK56="Married Filing Separately"),'CONSTANTS &amp; REFERENCES'!$C$6,IF(AK56="Married Filing Jointly",'CONSTANTS &amp; REFERENCES'!$H$6,IF(AK56="Head of Household",'CONSTANTS &amp; REFERENCES'!$M$6,""))),_xlfn.FLOOR.MATH(AQ56,IF(AK56="Married Filing Separately",Bracket_Round_MFS,Bracket_Round_Standard))))</f>
        <v/>
      </c>
      <c r="AS56" s="24" t="str">
        <f>IF(A56="","",(IF(OR(AK56="Single",AK56="Married Filing Separately"),'CONSTANTS &amp; REFERENCES'!$C$7,IF(AK56="Married Filing Jointly",'CONSTANTS &amp; REFERENCES'!$H$7,IF(AK56="Head of Household",'CONSTANTS &amp; REFERENCES'!$M$7,""))))*AL56)</f>
        <v/>
      </c>
      <c r="AT56" s="21" t="str">
        <f>IF(AS56="","",IF(A56=0,IF(OR(AK56="Single",AK56="Married Filing Separately"),'CONSTANTS &amp; REFERENCES'!$C$7,IF(AK56="Married Filing Jointly",'CONSTANTS &amp; REFERENCES'!$H$7,IF(AK56="Head of Household",'CONSTANTS &amp; REFERENCES'!$M$7,""))),_xlfn.FLOOR.MATH(AS56,IF(AK56="Married Filing Separately",Bracket_Round_MFS,Bracket_Round_Standard))))</f>
        <v/>
      </c>
      <c r="AU56" s="24" t="str">
        <f>IF(A56="","",(IF(OR(AK56="Single",AK56="Married Filing Separately"),'CONSTANTS &amp; REFERENCES'!$C$8,IF(AK56="Married Filing Jointly",'CONSTANTS &amp; REFERENCES'!$H$8,IF(AK56="Head of Household",'CONSTANTS &amp; REFERENCES'!$M$8,""))))*AL56)</f>
        <v/>
      </c>
      <c r="AV56" s="21" t="str">
        <f>IF(AU56="","",IF(A56=0,IF(OR(AK56="Single",AK56="Married Filing Separately"),'CONSTANTS &amp; REFERENCES'!$C$8,IF(AK56="Married Filing Jointly",'CONSTANTS &amp; REFERENCES'!$H$8,IF(AK56="Head of Household",'CONSTANTS &amp; REFERENCES'!$M$8,""))),_xlfn.FLOOR.MATH(AU56,IF(AK56="Married Filing Separately",Bracket_Round_MFS,Bracket_Round_Standard))))</f>
        <v/>
      </c>
      <c r="AW56" s="24" t="str">
        <f>IF(A56="","",(IF(OR(AK56="Single",AK56="Married Filing Separately"),'CONSTANTS &amp; REFERENCES'!$C$9,IF(AK56="Married Filing Jointly",'CONSTANTS &amp; REFERENCES'!$H$9,IF(AK56="Head of Household",'CONSTANTS &amp; REFERENCES'!$M$9,""))))*AL56)</f>
        <v/>
      </c>
      <c r="AX56" s="21" t="str">
        <f>IF(AW56="","",IF(A56=0,IF(OR(AK56="Single",AK56="Married Filing Separately"),'CONSTANTS &amp; REFERENCES'!$C$9,IF(AK56="Married Filing Jointly",'CONSTANTS &amp; REFERENCES'!$H$9,IF(AK56="Head of Household",'CONSTANTS &amp; REFERENCES'!$M$9,""))),_xlfn.FLOOR.MATH(AW56,IF(AK56="Married Filing Separately",Bracket_Round_MFS,Bracket_Round_Standard))))</f>
        <v/>
      </c>
      <c r="AY56" s="24" t="str">
        <f>IF(A56="","",(IF(OR(AK56="Single",AK56="Married Filing Separately"),'CONSTANTS &amp; REFERENCES'!$C$10,IF(AK56="Married Filing Jointly",'CONSTANTS &amp; REFERENCES'!$H$10,IF(AK56="Head of Household",'CONSTANTS &amp; REFERENCES'!$M$10,""))))*AL56)</f>
        <v/>
      </c>
      <c r="AZ56" s="21" t="str">
        <f>IF(AY56="","",IF(A56=0,IF(OR(AK56="Single",AK56="Married Filing Separately"),'CONSTANTS &amp; REFERENCES'!$C$10,IF(AK56="Married Filing Jointly",'CONSTANTS &amp; REFERENCES'!$H$10,IF(AK56="Head of Household",'CONSTANTS &amp; REFERENCES'!$M$10,""))),_xlfn.FLOOR.MATH(AY56,IF(AK56="Married Filing Separately",Bracket_Round_MFS,Bracket_Round_Standard))))</f>
        <v/>
      </c>
      <c r="BA56" s="7" t="str">
        <f t="shared" si="28"/>
        <v/>
      </c>
      <c r="BB56" s="7" t="str">
        <f>IF(A56="","",'CONSTANTS &amp; REFERENCES'!$C$22*AL56)</f>
        <v/>
      </c>
      <c r="BC56" s="21" t="str">
        <f t="shared" si="19"/>
        <v/>
      </c>
    </row>
    <row r="57" spans="1:55" ht="18" customHeight="1" x14ac:dyDescent="0.3">
      <c r="A57" s="10" t="str">
        <f>IF(A56&lt;INPUTS!$C$7-INPUTS!$C$6,A56+1,"")</f>
        <v/>
      </c>
      <c r="B57" s="10" t="str">
        <f>IF(A57="","",INPUTS!$C$6+A57)</f>
        <v/>
      </c>
      <c r="C57" s="11" t="str">
        <f t="shared" si="29"/>
        <v/>
      </c>
      <c r="D57" s="11" t="str">
        <f>IF(A57="","",IF(A57&lt;INPUTS!$C$13,0,J57))</f>
        <v/>
      </c>
      <c r="E57" s="12" t="str">
        <f>IF(A57="","",IF(D57=0,"—",IF(Y57&lt;IF(AK57="Married Filing Jointly",'CONSTANTS &amp; REFERENCES'!$B$44,IF(AK57="Married Filing Separately",'CONSTANTS &amp; REFERENCES'!$B$45,'CONSTANTS &amp; REFERENCES'!$B$43)),"Direct","Backdoor")))</f>
        <v/>
      </c>
      <c r="F57" s="13" t="str">
        <f t="shared" si="20"/>
        <v/>
      </c>
      <c r="G57" s="14" t="str">
        <f t="shared" si="21"/>
        <v/>
      </c>
      <c r="H57" s="13" t="str">
        <f t="shared" si="22"/>
        <v/>
      </c>
      <c r="I57" s="14" t="str">
        <f t="shared" si="23"/>
        <v/>
      </c>
      <c r="J57" s="14" t="str">
        <f t="shared" si="24"/>
        <v/>
      </c>
      <c r="K57" s="11" t="str">
        <f>IF(A57="","",IF(INPUTS!$C$12="Beginning",(C57+D57)*INPUTS!$C$10,C57*INPUTS!$C$10))</f>
        <v/>
      </c>
      <c r="L57" s="11" t="str">
        <f>IF(A57="","",IF(INPUTS!$C$12="Beginning",(C57+D57)*(1+INPUTS!$C$10),C57*(1+INPUTS!$C$10)+D57))</f>
        <v/>
      </c>
      <c r="M57" s="15" t="str">
        <f>IF(A57="","",(1+INPUTS!$C$11)^A57)</f>
        <v/>
      </c>
      <c r="N57" s="11" t="str">
        <f t="shared" si="30"/>
        <v/>
      </c>
      <c r="O57" s="11" t="str">
        <f t="shared" si="31"/>
        <v/>
      </c>
      <c r="P57" s="11" t="str">
        <f>IF(A57="","",L57-INPUTS!$C$8-O57)</f>
        <v/>
      </c>
      <c r="Q57" s="16"/>
      <c r="R57" s="16"/>
      <c r="S57" s="16" t="str">
        <f t="shared" si="32"/>
        <v/>
      </c>
      <c r="T57" s="18" t="str">
        <f t="shared" si="33"/>
        <v/>
      </c>
      <c r="U57" s="18" t="str">
        <f t="shared" si="34"/>
        <v/>
      </c>
      <c r="V57" s="19" t="str">
        <f>IF(A57="","",FV(INPUTS!$C$10,INPUTS!$C$7-INPUTS!$C$6-A57+IF(INPUTS!$C$12="Beginning",1,0),0,-D57,0))</f>
        <v/>
      </c>
      <c r="W57" s="7"/>
      <c r="X57" s="7"/>
      <c r="Y57" s="21" t="str">
        <f>IF(A57="","",IF(INPUTS!$C$17="Yes",MIN(Y56*(1+INPUTS!$C$15)+IF(INPUTS!$C$27="Yes",(Z57-Z56)*INPUTS!$C$31+IF(AND(INPUTS!$C$28="Not yet credentialed",A57=INPUTS!$C$33),INPUTS!$C$32,0)+IF(AND(INPUTS!$C$28&lt;&gt;"FSA / FCAS",A57=INPUTS!$C$35),INPUTS!$C$34,0),0),INPUTS!$C$18),Y56*(1+INPUTS!$C$15)+IF(INPUTS!$C$27="Yes",(Z57-Z56)*INPUTS!$C$31+IF(AND(INPUTS!$C$28="Not yet credentialed",A57=INPUTS!$C$33),INPUTS!$C$32,0)+IF(AND(INPUTS!$C$28&lt;&gt;"FSA / FCAS",A57=INPUTS!$C$35),INPUTS!$C$34,0),0)))</f>
        <v/>
      </c>
      <c r="Z57" s="22" t="str">
        <f>IF(A57="","",IF(AND(INPUTS!$C$27="Yes",INPUTS!$C$28&lt;&gt;"FSA / FCAS",ISNUMBER(INPUTS!$C$37)),MIN(A57*INPUTS!$C$37,INPUTS!$C$30),0))</f>
        <v/>
      </c>
      <c r="AA57" s="21" t="str">
        <f t="shared" si="25"/>
        <v/>
      </c>
      <c r="AB57" s="21" t="str">
        <f t="shared" si="26"/>
        <v/>
      </c>
      <c r="AC57" s="21" t="str">
        <f>IF(A57="","",MIN(AB57,AP57)*'CONSTANTS &amp; REFERENCES'!$A$5+MAX(MIN(AB57,AR57)-AP57,0)*'CONSTANTS &amp; REFERENCES'!$A$6+MAX(MIN(AB57,AT57)-AR57,0)*'CONSTANTS &amp; REFERENCES'!$A$7+MAX(MIN(AB57,AV57)-AT57,0)*'CONSTANTS &amp; REFERENCES'!$A$8+MAX(MIN(AB57,AX57)-AV57,0)*'CONSTANTS &amp; REFERENCES'!$A$9+MAX(MIN(AB57,AZ57)-AX57,0)*'CONSTANTS &amp; REFERENCES'!$A$10+MAX(AB57-AZ57,0)*'CONSTANTS &amp; REFERENCES'!$A$11)</f>
        <v/>
      </c>
      <c r="AD57" s="21" t="str">
        <f>IF(AB57="","",IF(INPUTS!$C$20="Yes",AB57*INPUTS!$C$21,0))</f>
        <v/>
      </c>
      <c r="AE57" s="21" t="str">
        <f>IF(Y57="","",MIN(Y57,BC57)*'CONSTANTS &amp; REFERENCES'!$B$22)</f>
        <v/>
      </c>
      <c r="AF57" s="21" t="str">
        <f>IF(Y57="","",Y57*'CONSTANTS &amp; REFERENCES'!$B$24+MAX(0,Y57-IF(AK57="Married Filing Jointly",'CONSTANTS &amp; REFERENCES'!$C$26,IF(AK57="Married Filing Separately",'CONSTANTS &amp; REFERENCES'!$C$27,IF(AK57="Head of Household",'CONSTANTS &amp; REFERENCES'!$C$28,'CONSTANTS &amp; REFERENCES'!$C$25))))*'CONSTANTS &amp; REFERENCES'!$B$25)</f>
        <v/>
      </c>
      <c r="AG57" s="21" t="str">
        <f t="shared" si="15"/>
        <v/>
      </c>
      <c r="AH57" s="21" t="str">
        <f t="shared" si="16"/>
        <v/>
      </c>
      <c r="AI57" s="21" t="str">
        <f t="shared" si="17"/>
        <v/>
      </c>
      <c r="AJ57" s="21" t="str">
        <f t="shared" si="18"/>
        <v/>
      </c>
      <c r="AK57" s="7" t="str">
        <f>IF(A57="","",IF(AND(INPUTS!$C$43="Yes",A57&gt;=INPUTS!$C$45),INPUTS!$C$44,INPUTS!$C$19))</f>
        <v/>
      </c>
      <c r="AL57" s="23" t="str">
        <f t="shared" si="27"/>
        <v/>
      </c>
      <c r="AM57" s="24" t="str">
        <f>IF(A57="","",(IF(OR(AK57="Single",AK57="Married Filing Separately"),'CONSTANTS &amp; REFERENCES'!$B$13,IF(AK57="Married Filing Jointly",'CONSTANTS &amp; REFERENCES'!$G$13,IF(AK57="Head of Household",'CONSTANTS &amp; REFERENCES'!$L$13,""))))*AL57)</f>
        <v/>
      </c>
      <c r="AN57" s="21" t="str">
        <f>IF(AM57="","",IF(A57=0,IF(OR(AK57="Single",AK57="Married Filing Separately"),'CONSTANTS &amp; REFERENCES'!$B$13,IF(AK57="Married Filing Jointly",'CONSTANTS &amp; REFERENCES'!$G$13,IF(AK57="Head of Household",'CONSTANTS &amp; REFERENCES'!$L$13,""))),_xlfn.FLOOR.MATH(AM57,IF(AK57="Married Filing Separately",Bracket_Round_MFS,Bracket_Round_Standard))))</f>
        <v/>
      </c>
      <c r="AO57" s="24" t="str">
        <f>IF(A57="","",(IF(OR(AK57="Single",AK57="Married Filing Separately"),'CONSTANTS &amp; REFERENCES'!$C$5,IF(AK57="Married Filing Jointly",'CONSTANTS &amp; REFERENCES'!$H$5,IF(AK57="Head of Household",'CONSTANTS &amp; REFERENCES'!$M$5,""))))*AL57)</f>
        <v/>
      </c>
      <c r="AP57" s="21" t="str">
        <f>IF(AO57="","",IF(A57=0,IF(OR(AK57="Single",AK57="Married Filing Separately"),'CONSTANTS &amp; REFERENCES'!$C$5,IF(AK57="Married Filing Jointly",'CONSTANTS &amp; REFERENCES'!$H$5,IF(AK57="Head of Household",'CONSTANTS &amp; REFERENCES'!$M$5,""))),_xlfn.FLOOR.MATH(AO57,IF(AK57="Married Filing Separately",Bracket_Round_MFS,Bracket_Round_Standard))))</f>
        <v/>
      </c>
      <c r="AQ57" s="24" t="str">
        <f>IF(A57="","",(IF(OR(AK57="Single",AK57="Married Filing Separately"),'CONSTANTS &amp; REFERENCES'!$C$6,IF(AK57="Married Filing Jointly",'CONSTANTS &amp; REFERENCES'!$H$6,IF(AK57="Head of Household",'CONSTANTS &amp; REFERENCES'!$M$6,""))))*AL57)</f>
        <v/>
      </c>
      <c r="AR57" s="21" t="str">
        <f>IF(AQ57="","",IF(A57=0,IF(OR(AK57="Single",AK57="Married Filing Separately"),'CONSTANTS &amp; REFERENCES'!$C$6,IF(AK57="Married Filing Jointly",'CONSTANTS &amp; REFERENCES'!$H$6,IF(AK57="Head of Household",'CONSTANTS &amp; REFERENCES'!$M$6,""))),_xlfn.FLOOR.MATH(AQ57,IF(AK57="Married Filing Separately",Bracket_Round_MFS,Bracket_Round_Standard))))</f>
        <v/>
      </c>
      <c r="AS57" s="24" t="str">
        <f>IF(A57="","",(IF(OR(AK57="Single",AK57="Married Filing Separately"),'CONSTANTS &amp; REFERENCES'!$C$7,IF(AK57="Married Filing Jointly",'CONSTANTS &amp; REFERENCES'!$H$7,IF(AK57="Head of Household",'CONSTANTS &amp; REFERENCES'!$M$7,""))))*AL57)</f>
        <v/>
      </c>
      <c r="AT57" s="21" t="str">
        <f>IF(AS57="","",IF(A57=0,IF(OR(AK57="Single",AK57="Married Filing Separately"),'CONSTANTS &amp; REFERENCES'!$C$7,IF(AK57="Married Filing Jointly",'CONSTANTS &amp; REFERENCES'!$H$7,IF(AK57="Head of Household",'CONSTANTS &amp; REFERENCES'!$M$7,""))),_xlfn.FLOOR.MATH(AS57,IF(AK57="Married Filing Separately",Bracket_Round_MFS,Bracket_Round_Standard))))</f>
        <v/>
      </c>
      <c r="AU57" s="24" t="str">
        <f>IF(A57="","",(IF(OR(AK57="Single",AK57="Married Filing Separately"),'CONSTANTS &amp; REFERENCES'!$C$8,IF(AK57="Married Filing Jointly",'CONSTANTS &amp; REFERENCES'!$H$8,IF(AK57="Head of Household",'CONSTANTS &amp; REFERENCES'!$M$8,""))))*AL57)</f>
        <v/>
      </c>
      <c r="AV57" s="21" t="str">
        <f>IF(AU57="","",IF(A57=0,IF(OR(AK57="Single",AK57="Married Filing Separately"),'CONSTANTS &amp; REFERENCES'!$C$8,IF(AK57="Married Filing Jointly",'CONSTANTS &amp; REFERENCES'!$H$8,IF(AK57="Head of Household",'CONSTANTS &amp; REFERENCES'!$M$8,""))),_xlfn.FLOOR.MATH(AU57,IF(AK57="Married Filing Separately",Bracket_Round_MFS,Bracket_Round_Standard))))</f>
        <v/>
      </c>
      <c r="AW57" s="24" t="str">
        <f>IF(A57="","",(IF(OR(AK57="Single",AK57="Married Filing Separately"),'CONSTANTS &amp; REFERENCES'!$C$9,IF(AK57="Married Filing Jointly",'CONSTANTS &amp; REFERENCES'!$H$9,IF(AK57="Head of Household",'CONSTANTS &amp; REFERENCES'!$M$9,""))))*AL57)</f>
        <v/>
      </c>
      <c r="AX57" s="21" t="str">
        <f>IF(AW57="","",IF(A57=0,IF(OR(AK57="Single",AK57="Married Filing Separately"),'CONSTANTS &amp; REFERENCES'!$C$9,IF(AK57="Married Filing Jointly",'CONSTANTS &amp; REFERENCES'!$H$9,IF(AK57="Head of Household",'CONSTANTS &amp; REFERENCES'!$M$9,""))),_xlfn.FLOOR.MATH(AW57,IF(AK57="Married Filing Separately",Bracket_Round_MFS,Bracket_Round_Standard))))</f>
        <v/>
      </c>
      <c r="AY57" s="24" t="str">
        <f>IF(A57="","",(IF(OR(AK57="Single",AK57="Married Filing Separately"),'CONSTANTS &amp; REFERENCES'!$C$10,IF(AK57="Married Filing Jointly",'CONSTANTS &amp; REFERENCES'!$H$10,IF(AK57="Head of Household",'CONSTANTS &amp; REFERENCES'!$M$10,""))))*AL57)</f>
        <v/>
      </c>
      <c r="AZ57" s="21" t="str">
        <f>IF(AY57="","",IF(A57=0,IF(OR(AK57="Single",AK57="Married Filing Separately"),'CONSTANTS &amp; REFERENCES'!$C$10,IF(AK57="Married Filing Jointly",'CONSTANTS &amp; REFERENCES'!$H$10,IF(AK57="Head of Household",'CONSTANTS &amp; REFERENCES'!$M$10,""))),_xlfn.FLOOR.MATH(AY57,IF(AK57="Married Filing Separately",Bracket_Round_MFS,Bracket_Round_Standard))))</f>
        <v/>
      </c>
      <c r="BA57" s="7" t="str">
        <f t="shared" si="28"/>
        <v/>
      </c>
      <c r="BB57" s="7" t="str">
        <f>IF(A57="","",'CONSTANTS &amp; REFERENCES'!$C$22*AL57)</f>
        <v/>
      </c>
      <c r="BC57" s="21" t="str">
        <f t="shared" si="19"/>
        <v/>
      </c>
    </row>
    <row r="58" spans="1:55" ht="18" customHeight="1" x14ac:dyDescent="0.3">
      <c r="A58" s="10" t="str">
        <f>IF(A57&lt;INPUTS!$C$7-INPUTS!$C$6,A57+1,"")</f>
        <v/>
      </c>
      <c r="B58" s="10" t="str">
        <f>IF(A58="","",INPUTS!$C$6+A58)</f>
        <v/>
      </c>
      <c r="C58" s="11" t="str">
        <f t="shared" si="29"/>
        <v/>
      </c>
      <c r="D58" s="11" t="str">
        <f>IF(A58="","",IF(A58&lt;INPUTS!$C$13,0,J58))</f>
        <v/>
      </c>
      <c r="E58" s="12" t="str">
        <f>IF(A58="","",IF(D58=0,"—",IF(Y58&lt;IF(AK58="Married Filing Jointly",'CONSTANTS &amp; REFERENCES'!$B$44,IF(AK58="Married Filing Separately",'CONSTANTS &amp; REFERENCES'!$B$45,'CONSTANTS &amp; REFERENCES'!$B$43)),"Direct","Backdoor")))</f>
        <v/>
      </c>
      <c r="F58" s="13" t="str">
        <f t="shared" si="20"/>
        <v/>
      </c>
      <c r="G58" s="14" t="str">
        <f t="shared" si="21"/>
        <v/>
      </c>
      <c r="H58" s="13" t="str">
        <f t="shared" si="22"/>
        <v/>
      </c>
      <c r="I58" s="14" t="str">
        <f t="shared" si="23"/>
        <v/>
      </c>
      <c r="J58" s="14" t="str">
        <f t="shared" si="24"/>
        <v/>
      </c>
      <c r="K58" s="11" t="str">
        <f>IF(A58="","",IF(INPUTS!$C$12="Beginning",(C58+D58)*INPUTS!$C$10,C58*INPUTS!$C$10))</f>
        <v/>
      </c>
      <c r="L58" s="11" t="str">
        <f>IF(A58="","",IF(INPUTS!$C$12="Beginning",(C58+D58)*(1+INPUTS!$C$10),C58*(1+INPUTS!$C$10)+D58))</f>
        <v/>
      </c>
      <c r="M58" s="15" t="str">
        <f>IF(A58="","",(1+INPUTS!$C$11)^A58)</f>
        <v/>
      </c>
      <c r="N58" s="11" t="str">
        <f t="shared" si="30"/>
        <v/>
      </c>
      <c r="O58" s="11" t="str">
        <f t="shared" si="31"/>
        <v/>
      </c>
      <c r="P58" s="11" t="str">
        <f>IF(A58="","",L58-INPUTS!$C$8-O58)</f>
        <v/>
      </c>
      <c r="Q58" s="16"/>
      <c r="R58" s="16"/>
      <c r="S58" s="16" t="str">
        <f t="shared" si="32"/>
        <v/>
      </c>
      <c r="T58" s="18" t="str">
        <f t="shared" si="33"/>
        <v/>
      </c>
      <c r="U58" s="18" t="str">
        <f t="shared" si="34"/>
        <v/>
      </c>
      <c r="V58" s="19" t="str">
        <f>IF(A58="","",FV(INPUTS!$C$10,INPUTS!$C$7-INPUTS!$C$6-A58+IF(INPUTS!$C$12="Beginning",1,0),0,-D58,0))</f>
        <v/>
      </c>
      <c r="W58" s="7"/>
      <c r="X58" s="7"/>
      <c r="Y58" s="21" t="str">
        <f>IF(A58="","",IF(INPUTS!$C$17="Yes",MIN(Y57*(1+INPUTS!$C$15)+IF(INPUTS!$C$27="Yes",(Z58-Z57)*INPUTS!$C$31+IF(AND(INPUTS!$C$28="Not yet credentialed",A58=INPUTS!$C$33),INPUTS!$C$32,0)+IF(AND(INPUTS!$C$28&lt;&gt;"FSA / FCAS",A58=INPUTS!$C$35),INPUTS!$C$34,0),0),INPUTS!$C$18),Y57*(1+INPUTS!$C$15)+IF(INPUTS!$C$27="Yes",(Z58-Z57)*INPUTS!$C$31+IF(AND(INPUTS!$C$28="Not yet credentialed",A58=INPUTS!$C$33),INPUTS!$C$32,0)+IF(AND(INPUTS!$C$28&lt;&gt;"FSA / FCAS",A58=INPUTS!$C$35),INPUTS!$C$34,0),0)))</f>
        <v/>
      </c>
      <c r="Z58" s="22" t="str">
        <f>IF(A58="","",IF(AND(INPUTS!$C$27="Yes",INPUTS!$C$28&lt;&gt;"FSA / FCAS",ISNUMBER(INPUTS!$C$37)),MIN(A58*INPUTS!$C$37,INPUTS!$C$30),0))</f>
        <v/>
      </c>
      <c r="AA58" s="21" t="str">
        <f t="shared" si="25"/>
        <v/>
      </c>
      <c r="AB58" s="21" t="str">
        <f t="shared" si="26"/>
        <v/>
      </c>
      <c r="AC58" s="21" t="str">
        <f>IF(A58="","",MIN(AB58,AP58)*'CONSTANTS &amp; REFERENCES'!$A$5+MAX(MIN(AB58,AR58)-AP58,0)*'CONSTANTS &amp; REFERENCES'!$A$6+MAX(MIN(AB58,AT58)-AR58,0)*'CONSTANTS &amp; REFERENCES'!$A$7+MAX(MIN(AB58,AV58)-AT58,0)*'CONSTANTS &amp; REFERENCES'!$A$8+MAX(MIN(AB58,AX58)-AV58,0)*'CONSTANTS &amp; REFERENCES'!$A$9+MAX(MIN(AB58,AZ58)-AX58,0)*'CONSTANTS &amp; REFERENCES'!$A$10+MAX(AB58-AZ58,0)*'CONSTANTS &amp; REFERENCES'!$A$11)</f>
        <v/>
      </c>
      <c r="AD58" s="21" t="str">
        <f>IF(AB58="","",IF(INPUTS!$C$20="Yes",AB58*INPUTS!$C$21,0))</f>
        <v/>
      </c>
      <c r="AE58" s="21" t="str">
        <f>IF(Y58="","",MIN(Y58,BC58)*'CONSTANTS &amp; REFERENCES'!$B$22)</f>
        <v/>
      </c>
      <c r="AF58" s="21" t="str">
        <f>IF(Y58="","",Y58*'CONSTANTS &amp; REFERENCES'!$B$24+MAX(0,Y58-IF(AK58="Married Filing Jointly",'CONSTANTS &amp; REFERENCES'!$C$26,IF(AK58="Married Filing Separately",'CONSTANTS &amp; REFERENCES'!$C$27,IF(AK58="Head of Household",'CONSTANTS &amp; REFERENCES'!$C$28,'CONSTANTS &amp; REFERENCES'!$C$25))))*'CONSTANTS &amp; REFERENCES'!$B$25)</f>
        <v/>
      </c>
      <c r="AG58" s="21" t="str">
        <f t="shared" si="15"/>
        <v/>
      </c>
      <c r="AH58" s="21" t="str">
        <f t="shared" si="16"/>
        <v/>
      </c>
      <c r="AI58" s="21" t="str">
        <f t="shared" si="17"/>
        <v/>
      </c>
      <c r="AJ58" s="21" t="str">
        <f t="shared" si="18"/>
        <v/>
      </c>
      <c r="AK58" s="7" t="str">
        <f>IF(A58="","",IF(AND(INPUTS!$C$43="Yes",A58&gt;=INPUTS!$C$45),INPUTS!$C$44,INPUTS!$C$19))</f>
        <v/>
      </c>
      <c r="AL58" s="23" t="str">
        <f t="shared" si="27"/>
        <v/>
      </c>
      <c r="AM58" s="24" t="str">
        <f>IF(A58="","",(IF(OR(AK58="Single",AK58="Married Filing Separately"),'CONSTANTS &amp; REFERENCES'!$B$13,IF(AK58="Married Filing Jointly",'CONSTANTS &amp; REFERENCES'!$G$13,IF(AK58="Head of Household",'CONSTANTS &amp; REFERENCES'!$L$13,""))))*AL58)</f>
        <v/>
      </c>
      <c r="AN58" s="21" t="str">
        <f>IF(AM58="","",IF(A58=0,IF(OR(AK58="Single",AK58="Married Filing Separately"),'CONSTANTS &amp; REFERENCES'!$B$13,IF(AK58="Married Filing Jointly",'CONSTANTS &amp; REFERENCES'!$G$13,IF(AK58="Head of Household",'CONSTANTS &amp; REFERENCES'!$L$13,""))),_xlfn.FLOOR.MATH(AM58,IF(AK58="Married Filing Separately",Bracket_Round_MFS,Bracket_Round_Standard))))</f>
        <v/>
      </c>
      <c r="AO58" s="24" t="str">
        <f>IF(A58="","",(IF(OR(AK58="Single",AK58="Married Filing Separately"),'CONSTANTS &amp; REFERENCES'!$C$5,IF(AK58="Married Filing Jointly",'CONSTANTS &amp; REFERENCES'!$H$5,IF(AK58="Head of Household",'CONSTANTS &amp; REFERENCES'!$M$5,""))))*AL58)</f>
        <v/>
      </c>
      <c r="AP58" s="21" t="str">
        <f>IF(AO58="","",IF(A58=0,IF(OR(AK58="Single",AK58="Married Filing Separately"),'CONSTANTS &amp; REFERENCES'!$C$5,IF(AK58="Married Filing Jointly",'CONSTANTS &amp; REFERENCES'!$H$5,IF(AK58="Head of Household",'CONSTANTS &amp; REFERENCES'!$M$5,""))),_xlfn.FLOOR.MATH(AO58,IF(AK58="Married Filing Separately",Bracket_Round_MFS,Bracket_Round_Standard))))</f>
        <v/>
      </c>
      <c r="AQ58" s="24" t="str">
        <f>IF(A58="","",(IF(OR(AK58="Single",AK58="Married Filing Separately"),'CONSTANTS &amp; REFERENCES'!$C$6,IF(AK58="Married Filing Jointly",'CONSTANTS &amp; REFERENCES'!$H$6,IF(AK58="Head of Household",'CONSTANTS &amp; REFERENCES'!$M$6,""))))*AL58)</f>
        <v/>
      </c>
      <c r="AR58" s="21" t="str">
        <f>IF(AQ58="","",IF(A58=0,IF(OR(AK58="Single",AK58="Married Filing Separately"),'CONSTANTS &amp; REFERENCES'!$C$6,IF(AK58="Married Filing Jointly",'CONSTANTS &amp; REFERENCES'!$H$6,IF(AK58="Head of Household",'CONSTANTS &amp; REFERENCES'!$M$6,""))),_xlfn.FLOOR.MATH(AQ58,IF(AK58="Married Filing Separately",Bracket_Round_MFS,Bracket_Round_Standard))))</f>
        <v/>
      </c>
      <c r="AS58" s="24" t="str">
        <f>IF(A58="","",(IF(OR(AK58="Single",AK58="Married Filing Separately"),'CONSTANTS &amp; REFERENCES'!$C$7,IF(AK58="Married Filing Jointly",'CONSTANTS &amp; REFERENCES'!$H$7,IF(AK58="Head of Household",'CONSTANTS &amp; REFERENCES'!$M$7,""))))*AL58)</f>
        <v/>
      </c>
      <c r="AT58" s="21" t="str">
        <f>IF(AS58="","",IF(A58=0,IF(OR(AK58="Single",AK58="Married Filing Separately"),'CONSTANTS &amp; REFERENCES'!$C$7,IF(AK58="Married Filing Jointly",'CONSTANTS &amp; REFERENCES'!$H$7,IF(AK58="Head of Household",'CONSTANTS &amp; REFERENCES'!$M$7,""))),_xlfn.FLOOR.MATH(AS58,IF(AK58="Married Filing Separately",Bracket_Round_MFS,Bracket_Round_Standard))))</f>
        <v/>
      </c>
      <c r="AU58" s="24" t="str">
        <f>IF(A58="","",(IF(OR(AK58="Single",AK58="Married Filing Separately"),'CONSTANTS &amp; REFERENCES'!$C$8,IF(AK58="Married Filing Jointly",'CONSTANTS &amp; REFERENCES'!$H$8,IF(AK58="Head of Household",'CONSTANTS &amp; REFERENCES'!$M$8,""))))*AL58)</f>
        <v/>
      </c>
      <c r="AV58" s="21" t="str">
        <f>IF(AU58="","",IF(A58=0,IF(OR(AK58="Single",AK58="Married Filing Separately"),'CONSTANTS &amp; REFERENCES'!$C$8,IF(AK58="Married Filing Jointly",'CONSTANTS &amp; REFERENCES'!$H$8,IF(AK58="Head of Household",'CONSTANTS &amp; REFERENCES'!$M$8,""))),_xlfn.FLOOR.MATH(AU58,IF(AK58="Married Filing Separately",Bracket_Round_MFS,Bracket_Round_Standard))))</f>
        <v/>
      </c>
      <c r="AW58" s="24" t="str">
        <f>IF(A58="","",(IF(OR(AK58="Single",AK58="Married Filing Separately"),'CONSTANTS &amp; REFERENCES'!$C$9,IF(AK58="Married Filing Jointly",'CONSTANTS &amp; REFERENCES'!$H$9,IF(AK58="Head of Household",'CONSTANTS &amp; REFERENCES'!$M$9,""))))*AL58)</f>
        <v/>
      </c>
      <c r="AX58" s="21" t="str">
        <f>IF(AW58="","",IF(A58=0,IF(OR(AK58="Single",AK58="Married Filing Separately"),'CONSTANTS &amp; REFERENCES'!$C$9,IF(AK58="Married Filing Jointly",'CONSTANTS &amp; REFERENCES'!$H$9,IF(AK58="Head of Household",'CONSTANTS &amp; REFERENCES'!$M$9,""))),_xlfn.FLOOR.MATH(AW58,IF(AK58="Married Filing Separately",Bracket_Round_MFS,Bracket_Round_Standard))))</f>
        <v/>
      </c>
      <c r="AY58" s="24" t="str">
        <f>IF(A58="","",(IF(OR(AK58="Single",AK58="Married Filing Separately"),'CONSTANTS &amp; REFERENCES'!$C$10,IF(AK58="Married Filing Jointly",'CONSTANTS &amp; REFERENCES'!$H$10,IF(AK58="Head of Household",'CONSTANTS &amp; REFERENCES'!$M$10,""))))*AL58)</f>
        <v/>
      </c>
      <c r="AZ58" s="21" t="str">
        <f>IF(AY58="","",IF(A58=0,IF(OR(AK58="Single",AK58="Married Filing Separately"),'CONSTANTS &amp; REFERENCES'!$C$10,IF(AK58="Married Filing Jointly",'CONSTANTS &amp; REFERENCES'!$H$10,IF(AK58="Head of Household",'CONSTANTS &amp; REFERENCES'!$M$10,""))),_xlfn.FLOOR.MATH(AY58,IF(AK58="Married Filing Separately",Bracket_Round_MFS,Bracket_Round_Standard))))</f>
        <v/>
      </c>
      <c r="BA58" s="7" t="str">
        <f t="shared" si="28"/>
        <v/>
      </c>
      <c r="BB58" s="7" t="str">
        <f>IF(A58="","",'CONSTANTS &amp; REFERENCES'!$C$22*AL58)</f>
        <v/>
      </c>
      <c r="BC58" s="21" t="str">
        <f t="shared" si="19"/>
        <v/>
      </c>
    </row>
    <row r="59" spans="1:55" ht="18" customHeight="1" x14ac:dyDescent="0.3">
      <c r="A59" s="10" t="str">
        <f>IF(A58&lt;INPUTS!$C$7-INPUTS!$C$6,A58+1,"")</f>
        <v/>
      </c>
      <c r="B59" s="10" t="str">
        <f>IF(A59="","",INPUTS!$C$6+A59)</f>
        <v/>
      </c>
      <c r="C59" s="11" t="str">
        <f t="shared" si="29"/>
        <v/>
      </c>
      <c r="D59" s="11" t="str">
        <f>IF(A59="","",IF(A59&lt;INPUTS!$C$13,0,J59))</f>
        <v/>
      </c>
      <c r="E59" s="12" t="str">
        <f>IF(A59="","",IF(D59=0,"—",IF(Y59&lt;IF(AK59="Married Filing Jointly",'CONSTANTS &amp; REFERENCES'!$B$44,IF(AK59="Married Filing Separately",'CONSTANTS &amp; REFERENCES'!$B$45,'CONSTANTS &amp; REFERENCES'!$B$43)),"Direct","Backdoor")))</f>
        <v/>
      </c>
      <c r="F59" s="13" t="str">
        <f t="shared" si="20"/>
        <v/>
      </c>
      <c r="G59" s="14" t="str">
        <f t="shared" si="21"/>
        <v/>
      </c>
      <c r="H59" s="13" t="str">
        <f t="shared" si="22"/>
        <v/>
      </c>
      <c r="I59" s="14" t="str">
        <f t="shared" si="23"/>
        <v/>
      </c>
      <c r="J59" s="14" t="str">
        <f t="shared" si="24"/>
        <v/>
      </c>
      <c r="K59" s="11" t="str">
        <f>IF(A59="","",IF(INPUTS!$C$12="Beginning",(C59+D59)*INPUTS!$C$10,C59*INPUTS!$C$10))</f>
        <v/>
      </c>
      <c r="L59" s="11" t="str">
        <f>IF(A59="","",IF(INPUTS!$C$12="Beginning",(C59+D59)*(1+INPUTS!$C$10),C59*(1+INPUTS!$C$10)+D59))</f>
        <v/>
      </c>
      <c r="M59" s="15" t="str">
        <f>IF(A59="","",(1+INPUTS!$C$11)^A59)</f>
        <v/>
      </c>
      <c r="N59" s="11" t="str">
        <f t="shared" si="30"/>
        <v/>
      </c>
      <c r="O59" s="11" t="str">
        <f t="shared" si="31"/>
        <v/>
      </c>
      <c r="P59" s="11" t="str">
        <f>IF(A59="","",L59-INPUTS!$C$8-O59)</f>
        <v/>
      </c>
      <c r="Q59" s="16"/>
      <c r="R59" s="16"/>
      <c r="S59" s="16" t="str">
        <f t="shared" si="32"/>
        <v/>
      </c>
      <c r="T59" s="18" t="str">
        <f t="shared" si="33"/>
        <v/>
      </c>
      <c r="U59" s="18" t="str">
        <f t="shared" si="34"/>
        <v/>
      </c>
      <c r="V59" s="19" t="str">
        <f>IF(A59="","",FV(INPUTS!$C$10,INPUTS!$C$7-INPUTS!$C$6-A59+IF(INPUTS!$C$12="Beginning",1,0),0,-D59,0))</f>
        <v/>
      </c>
      <c r="W59" s="7"/>
      <c r="X59" s="7"/>
      <c r="Y59" s="21" t="str">
        <f>IF(A59="","",IF(INPUTS!$C$17="Yes",MIN(Y58*(1+INPUTS!$C$15)+IF(INPUTS!$C$27="Yes",(Z59-Z58)*INPUTS!$C$31+IF(AND(INPUTS!$C$28="Not yet credentialed",A59=INPUTS!$C$33),INPUTS!$C$32,0)+IF(AND(INPUTS!$C$28&lt;&gt;"FSA / FCAS",A59=INPUTS!$C$35),INPUTS!$C$34,0),0),INPUTS!$C$18),Y58*(1+INPUTS!$C$15)+IF(INPUTS!$C$27="Yes",(Z59-Z58)*INPUTS!$C$31+IF(AND(INPUTS!$C$28="Not yet credentialed",A59=INPUTS!$C$33),INPUTS!$C$32,0)+IF(AND(INPUTS!$C$28&lt;&gt;"FSA / FCAS",A59=INPUTS!$C$35),INPUTS!$C$34,0),0)))</f>
        <v/>
      </c>
      <c r="Z59" s="22" t="str">
        <f>IF(A59="","",IF(AND(INPUTS!$C$27="Yes",INPUTS!$C$28&lt;&gt;"FSA / FCAS",ISNUMBER(INPUTS!$C$37)),MIN(A59*INPUTS!$C$37,INPUTS!$C$30),0))</f>
        <v/>
      </c>
      <c r="AA59" s="21" t="str">
        <f t="shared" si="25"/>
        <v/>
      </c>
      <c r="AB59" s="21" t="str">
        <f t="shared" si="26"/>
        <v/>
      </c>
      <c r="AC59" s="21" t="str">
        <f>IF(A59="","",MIN(AB59,AP59)*'CONSTANTS &amp; REFERENCES'!$A$5+MAX(MIN(AB59,AR59)-AP59,0)*'CONSTANTS &amp; REFERENCES'!$A$6+MAX(MIN(AB59,AT59)-AR59,0)*'CONSTANTS &amp; REFERENCES'!$A$7+MAX(MIN(AB59,AV59)-AT59,0)*'CONSTANTS &amp; REFERENCES'!$A$8+MAX(MIN(AB59,AX59)-AV59,0)*'CONSTANTS &amp; REFERENCES'!$A$9+MAX(MIN(AB59,AZ59)-AX59,0)*'CONSTANTS &amp; REFERENCES'!$A$10+MAX(AB59-AZ59,0)*'CONSTANTS &amp; REFERENCES'!$A$11)</f>
        <v/>
      </c>
      <c r="AD59" s="21" t="str">
        <f>IF(AB59="","",IF(INPUTS!$C$20="Yes",AB59*INPUTS!$C$21,0))</f>
        <v/>
      </c>
      <c r="AE59" s="21" t="str">
        <f>IF(Y59="","",MIN(Y59,BC59)*'CONSTANTS &amp; REFERENCES'!$B$22)</f>
        <v/>
      </c>
      <c r="AF59" s="21" t="str">
        <f>IF(Y59="","",Y59*'CONSTANTS &amp; REFERENCES'!$B$24+MAX(0,Y59-IF(AK59="Married Filing Jointly",'CONSTANTS &amp; REFERENCES'!$C$26,IF(AK59="Married Filing Separately",'CONSTANTS &amp; REFERENCES'!$C$27,IF(AK59="Head of Household",'CONSTANTS &amp; REFERENCES'!$C$28,'CONSTANTS &amp; REFERENCES'!$C$25))))*'CONSTANTS &amp; REFERENCES'!$B$25)</f>
        <v/>
      </c>
      <c r="AG59" s="21" t="str">
        <f t="shared" si="15"/>
        <v/>
      </c>
      <c r="AH59" s="21" t="str">
        <f t="shared" si="16"/>
        <v/>
      </c>
      <c r="AI59" s="21" t="str">
        <f t="shared" si="17"/>
        <v/>
      </c>
      <c r="AJ59" s="21" t="str">
        <f t="shared" si="18"/>
        <v/>
      </c>
      <c r="AK59" s="7" t="str">
        <f>IF(A59="","",IF(AND(INPUTS!$C$43="Yes",A59&gt;=INPUTS!$C$45),INPUTS!$C$44,INPUTS!$C$19))</f>
        <v/>
      </c>
      <c r="AL59" s="23" t="str">
        <f t="shared" si="27"/>
        <v/>
      </c>
      <c r="AM59" s="24" t="str">
        <f>IF(A59="","",(IF(OR(AK59="Single",AK59="Married Filing Separately"),'CONSTANTS &amp; REFERENCES'!$B$13,IF(AK59="Married Filing Jointly",'CONSTANTS &amp; REFERENCES'!$G$13,IF(AK59="Head of Household",'CONSTANTS &amp; REFERENCES'!$L$13,""))))*AL59)</f>
        <v/>
      </c>
      <c r="AN59" s="21" t="str">
        <f>IF(AM59="","",IF(A59=0,IF(OR(AK59="Single",AK59="Married Filing Separately"),'CONSTANTS &amp; REFERENCES'!$B$13,IF(AK59="Married Filing Jointly",'CONSTANTS &amp; REFERENCES'!$G$13,IF(AK59="Head of Household",'CONSTANTS &amp; REFERENCES'!$L$13,""))),_xlfn.FLOOR.MATH(AM59,IF(AK59="Married Filing Separately",Bracket_Round_MFS,Bracket_Round_Standard))))</f>
        <v/>
      </c>
      <c r="AO59" s="24" t="str">
        <f>IF(A59="","",(IF(OR(AK59="Single",AK59="Married Filing Separately"),'CONSTANTS &amp; REFERENCES'!$C$5,IF(AK59="Married Filing Jointly",'CONSTANTS &amp; REFERENCES'!$H$5,IF(AK59="Head of Household",'CONSTANTS &amp; REFERENCES'!$M$5,""))))*AL59)</f>
        <v/>
      </c>
      <c r="AP59" s="21" t="str">
        <f>IF(AO59="","",IF(A59=0,IF(OR(AK59="Single",AK59="Married Filing Separately"),'CONSTANTS &amp; REFERENCES'!$C$5,IF(AK59="Married Filing Jointly",'CONSTANTS &amp; REFERENCES'!$H$5,IF(AK59="Head of Household",'CONSTANTS &amp; REFERENCES'!$M$5,""))),_xlfn.FLOOR.MATH(AO59,IF(AK59="Married Filing Separately",Bracket_Round_MFS,Bracket_Round_Standard))))</f>
        <v/>
      </c>
      <c r="AQ59" s="24" t="str">
        <f>IF(A59="","",(IF(OR(AK59="Single",AK59="Married Filing Separately"),'CONSTANTS &amp; REFERENCES'!$C$6,IF(AK59="Married Filing Jointly",'CONSTANTS &amp; REFERENCES'!$H$6,IF(AK59="Head of Household",'CONSTANTS &amp; REFERENCES'!$M$6,""))))*AL59)</f>
        <v/>
      </c>
      <c r="AR59" s="21" t="str">
        <f>IF(AQ59="","",IF(A59=0,IF(OR(AK59="Single",AK59="Married Filing Separately"),'CONSTANTS &amp; REFERENCES'!$C$6,IF(AK59="Married Filing Jointly",'CONSTANTS &amp; REFERENCES'!$H$6,IF(AK59="Head of Household",'CONSTANTS &amp; REFERENCES'!$M$6,""))),_xlfn.FLOOR.MATH(AQ59,IF(AK59="Married Filing Separately",Bracket_Round_MFS,Bracket_Round_Standard))))</f>
        <v/>
      </c>
      <c r="AS59" s="24" t="str">
        <f>IF(A59="","",(IF(OR(AK59="Single",AK59="Married Filing Separately"),'CONSTANTS &amp; REFERENCES'!$C$7,IF(AK59="Married Filing Jointly",'CONSTANTS &amp; REFERENCES'!$H$7,IF(AK59="Head of Household",'CONSTANTS &amp; REFERENCES'!$M$7,""))))*AL59)</f>
        <v/>
      </c>
      <c r="AT59" s="21" t="str">
        <f>IF(AS59="","",IF(A59=0,IF(OR(AK59="Single",AK59="Married Filing Separately"),'CONSTANTS &amp; REFERENCES'!$C$7,IF(AK59="Married Filing Jointly",'CONSTANTS &amp; REFERENCES'!$H$7,IF(AK59="Head of Household",'CONSTANTS &amp; REFERENCES'!$M$7,""))),_xlfn.FLOOR.MATH(AS59,IF(AK59="Married Filing Separately",Bracket_Round_MFS,Bracket_Round_Standard))))</f>
        <v/>
      </c>
      <c r="AU59" s="24" t="str">
        <f>IF(A59="","",(IF(OR(AK59="Single",AK59="Married Filing Separately"),'CONSTANTS &amp; REFERENCES'!$C$8,IF(AK59="Married Filing Jointly",'CONSTANTS &amp; REFERENCES'!$H$8,IF(AK59="Head of Household",'CONSTANTS &amp; REFERENCES'!$M$8,""))))*AL59)</f>
        <v/>
      </c>
      <c r="AV59" s="21" t="str">
        <f>IF(AU59="","",IF(A59=0,IF(OR(AK59="Single",AK59="Married Filing Separately"),'CONSTANTS &amp; REFERENCES'!$C$8,IF(AK59="Married Filing Jointly",'CONSTANTS &amp; REFERENCES'!$H$8,IF(AK59="Head of Household",'CONSTANTS &amp; REFERENCES'!$M$8,""))),_xlfn.FLOOR.MATH(AU59,IF(AK59="Married Filing Separately",Bracket_Round_MFS,Bracket_Round_Standard))))</f>
        <v/>
      </c>
      <c r="AW59" s="24" t="str">
        <f>IF(A59="","",(IF(OR(AK59="Single",AK59="Married Filing Separately"),'CONSTANTS &amp; REFERENCES'!$C$9,IF(AK59="Married Filing Jointly",'CONSTANTS &amp; REFERENCES'!$H$9,IF(AK59="Head of Household",'CONSTANTS &amp; REFERENCES'!$M$9,""))))*AL59)</f>
        <v/>
      </c>
      <c r="AX59" s="21" t="str">
        <f>IF(AW59="","",IF(A59=0,IF(OR(AK59="Single",AK59="Married Filing Separately"),'CONSTANTS &amp; REFERENCES'!$C$9,IF(AK59="Married Filing Jointly",'CONSTANTS &amp; REFERENCES'!$H$9,IF(AK59="Head of Household",'CONSTANTS &amp; REFERENCES'!$M$9,""))),_xlfn.FLOOR.MATH(AW59,IF(AK59="Married Filing Separately",Bracket_Round_MFS,Bracket_Round_Standard))))</f>
        <v/>
      </c>
      <c r="AY59" s="24" t="str">
        <f>IF(A59="","",(IF(OR(AK59="Single",AK59="Married Filing Separately"),'CONSTANTS &amp; REFERENCES'!$C$10,IF(AK59="Married Filing Jointly",'CONSTANTS &amp; REFERENCES'!$H$10,IF(AK59="Head of Household",'CONSTANTS &amp; REFERENCES'!$M$10,""))))*AL59)</f>
        <v/>
      </c>
      <c r="AZ59" s="21" t="str">
        <f>IF(AY59="","",IF(A59=0,IF(OR(AK59="Single",AK59="Married Filing Separately"),'CONSTANTS &amp; REFERENCES'!$C$10,IF(AK59="Married Filing Jointly",'CONSTANTS &amp; REFERENCES'!$H$10,IF(AK59="Head of Household",'CONSTANTS &amp; REFERENCES'!$M$10,""))),_xlfn.FLOOR.MATH(AY59,IF(AK59="Married Filing Separately",Bracket_Round_MFS,Bracket_Round_Standard))))</f>
        <v/>
      </c>
      <c r="BA59" s="7" t="str">
        <f t="shared" si="28"/>
        <v/>
      </c>
      <c r="BB59" s="7" t="str">
        <f>IF(A59="","",'CONSTANTS &amp; REFERENCES'!$C$22*AL59)</f>
        <v/>
      </c>
      <c r="BC59" s="21" t="str">
        <f t="shared" si="19"/>
        <v/>
      </c>
    </row>
    <row r="60" spans="1:55" ht="18" customHeight="1" x14ac:dyDescent="0.3">
      <c r="A60" s="10" t="str">
        <f>IF(A59&lt;INPUTS!$C$7-INPUTS!$C$6,A59+1,"")</f>
        <v/>
      </c>
      <c r="B60" s="10" t="str">
        <f>IF(A60="","",INPUTS!$C$6+A60)</f>
        <v/>
      </c>
      <c r="C60" s="11" t="str">
        <f t="shared" si="29"/>
        <v/>
      </c>
      <c r="D60" s="11" t="str">
        <f>IF(A60="","",IF(A60&lt;INPUTS!$C$13,0,J60))</f>
        <v/>
      </c>
      <c r="E60" s="12" t="str">
        <f>IF(A60="","",IF(D60=0,"—",IF(Y60&lt;IF(AK60="Married Filing Jointly",'CONSTANTS &amp; REFERENCES'!$B$44,IF(AK60="Married Filing Separately",'CONSTANTS &amp; REFERENCES'!$B$45,'CONSTANTS &amp; REFERENCES'!$B$43)),"Direct","Backdoor")))</f>
        <v/>
      </c>
      <c r="F60" s="13" t="str">
        <f t="shared" si="20"/>
        <v/>
      </c>
      <c r="G60" s="14" t="str">
        <f t="shared" si="21"/>
        <v/>
      </c>
      <c r="H60" s="13" t="str">
        <f t="shared" si="22"/>
        <v/>
      </c>
      <c r="I60" s="14" t="str">
        <f t="shared" si="23"/>
        <v/>
      </c>
      <c r="J60" s="14" t="str">
        <f t="shared" si="24"/>
        <v/>
      </c>
      <c r="K60" s="11" t="str">
        <f>IF(A60="","",IF(INPUTS!$C$12="Beginning",(C60+D60)*INPUTS!$C$10,C60*INPUTS!$C$10))</f>
        <v/>
      </c>
      <c r="L60" s="11" t="str">
        <f>IF(A60="","",IF(INPUTS!$C$12="Beginning",(C60+D60)*(1+INPUTS!$C$10),C60*(1+INPUTS!$C$10)+D60))</f>
        <v/>
      </c>
      <c r="M60" s="15" t="str">
        <f>IF(A60="","",(1+INPUTS!$C$11)^A60)</f>
        <v/>
      </c>
      <c r="N60" s="11" t="str">
        <f t="shared" si="30"/>
        <v/>
      </c>
      <c r="O60" s="11" t="str">
        <f t="shared" si="31"/>
        <v/>
      </c>
      <c r="P60" s="11" t="str">
        <f>IF(A60="","",L60-INPUTS!$C$8-O60)</f>
        <v/>
      </c>
      <c r="Q60" s="16"/>
      <c r="R60" s="16"/>
      <c r="S60" s="16" t="str">
        <f t="shared" si="32"/>
        <v/>
      </c>
      <c r="T60" s="18" t="str">
        <f t="shared" si="33"/>
        <v/>
      </c>
      <c r="U60" s="18" t="str">
        <f t="shared" si="34"/>
        <v/>
      </c>
      <c r="V60" s="19" t="str">
        <f>IF(A60="","",FV(INPUTS!$C$10,INPUTS!$C$7-INPUTS!$C$6-A60+IF(INPUTS!$C$12="Beginning",1,0),0,-D60,0))</f>
        <v/>
      </c>
      <c r="W60" s="7"/>
      <c r="X60" s="7"/>
      <c r="Y60" s="21" t="str">
        <f>IF(A60="","",IF(INPUTS!$C$17="Yes",MIN(Y59*(1+INPUTS!$C$15)+IF(INPUTS!$C$27="Yes",(Z60-Z59)*INPUTS!$C$31+IF(AND(INPUTS!$C$28="Not yet credentialed",A60=INPUTS!$C$33),INPUTS!$C$32,0)+IF(AND(INPUTS!$C$28&lt;&gt;"FSA / FCAS",A60=INPUTS!$C$35),INPUTS!$C$34,0),0),INPUTS!$C$18),Y59*(1+INPUTS!$C$15)+IF(INPUTS!$C$27="Yes",(Z60-Z59)*INPUTS!$C$31+IF(AND(INPUTS!$C$28="Not yet credentialed",A60=INPUTS!$C$33),INPUTS!$C$32,0)+IF(AND(INPUTS!$C$28&lt;&gt;"FSA / FCAS",A60=INPUTS!$C$35),INPUTS!$C$34,0),0)))</f>
        <v/>
      </c>
      <c r="Z60" s="22" t="str">
        <f>IF(A60="","",IF(AND(INPUTS!$C$27="Yes",INPUTS!$C$28&lt;&gt;"FSA / FCAS",ISNUMBER(INPUTS!$C$37)),MIN(A60*INPUTS!$C$37,INPUTS!$C$30),0))</f>
        <v/>
      </c>
      <c r="AA60" s="21" t="str">
        <f t="shared" si="25"/>
        <v/>
      </c>
      <c r="AB60" s="21" t="str">
        <f t="shared" si="26"/>
        <v/>
      </c>
      <c r="AC60" s="21" t="str">
        <f>IF(A60="","",MIN(AB60,AP60)*'CONSTANTS &amp; REFERENCES'!$A$5+MAX(MIN(AB60,AR60)-AP60,0)*'CONSTANTS &amp; REFERENCES'!$A$6+MAX(MIN(AB60,AT60)-AR60,0)*'CONSTANTS &amp; REFERENCES'!$A$7+MAX(MIN(AB60,AV60)-AT60,0)*'CONSTANTS &amp; REFERENCES'!$A$8+MAX(MIN(AB60,AX60)-AV60,0)*'CONSTANTS &amp; REFERENCES'!$A$9+MAX(MIN(AB60,AZ60)-AX60,0)*'CONSTANTS &amp; REFERENCES'!$A$10+MAX(AB60-AZ60,0)*'CONSTANTS &amp; REFERENCES'!$A$11)</f>
        <v/>
      </c>
      <c r="AD60" s="21" t="str">
        <f>IF(AB60="","",IF(INPUTS!$C$20="Yes",AB60*INPUTS!$C$21,0))</f>
        <v/>
      </c>
      <c r="AE60" s="21" t="str">
        <f>IF(Y60="","",MIN(Y60,BC60)*'CONSTANTS &amp; REFERENCES'!$B$22)</f>
        <v/>
      </c>
      <c r="AF60" s="21" t="str">
        <f>IF(Y60="","",Y60*'CONSTANTS &amp; REFERENCES'!$B$24+MAX(0,Y60-IF(AK60="Married Filing Jointly",'CONSTANTS &amp; REFERENCES'!$C$26,IF(AK60="Married Filing Separately",'CONSTANTS &amp; REFERENCES'!$C$27,IF(AK60="Head of Household",'CONSTANTS &amp; REFERENCES'!$C$28,'CONSTANTS &amp; REFERENCES'!$C$25))))*'CONSTANTS &amp; REFERENCES'!$B$25)</f>
        <v/>
      </c>
      <c r="AG60" s="21" t="str">
        <f t="shared" si="15"/>
        <v/>
      </c>
      <c r="AH60" s="21" t="str">
        <f t="shared" si="16"/>
        <v/>
      </c>
      <c r="AI60" s="21" t="str">
        <f t="shared" si="17"/>
        <v/>
      </c>
      <c r="AJ60" s="21" t="str">
        <f t="shared" si="18"/>
        <v/>
      </c>
      <c r="AK60" s="7" t="str">
        <f>IF(A60="","",IF(AND(INPUTS!$C$43="Yes",A60&gt;=INPUTS!$C$45),INPUTS!$C$44,INPUTS!$C$19))</f>
        <v/>
      </c>
      <c r="AL60" s="23" t="str">
        <f t="shared" si="27"/>
        <v/>
      </c>
      <c r="AM60" s="24" t="str">
        <f>IF(A60="","",(IF(OR(AK60="Single",AK60="Married Filing Separately"),'CONSTANTS &amp; REFERENCES'!$B$13,IF(AK60="Married Filing Jointly",'CONSTANTS &amp; REFERENCES'!$G$13,IF(AK60="Head of Household",'CONSTANTS &amp; REFERENCES'!$L$13,""))))*AL60)</f>
        <v/>
      </c>
      <c r="AN60" s="21" t="str">
        <f>IF(AM60="","",IF(A60=0,IF(OR(AK60="Single",AK60="Married Filing Separately"),'CONSTANTS &amp; REFERENCES'!$B$13,IF(AK60="Married Filing Jointly",'CONSTANTS &amp; REFERENCES'!$G$13,IF(AK60="Head of Household",'CONSTANTS &amp; REFERENCES'!$L$13,""))),_xlfn.FLOOR.MATH(AM60,IF(AK60="Married Filing Separately",Bracket_Round_MFS,Bracket_Round_Standard))))</f>
        <v/>
      </c>
      <c r="AO60" s="24" t="str">
        <f>IF(A60="","",(IF(OR(AK60="Single",AK60="Married Filing Separately"),'CONSTANTS &amp; REFERENCES'!$C$5,IF(AK60="Married Filing Jointly",'CONSTANTS &amp; REFERENCES'!$H$5,IF(AK60="Head of Household",'CONSTANTS &amp; REFERENCES'!$M$5,""))))*AL60)</f>
        <v/>
      </c>
      <c r="AP60" s="21" t="str">
        <f>IF(AO60="","",IF(A60=0,IF(OR(AK60="Single",AK60="Married Filing Separately"),'CONSTANTS &amp; REFERENCES'!$C$5,IF(AK60="Married Filing Jointly",'CONSTANTS &amp; REFERENCES'!$H$5,IF(AK60="Head of Household",'CONSTANTS &amp; REFERENCES'!$M$5,""))),_xlfn.FLOOR.MATH(AO60,IF(AK60="Married Filing Separately",Bracket_Round_MFS,Bracket_Round_Standard))))</f>
        <v/>
      </c>
      <c r="AQ60" s="24" t="str">
        <f>IF(A60="","",(IF(OR(AK60="Single",AK60="Married Filing Separately"),'CONSTANTS &amp; REFERENCES'!$C$6,IF(AK60="Married Filing Jointly",'CONSTANTS &amp; REFERENCES'!$H$6,IF(AK60="Head of Household",'CONSTANTS &amp; REFERENCES'!$M$6,""))))*AL60)</f>
        <v/>
      </c>
      <c r="AR60" s="21" t="str">
        <f>IF(AQ60="","",IF(A60=0,IF(OR(AK60="Single",AK60="Married Filing Separately"),'CONSTANTS &amp; REFERENCES'!$C$6,IF(AK60="Married Filing Jointly",'CONSTANTS &amp; REFERENCES'!$H$6,IF(AK60="Head of Household",'CONSTANTS &amp; REFERENCES'!$M$6,""))),_xlfn.FLOOR.MATH(AQ60,IF(AK60="Married Filing Separately",Bracket_Round_MFS,Bracket_Round_Standard))))</f>
        <v/>
      </c>
      <c r="AS60" s="24" t="str">
        <f>IF(A60="","",(IF(OR(AK60="Single",AK60="Married Filing Separately"),'CONSTANTS &amp; REFERENCES'!$C$7,IF(AK60="Married Filing Jointly",'CONSTANTS &amp; REFERENCES'!$H$7,IF(AK60="Head of Household",'CONSTANTS &amp; REFERENCES'!$M$7,""))))*AL60)</f>
        <v/>
      </c>
      <c r="AT60" s="21" t="str">
        <f>IF(AS60="","",IF(A60=0,IF(OR(AK60="Single",AK60="Married Filing Separately"),'CONSTANTS &amp; REFERENCES'!$C$7,IF(AK60="Married Filing Jointly",'CONSTANTS &amp; REFERENCES'!$H$7,IF(AK60="Head of Household",'CONSTANTS &amp; REFERENCES'!$M$7,""))),_xlfn.FLOOR.MATH(AS60,IF(AK60="Married Filing Separately",Bracket_Round_MFS,Bracket_Round_Standard))))</f>
        <v/>
      </c>
      <c r="AU60" s="24" t="str">
        <f>IF(A60="","",(IF(OR(AK60="Single",AK60="Married Filing Separately"),'CONSTANTS &amp; REFERENCES'!$C$8,IF(AK60="Married Filing Jointly",'CONSTANTS &amp; REFERENCES'!$H$8,IF(AK60="Head of Household",'CONSTANTS &amp; REFERENCES'!$M$8,""))))*AL60)</f>
        <v/>
      </c>
      <c r="AV60" s="21" t="str">
        <f>IF(AU60="","",IF(A60=0,IF(OR(AK60="Single",AK60="Married Filing Separately"),'CONSTANTS &amp; REFERENCES'!$C$8,IF(AK60="Married Filing Jointly",'CONSTANTS &amp; REFERENCES'!$H$8,IF(AK60="Head of Household",'CONSTANTS &amp; REFERENCES'!$M$8,""))),_xlfn.FLOOR.MATH(AU60,IF(AK60="Married Filing Separately",Bracket_Round_MFS,Bracket_Round_Standard))))</f>
        <v/>
      </c>
      <c r="AW60" s="24" t="str">
        <f>IF(A60="","",(IF(OR(AK60="Single",AK60="Married Filing Separately"),'CONSTANTS &amp; REFERENCES'!$C$9,IF(AK60="Married Filing Jointly",'CONSTANTS &amp; REFERENCES'!$H$9,IF(AK60="Head of Household",'CONSTANTS &amp; REFERENCES'!$M$9,""))))*AL60)</f>
        <v/>
      </c>
      <c r="AX60" s="21" t="str">
        <f>IF(AW60="","",IF(A60=0,IF(OR(AK60="Single",AK60="Married Filing Separately"),'CONSTANTS &amp; REFERENCES'!$C$9,IF(AK60="Married Filing Jointly",'CONSTANTS &amp; REFERENCES'!$H$9,IF(AK60="Head of Household",'CONSTANTS &amp; REFERENCES'!$M$9,""))),_xlfn.FLOOR.MATH(AW60,IF(AK60="Married Filing Separately",Bracket_Round_MFS,Bracket_Round_Standard))))</f>
        <v/>
      </c>
      <c r="AY60" s="24" t="str">
        <f>IF(A60="","",(IF(OR(AK60="Single",AK60="Married Filing Separately"),'CONSTANTS &amp; REFERENCES'!$C$10,IF(AK60="Married Filing Jointly",'CONSTANTS &amp; REFERENCES'!$H$10,IF(AK60="Head of Household",'CONSTANTS &amp; REFERENCES'!$M$10,""))))*AL60)</f>
        <v/>
      </c>
      <c r="AZ60" s="21" t="str">
        <f>IF(AY60="","",IF(A60=0,IF(OR(AK60="Single",AK60="Married Filing Separately"),'CONSTANTS &amp; REFERENCES'!$C$10,IF(AK60="Married Filing Jointly",'CONSTANTS &amp; REFERENCES'!$H$10,IF(AK60="Head of Household",'CONSTANTS &amp; REFERENCES'!$M$10,""))),_xlfn.FLOOR.MATH(AY60,IF(AK60="Married Filing Separately",Bracket_Round_MFS,Bracket_Round_Standard))))</f>
        <v/>
      </c>
      <c r="BA60" s="7" t="str">
        <f t="shared" si="28"/>
        <v/>
      </c>
      <c r="BB60" s="7" t="str">
        <f>IF(A60="","",'CONSTANTS &amp; REFERENCES'!$C$22*AL60)</f>
        <v/>
      </c>
      <c r="BC60" s="21" t="str">
        <f t="shared" si="19"/>
        <v/>
      </c>
    </row>
    <row r="61" spans="1:55" ht="18" customHeight="1" x14ac:dyDescent="0.3">
      <c r="A61" s="10" t="str">
        <f>IF(A60&lt;INPUTS!$C$7-INPUTS!$C$6,A60+1,"")</f>
        <v/>
      </c>
      <c r="B61" s="10" t="str">
        <f>IF(A61="","",INPUTS!$C$6+A61)</f>
        <v/>
      </c>
      <c r="C61" s="11" t="str">
        <f t="shared" si="29"/>
        <v/>
      </c>
      <c r="D61" s="11" t="str">
        <f>IF(A61="","",IF(A61&lt;INPUTS!$C$13,0,J61))</f>
        <v/>
      </c>
      <c r="E61" s="12" t="str">
        <f>IF(A61="","",IF(D61=0,"—",IF(Y61&lt;IF(AK61="Married Filing Jointly",'CONSTANTS &amp; REFERENCES'!$B$44,IF(AK61="Married Filing Separately",'CONSTANTS &amp; REFERENCES'!$B$45,'CONSTANTS &amp; REFERENCES'!$B$43)),"Direct","Backdoor")))</f>
        <v/>
      </c>
      <c r="F61" s="13" t="str">
        <f t="shared" si="20"/>
        <v/>
      </c>
      <c r="G61" s="14" t="str">
        <f t="shared" si="21"/>
        <v/>
      </c>
      <c r="H61" s="13" t="str">
        <f t="shared" si="22"/>
        <v/>
      </c>
      <c r="I61" s="14" t="str">
        <f t="shared" si="23"/>
        <v/>
      </c>
      <c r="J61" s="14" t="str">
        <f t="shared" si="24"/>
        <v/>
      </c>
      <c r="K61" s="11" t="str">
        <f>IF(A61="","",IF(INPUTS!$C$12="Beginning",(C61+D61)*INPUTS!$C$10,C61*INPUTS!$C$10))</f>
        <v/>
      </c>
      <c r="L61" s="11" t="str">
        <f>IF(A61="","",IF(INPUTS!$C$12="Beginning",(C61+D61)*(1+INPUTS!$C$10),C61*(1+INPUTS!$C$10)+D61))</f>
        <v/>
      </c>
      <c r="M61" s="15" t="str">
        <f>IF(A61="","",(1+INPUTS!$C$11)^A61)</f>
        <v/>
      </c>
      <c r="N61" s="11" t="str">
        <f t="shared" si="30"/>
        <v/>
      </c>
      <c r="O61" s="11" t="str">
        <f t="shared" si="31"/>
        <v/>
      </c>
      <c r="P61" s="11" t="str">
        <f>IF(A61="","",L61-INPUTS!$C$8-O61)</f>
        <v/>
      </c>
      <c r="Q61" s="16"/>
      <c r="R61" s="16"/>
      <c r="S61" s="16" t="str">
        <f t="shared" si="32"/>
        <v/>
      </c>
      <c r="T61" s="18" t="str">
        <f t="shared" si="33"/>
        <v/>
      </c>
      <c r="U61" s="18" t="str">
        <f t="shared" si="34"/>
        <v/>
      </c>
      <c r="V61" s="19" t="str">
        <f>IF(A61="","",FV(INPUTS!$C$10,INPUTS!$C$7-INPUTS!$C$6-A61+IF(INPUTS!$C$12="Beginning",1,0),0,-D61,0))</f>
        <v/>
      </c>
      <c r="W61" s="7"/>
      <c r="X61" s="7"/>
      <c r="Y61" s="21" t="str">
        <f>IF(A61="","",IF(INPUTS!$C$17="Yes",MIN(Y60*(1+INPUTS!$C$15)+IF(INPUTS!$C$27="Yes",(Z61-Z60)*INPUTS!$C$31+IF(AND(INPUTS!$C$28="Not yet credentialed",A61=INPUTS!$C$33),INPUTS!$C$32,0)+IF(AND(INPUTS!$C$28&lt;&gt;"FSA / FCAS",A61=INPUTS!$C$35),INPUTS!$C$34,0),0),INPUTS!$C$18),Y60*(1+INPUTS!$C$15)+IF(INPUTS!$C$27="Yes",(Z61-Z60)*INPUTS!$C$31+IF(AND(INPUTS!$C$28="Not yet credentialed",A61=INPUTS!$C$33),INPUTS!$C$32,0)+IF(AND(INPUTS!$C$28&lt;&gt;"FSA / FCAS",A61=INPUTS!$C$35),INPUTS!$C$34,0),0)))</f>
        <v/>
      </c>
      <c r="Z61" s="22" t="str">
        <f>IF(A61="","",IF(AND(INPUTS!$C$27="Yes",INPUTS!$C$28&lt;&gt;"FSA / FCAS",ISNUMBER(INPUTS!$C$37)),MIN(A61*INPUTS!$C$37,INPUTS!$C$30),0))</f>
        <v/>
      </c>
      <c r="AA61" s="21" t="str">
        <f t="shared" si="25"/>
        <v/>
      </c>
      <c r="AB61" s="21" t="str">
        <f t="shared" si="26"/>
        <v/>
      </c>
      <c r="AC61" s="21" t="str">
        <f>IF(A61="","",MIN(AB61,AP61)*'CONSTANTS &amp; REFERENCES'!$A$5+MAX(MIN(AB61,AR61)-AP61,0)*'CONSTANTS &amp; REFERENCES'!$A$6+MAX(MIN(AB61,AT61)-AR61,0)*'CONSTANTS &amp; REFERENCES'!$A$7+MAX(MIN(AB61,AV61)-AT61,0)*'CONSTANTS &amp; REFERENCES'!$A$8+MAX(MIN(AB61,AX61)-AV61,0)*'CONSTANTS &amp; REFERENCES'!$A$9+MAX(MIN(AB61,AZ61)-AX61,0)*'CONSTANTS &amp; REFERENCES'!$A$10+MAX(AB61-AZ61,0)*'CONSTANTS &amp; REFERENCES'!$A$11)</f>
        <v/>
      </c>
      <c r="AD61" s="21" t="str">
        <f>IF(AB61="","",IF(INPUTS!$C$20="Yes",AB61*INPUTS!$C$21,0))</f>
        <v/>
      </c>
      <c r="AE61" s="21" t="str">
        <f>IF(Y61="","",MIN(Y61,BC61)*'CONSTANTS &amp; REFERENCES'!$B$22)</f>
        <v/>
      </c>
      <c r="AF61" s="21" t="str">
        <f>IF(Y61="","",Y61*'CONSTANTS &amp; REFERENCES'!$B$24+MAX(0,Y61-IF(AK61="Married Filing Jointly",'CONSTANTS &amp; REFERENCES'!$C$26,IF(AK61="Married Filing Separately",'CONSTANTS &amp; REFERENCES'!$C$27,IF(AK61="Head of Household",'CONSTANTS &amp; REFERENCES'!$C$28,'CONSTANTS &amp; REFERENCES'!$C$25))))*'CONSTANTS &amp; REFERENCES'!$B$25)</f>
        <v/>
      </c>
      <c r="AG61" s="21" t="str">
        <f t="shared" si="15"/>
        <v/>
      </c>
      <c r="AH61" s="21" t="str">
        <f t="shared" si="16"/>
        <v/>
      </c>
      <c r="AI61" s="21" t="str">
        <f t="shared" si="17"/>
        <v/>
      </c>
      <c r="AJ61" s="21" t="str">
        <f t="shared" si="18"/>
        <v/>
      </c>
      <c r="AK61" s="7" t="str">
        <f>IF(A61="","",IF(AND(INPUTS!$C$43="Yes",A61&gt;=INPUTS!$C$45),INPUTS!$C$44,INPUTS!$C$19))</f>
        <v/>
      </c>
      <c r="AL61" s="23" t="str">
        <f t="shared" si="27"/>
        <v/>
      </c>
      <c r="AM61" s="24" t="str">
        <f>IF(A61="","",(IF(OR(AK61="Single",AK61="Married Filing Separately"),'CONSTANTS &amp; REFERENCES'!$B$13,IF(AK61="Married Filing Jointly",'CONSTANTS &amp; REFERENCES'!$G$13,IF(AK61="Head of Household",'CONSTANTS &amp; REFERENCES'!$L$13,""))))*AL61)</f>
        <v/>
      </c>
      <c r="AN61" s="21" t="str">
        <f>IF(AM61="","",IF(A61=0,IF(OR(AK61="Single",AK61="Married Filing Separately"),'CONSTANTS &amp; REFERENCES'!$B$13,IF(AK61="Married Filing Jointly",'CONSTANTS &amp; REFERENCES'!$G$13,IF(AK61="Head of Household",'CONSTANTS &amp; REFERENCES'!$L$13,""))),_xlfn.FLOOR.MATH(AM61,IF(AK61="Married Filing Separately",Bracket_Round_MFS,Bracket_Round_Standard))))</f>
        <v/>
      </c>
      <c r="AO61" s="24" t="str">
        <f>IF(A61="","",(IF(OR(AK61="Single",AK61="Married Filing Separately"),'CONSTANTS &amp; REFERENCES'!$C$5,IF(AK61="Married Filing Jointly",'CONSTANTS &amp; REFERENCES'!$H$5,IF(AK61="Head of Household",'CONSTANTS &amp; REFERENCES'!$M$5,""))))*AL61)</f>
        <v/>
      </c>
      <c r="AP61" s="21" t="str">
        <f>IF(AO61="","",IF(A61=0,IF(OR(AK61="Single",AK61="Married Filing Separately"),'CONSTANTS &amp; REFERENCES'!$C$5,IF(AK61="Married Filing Jointly",'CONSTANTS &amp; REFERENCES'!$H$5,IF(AK61="Head of Household",'CONSTANTS &amp; REFERENCES'!$M$5,""))),_xlfn.FLOOR.MATH(AO61,IF(AK61="Married Filing Separately",Bracket_Round_MFS,Bracket_Round_Standard))))</f>
        <v/>
      </c>
      <c r="AQ61" s="24" t="str">
        <f>IF(A61="","",(IF(OR(AK61="Single",AK61="Married Filing Separately"),'CONSTANTS &amp; REFERENCES'!$C$6,IF(AK61="Married Filing Jointly",'CONSTANTS &amp; REFERENCES'!$H$6,IF(AK61="Head of Household",'CONSTANTS &amp; REFERENCES'!$M$6,""))))*AL61)</f>
        <v/>
      </c>
      <c r="AR61" s="21" t="str">
        <f>IF(AQ61="","",IF(A61=0,IF(OR(AK61="Single",AK61="Married Filing Separately"),'CONSTANTS &amp; REFERENCES'!$C$6,IF(AK61="Married Filing Jointly",'CONSTANTS &amp; REFERENCES'!$H$6,IF(AK61="Head of Household",'CONSTANTS &amp; REFERENCES'!$M$6,""))),_xlfn.FLOOR.MATH(AQ61,IF(AK61="Married Filing Separately",Bracket_Round_MFS,Bracket_Round_Standard))))</f>
        <v/>
      </c>
      <c r="AS61" s="24" t="str">
        <f>IF(A61="","",(IF(OR(AK61="Single",AK61="Married Filing Separately"),'CONSTANTS &amp; REFERENCES'!$C$7,IF(AK61="Married Filing Jointly",'CONSTANTS &amp; REFERENCES'!$H$7,IF(AK61="Head of Household",'CONSTANTS &amp; REFERENCES'!$M$7,""))))*AL61)</f>
        <v/>
      </c>
      <c r="AT61" s="21" t="str">
        <f>IF(AS61="","",IF(A61=0,IF(OR(AK61="Single",AK61="Married Filing Separately"),'CONSTANTS &amp; REFERENCES'!$C$7,IF(AK61="Married Filing Jointly",'CONSTANTS &amp; REFERENCES'!$H$7,IF(AK61="Head of Household",'CONSTANTS &amp; REFERENCES'!$M$7,""))),_xlfn.FLOOR.MATH(AS61,IF(AK61="Married Filing Separately",Bracket_Round_MFS,Bracket_Round_Standard))))</f>
        <v/>
      </c>
      <c r="AU61" s="24" t="str">
        <f>IF(A61="","",(IF(OR(AK61="Single",AK61="Married Filing Separately"),'CONSTANTS &amp; REFERENCES'!$C$8,IF(AK61="Married Filing Jointly",'CONSTANTS &amp; REFERENCES'!$H$8,IF(AK61="Head of Household",'CONSTANTS &amp; REFERENCES'!$M$8,""))))*AL61)</f>
        <v/>
      </c>
      <c r="AV61" s="21" t="str">
        <f>IF(AU61="","",IF(A61=0,IF(OR(AK61="Single",AK61="Married Filing Separately"),'CONSTANTS &amp; REFERENCES'!$C$8,IF(AK61="Married Filing Jointly",'CONSTANTS &amp; REFERENCES'!$H$8,IF(AK61="Head of Household",'CONSTANTS &amp; REFERENCES'!$M$8,""))),_xlfn.FLOOR.MATH(AU61,IF(AK61="Married Filing Separately",Bracket_Round_MFS,Bracket_Round_Standard))))</f>
        <v/>
      </c>
      <c r="AW61" s="24" t="str">
        <f>IF(A61="","",(IF(OR(AK61="Single",AK61="Married Filing Separately"),'CONSTANTS &amp; REFERENCES'!$C$9,IF(AK61="Married Filing Jointly",'CONSTANTS &amp; REFERENCES'!$H$9,IF(AK61="Head of Household",'CONSTANTS &amp; REFERENCES'!$M$9,""))))*AL61)</f>
        <v/>
      </c>
      <c r="AX61" s="21" t="str">
        <f>IF(AW61="","",IF(A61=0,IF(OR(AK61="Single",AK61="Married Filing Separately"),'CONSTANTS &amp; REFERENCES'!$C$9,IF(AK61="Married Filing Jointly",'CONSTANTS &amp; REFERENCES'!$H$9,IF(AK61="Head of Household",'CONSTANTS &amp; REFERENCES'!$M$9,""))),_xlfn.FLOOR.MATH(AW61,IF(AK61="Married Filing Separately",Bracket_Round_MFS,Bracket_Round_Standard))))</f>
        <v/>
      </c>
      <c r="AY61" s="24" t="str">
        <f>IF(A61="","",(IF(OR(AK61="Single",AK61="Married Filing Separately"),'CONSTANTS &amp; REFERENCES'!$C$10,IF(AK61="Married Filing Jointly",'CONSTANTS &amp; REFERENCES'!$H$10,IF(AK61="Head of Household",'CONSTANTS &amp; REFERENCES'!$M$10,""))))*AL61)</f>
        <v/>
      </c>
      <c r="AZ61" s="21" t="str">
        <f>IF(AY61="","",IF(A61=0,IF(OR(AK61="Single",AK61="Married Filing Separately"),'CONSTANTS &amp; REFERENCES'!$C$10,IF(AK61="Married Filing Jointly",'CONSTANTS &amp; REFERENCES'!$H$10,IF(AK61="Head of Household",'CONSTANTS &amp; REFERENCES'!$M$10,""))),_xlfn.FLOOR.MATH(AY61,IF(AK61="Married Filing Separately",Bracket_Round_MFS,Bracket_Round_Standard))))</f>
        <v/>
      </c>
      <c r="BA61" s="7" t="str">
        <f t="shared" si="28"/>
        <v/>
      </c>
      <c r="BB61" s="7" t="str">
        <f>IF(A61="","",'CONSTANTS &amp; REFERENCES'!$C$22*AL61)</f>
        <v/>
      </c>
      <c r="BC61" s="21" t="str">
        <f t="shared" si="19"/>
        <v/>
      </c>
    </row>
    <row r="62" spans="1:55" ht="18" customHeight="1" x14ac:dyDescent="0.3">
      <c r="A62" s="10" t="str">
        <f>IF(A61&lt;INPUTS!$C$7-INPUTS!$C$6,A61+1,"")</f>
        <v/>
      </c>
      <c r="B62" s="10" t="str">
        <f>IF(A62="","",INPUTS!$C$6+A62)</f>
        <v/>
      </c>
      <c r="C62" s="11" t="str">
        <f t="shared" si="29"/>
        <v/>
      </c>
      <c r="D62" s="11" t="str">
        <f>IF(A62="","",IF(A62&lt;INPUTS!$C$13,0,J62))</f>
        <v/>
      </c>
      <c r="E62" s="12" t="str">
        <f>IF(A62="","",IF(D62=0,"—",IF(Y62&lt;IF(AK62="Married Filing Jointly",'CONSTANTS &amp; REFERENCES'!$B$44,IF(AK62="Married Filing Separately",'CONSTANTS &amp; REFERENCES'!$B$45,'CONSTANTS &amp; REFERENCES'!$B$43)),"Direct","Backdoor")))</f>
        <v/>
      </c>
      <c r="F62" s="13" t="str">
        <f t="shared" si="20"/>
        <v/>
      </c>
      <c r="G62" s="14" t="str">
        <f t="shared" si="21"/>
        <v/>
      </c>
      <c r="H62" s="13" t="str">
        <f t="shared" si="22"/>
        <v/>
      </c>
      <c r="I62" s="14" t="str">
        <f t="shared" si="23"/>
        <v/>
      </c>
      <c r="J62" s="14" t="str">
        <f t="shared" si="24"/>
        <v/>
      </c>
      <c r="K62" s="11" t="str">
        <f>IF(A62="","",IF(INPUTS!$C$12="Beginning",(C62+D62)*INPUTS!$C$10,C62*INPUTS!$C$10))</f>
        <v/>
      </c>
      <c r="L62" s="11" t="str">
        <f>IF(A62="","",IF(INPUTS!$C$12="Beginning",(C62+D62)*(1+INPUTS!$C$10),C62*(1+INPUTS!$C$10)+D62))</f>
        <v/>
      </c>
      <c r="M62" s="15" t="str">
        <f>IF(A62="","",(1+INPUTS!$C$11)^A62)</f>
        <v/>
      </c>
      <c r="N62" s="11" t="str">
        <f t="shared" si="30"/>
        <v/>
      </c>
      <c r="O62" s="11" t="str">
        <f t="shared" si="31"/>
        <v/>
      </c>
      <c r="P62" s="11" t="str">
        <f>IF(A62="","",L62-INPUTS!$C$8-O62)</f>
        <v/>
      </c>
      <c r="Q62" s="16"/>
      <c r="R62" s="16"/>
      <c r="S62" s="16" t="str">
        <f t="shared" si="32"/>
        <v/>
      </c>
      <c r="T62" s="18" t="str">
        <f t="shared" si="33"/>
        <v/>
      </c>
      <c r="U62" s="18" t="str">
        <f t="shared" si="34"/>
        <v/>
      </c>
      <c r="V62" s="19" t="str">
        <f>IF(A62="","",FV(INPUTS!$C$10,INPUTS!$C$7-INPUTS!$C$6-A62+IF(INPUTS!$C$12="Beginning",1,0),0,-D62,0))</f>
        <v/>
      </c>
      <c r="W62" s="7"/>
      <c r="X62" s="7"/>
      <c r="Y62" s="21" t="str">
        <f>IF(A62="","",IF(INPUTS!$C$17="Yes",MIN(Y61*(1+INPUTS!$C$15)+IF(INPUTS!$C$27="Yes",(Z62-Z61)*INPUTS!$C$31+IF(AND(INPUTS!$C$28="Not yet credentialed",A62=INPUTS!$C$33),INPUTS!$C$32,0)+IF(AND(INPUTS!$C$28&lt;&gt;"FSA / FCAS",A62=INPUTS!$C$35),INPUTS!$C$34,0),0),INPUTS!$C$18),Y61*(1+INPUTS!$C$15)+IF(INPUTS!$C$27="Yes",(Z62-Z61)*INPUTS!$C$31+IF(AND(INPUTS!$C$28="Not yet credentialed",A62=INPUTS!$C$33),INPUTS!$C$32,0)+IF(AND(INPUTS!$C$28&lt;&gt;"FSA / FCAS",A62=INPUTS!$C$35),INPUTS!$C$34,0),0)))</f>
        <v/>
      </c>
      <c r="Z62" s="22" t="str">
        <f>IF(A62="","",IF(AND(INPUTS!$C$27="Yes",INPUTS!$C$28&lt;&gt;"FSA / FCAS",ISNUMBER(INPUTS!$C$37)),MIN(A62*INPUTS!$C$37,INPUTS!$C$30),0))</f>
        <v/>
      </c>
      <c r="AA62" s="21" t="str">
        <f t="shared" si="25"/>
        <v/>
      </c>
      <c r="AB62" s="21" t="str">
        <f t="shared" si="26"/>
        <v/>
      </c>
      <c r="AC62" s="21" t="str">
        <f>IF(A62="","",MIN(AB62,AP62)*'CONSTANTS &amp; REFERENCES'!$A$5+MAX(MIN(AB62,AR62)-AP62,0)*'CONSTANTS &amp; REFERENCES'!$A$6+MAX(MIN(AB62,AT62)-AR62,0)*'CONSTANTS &amp; REFERENCES'!$A$7+MAX(MIN(AB62,AV62)-AT62,0)*'CONSTANTS &amp; REFERENCES'!$A$8+MAX(MIN(AB62,AX62)-AV62,0)*'CONSTANTS &amp; REFERENCES'!$A$9+MAX(MIN(AB62,AZ62)-AX62,0)*'CONSTANTS &amp; REFERENCES'!$A$10+MAX(AB62-AZ62,0)*'CONSTANTS &amp; REFERENCES'!$A$11)</f>
        <v/>
      </c>
      <c r="AD62" s="21" t="str">
        <f>IF(AB62="","",IF(INPUTS!$C$20="Yes",AB62*INPUTS!$C$21,0))</f>
        <v/>
      </c>
      <c r="AE62" s="21" t="str">
        <f>IF(Y62="","",MIN(Y62,BC62)*'CONSTANTS &amp; REFERENCES'!$B$22)</f>
        <v/>
      </c>
      <c r="AF62" s="21" t="str">
        <f>IF(Y62="","",Y62*'CONSTANTS &amp; REFERENCES'!$B$24+MAX(0,Y62-IF(AK62="Married Filing Jointly",'CONSTANTS &amp; REFERENCES'!$C$26,IF(AK62="Married Filing Separately",'CONSTANTS &amp; REFERENCES'!$C$27,IF(AK62="Head of Household",'CONSTANTS &amp; REFERENCES'!$C$28,'CONSTANTS &amp; REFERENCES'!$C$25))))*'CONSTANTS &amp; REFERENCES'!$B$25)</f>
        <v/>
      </c>
      <c r="AG62" s="21" t="str">
        <f t="shared" si="15"/>
        <v/>
      </c>
      <c r="AH62" s="21" t="str">
        <f t="shared" si="16"/>
        <v/>
      </c>
      <c r="AI62" s="21" t="str">
        <f t="shared" si="17"/>
        <v/>
      </c>
      <c r="AJ62" s="21" t="str">
        <f t="shared" si="18"/>
        <v/>
      </c>
      <c r="AK62" s="7" t="str">
        <f>IF(A62="","",IF(AND(INPUTS!$C$43="Yes",A62&gt;=INPUTS!$C$45),INPUTS!$C$44,INPUTS!$C$19))</f>
        <v/>
      </c>
      <c r="AL62" s="23" t="str">
        <f t="shared" si="27"/>
        <v/>
      </c>
      <c r="AM62" s="24" t="str">
        <f>IF(A62="","",(IF(OR(AK62="Single",AK62="Married Filing Separately"),'CONSTANTS &amp; REFERENCES'!$B$13,IF(AK62="Married Filing Jointly",'CONSTANTS &amp; REFERENCES'!$G$13,IF(AK62="Head of Household",'CONSTANTS &amp; REFERENCES'!$L$13,""))))*AL62)</f>
        <v/>
      </c>
      <c r="AN62" s="21" t="str">
        <f>IF(AM62="","",IF(A62=0,IF(OR(AK62="Single",AK62="Married Filing Separately"),'CONSTANTS &amp; REFERENCES'!$B$13,IF(AK62="Married Filing Jointly",'CONSTANTS &amp; REFERENCES'!$G$13,IF(AK62="Head of Household",'CONSTANTS &amp; REFERENCES'!$L$13,""))),_xlfn.FLOOR.MATH(AM62,IF(AK62="Married Filing Separately",Bracket_Round_MFS,Bracket_Round_Standard))))</f>
        <v/>
      </c>
      <c r="AO62" s="24" t="str">
        <f>IF(A62="","",(IF(OR(AK62="Single",AK62="Married Filing Separately"),'CONSTANTS &amp; REFERENCES'!$C$5,IF(AK62="Married Filing Jointly",'CONSTANTS &amp; REFERENCES'!$H$5,IF(AK62="Head of Household",'CONSTANTS &amp; REFERENCES'!$M$5,""))))*AL62)</f>
        <v/>
      </c>
      <c r="AP62" s="21" t="str">
        <f>IF(AO62="","",IF(A62=0,IF(OR(AK62="Single",AK62="Married Filing Separately"),'CONSTANTS &amp; REFERENCES'!$C$5,IF(AK62="Married Filing Jointly",'CONSTANTS &amp; REFERENCES'!$H$5,IF(AK62="Head of Household",'CONSTANTS &amp; REFERENCES'!$M$5,""))),_xlfn.FLOOR.MATH(AO62,IF(AK62="Married Filing Separately",Bracket_Round_MFS,Bracket_Round_Standard))))</f>
        <v/>
      </c>
      <c r="AQ62" s="24" t="str">
        <f>IF(A62="","",(IF(OR(AK62="Single",AK62="Married Filing Separately"),'CONSTANTS &amp; REFERENCES'!$C$6,IF(AK62="Married Filing Jointly",'CONSTANTS &amp; REFERENCES'!$H$6,IF(AK62="Head of Household",'CONSTANTS &amp; REFERENCES'!$M$6,""))))*AL62)</f>
        <v/>
      </c>
      <c r="AR62" s="21" t="str">
        <f>IF(AQ62="","",IF(A62=0,IF(OR(AK62="Single",AK62="Married Filing Separately"),'CONSTANTS &amp; REFERENCES'!$C$6,IF(AK62="Married Filing Jointly",'CONSTANTS &amp; REFERENCES'!$H$6,IF(AK62="Head of Household",'CONSTANTS &amp; REFERENCES'!$M$6,""))),_xlfn.FLOOR.MATH(AQ62,IF(AK62="Married Filing Separately",Bracket_Round_MFS,Bracket_Round_Standard))))</f>
        <v/>
      </c>
      <c r="AS62" s="24" t="str">
        <f>IF(A62="","",(IF(OR(AK62="Single",AK62="Married Filing Separately"),'CONSTANTS &amp; REFERENCES'!$C$7,IF(AK62="Married Filing Jointly",'CONSTANTS &amp; REFERENCES'!$H$7,IF(AK62="Head of Household",'CONSTANTS &amp; REFERENCES'!$M$7,""))))*AL62)</f>
        <v/>
      </c>
      <c r="AT62" s="21" t="str">
        <f>IF(AS62="","",IF(A62=0,IF(OR(AK62="Single",AK62="Married Filing Separately"),'CONSTANTS &amp; REFERENCES'!$C$7,IF(AK62="Married Filing Jointly",'CONSTANTS &amp; REFERENCES'!$H$7,IF(AK62="Head of Household",'CONSTANTS &amp; REFERENCES'!$M$7,""))),_xlfn.FLOOR.MATH(AS62,IF(AK62="Married Filing Separately",Bracket_Round_MFS,Bracket_Round_Standard))))</f>
        <v/>
      </c>
      <c r="AU62" s="24" t="str">
        <f>IF(A62="","",(IF(OR(AK62="Single",AK62="Married Filing Separately"),'CONSTANTS &amp; REFERENCES'!$C$8,IF(AK62="Married Filing Jointly",'CONSTANTS &amp; REFERENCES'!$H$8,IF(AK62="Head of Household",'CONSTANTS &amp; REFERENCES'!$M$8,""))))*AL62)</f>
        <v/>
      </c>
      <c r="AV62" s="21" t="str">
        <f>IF(AU62="","",IF(A62=0,IF(OR(AK62="Single",AK62="Married Filing Separately"),'CONSTANTS &amp; REFERENCES'!$C$8,IF(AK62="Married Filing Jointly",'CONSTANTS &amp; REFERENCES'!$H$8,IF(AK62="Head of Household",'CONSTANTS &amp; REFERENCES'!$M$8,""))),_xlfn.FLOOR.MATH(AU62,IF(AK62="Married Filing Separately",Bracket_Round_MFS,Bracket_Round_Standard))))</f>
        <v/>
      </c>
      <c r="AW62" s="24" t="str">
        <f>IF(A62="","",(IF(OR(AK62="Single",AK62="Married Filing Separately"),'CONSTANTS &amp; REFERENCES'!$C$9,IF(AK62="Married Filing Jointly",'CONSTANTS &amp; REFERENCES'!$H$9,IF(AK62="Head of Household",'CONSTANTS &amp; REFERENCES'!$M$9,""))))*AL62)</f>
        <v/>
      </c>
      <c r="AX62" s="21" t="str">
        <f>IF(AW62="","",IF(A62=0,IF(OR(AK62="Single",AK62="Married Filing Separately"),'CONSTANTS &amp; REFERENCES'!$C$9,IF(AK62="Married Filing Jointly",'CONSTANTS &amp; REFERENCES'!$H$9,IF(AK62="Head of Household",'CONSTANTS &amp; REFERENCES'!$M$9,""))),_xlfn.FLOOR.MATH(AW62,IF(AK62="Married Filing Separately",Bracket_Round_MFS,Bracket_Round_Standard))))</f>
        <v/>
      </c>
      <c r="AY62" s="24" t="str">
        <f>IF(A62="","",(IF(OR(AK62="Single",AK62="Married Filing Separately"),'CONSTANTS &amp; REFERENCES'!$C$10,IF(AK62="Married Filing Jointly",'CONSTANTS &amp; REFERENCES'!$H$10,IF(AK62="Head of Household",'CONSTANTS &amp; REFERENCES'!$M$10,""))))*AL62)</f>
        <v/>
      </c>
      <c r="AZ62" s="21" t="str">
        <f>IF(AY62="","",IF(A62=0,IF(OR(AK62="Single",AK62="Married Filing Separately"),'CONSTANTS &amp; REFERENCES'!$C$10,IF(AK62="Married Filing Jointly",'CONSTANTS &amp; REFERENCES'!$H$10,IF(AK62="Head of Household",'CONSTANTS &amp; REFERENCES'!$M$10,""))),_xlfn.FLOOR.MATH(AY62,IF(AK62="Married Filing Separately",Bracket_Round_MFS,Bracket_Round_Standard))))</f>
        <v/>
      </c>
      <c r="BA62" s="7" t="str">
        <f t="shared" si="28"/>
        <v/>
      </c>
      <c r="BB62" s="7" t="str">
        <f>IF(A62="","",'CONSTANTS &amp; REFERENCES'!$C$22*AL62)</f>
        <v/>
      </c>
      <c r="BC62" s="21" t="str">
        <f t="shared" si="19"/>
        <v/>
      </c>
    </row>
    <row r="63" spans="1:55" ht="18" customHeight="1" x14ac:dyDescent="0.3">
      <c r="A63" s="10" t="str">
        <f>IF(A62&lt;INPUTS!$C$7-INPUTS!$C$6,A62+1,"")</f>
        <v/>
      </c>
      <c r="B63" s="10" t="str">
        <f>IF(A63="","",INPUTS!$C$6+A63)</f>
        <v/>
      </c>
      <c r="C63" s="11" t="str">
        <f t="shared" si="29"/>
        <v/>
      </c>
      <c r="D63" s="11" t="str">
        <f>IF(A63="","",IF(A63&lt;INPUTS!$C$13,0,J63))</f>
        <v/>
      </c>
      <c r="E63" s="12" t="str">
        <f>IF(A63="","",IF(D63=0,"—",IF(Y63&lt;IF(AK63="Married Filing Jointly",'CONSTANTS &amp; REFERENCES'!$B$44,IF(AK63="Married Filing Separately",'CONSTANTS &amp; REFERENCES'!$B$45,'CONSTANTS &amp; REFERENCES'!$B$43)),"Direct","Backdoor")))</f>
        <v/>
      </c>
      <c r="F63" s="13" t="str">
        <f t="shared" si="20"/>
        <v/>
      </c>
      <c r="G63" s="14" t="str">
        <f t="shared" si="21"/>
        <v/>
      </c>
      <c r="H63" s="13" t="str">
        <f t="shared" si="22"/>
        <v/>
      </c>
      <c r="I63" s="14" t="str">
        <f t="shared" si="23"/>
        <v/>
      </c>
      <c r="J63" s="14" t="str">
        <f t="shared" si="24"/>
        <v/>
      </c>
      <c r="K63" s="11" t="str">
        <f>IF(A63="","",IF(INPUTS!$C$12="Beginning",(C63+D63)*INPUTS!$C$10,C63*INPUTS!$C$10))</f>
        <v/>
      </c>
      <c r="L63" s="11" t="str">
        <f>IF(A63="","",IF(INPUTS!$C$12="Beginning",(C63+D63)*(1+INPUTS!$C$10),C63*(1+INPUTS!$C$10)+D63))</f>
        <v/>
      </c>
      <c r="M63" s="15" t="str">
        <f>IF(A63="","",(1+INPUTS!$C$11)^A63)</f>
        <v/>
      </c>
      <c r="N63" s="11" t="str">
        <f t="shared" si="30"/>
        <v/>
      </c>
      <c r="O63" s="11" t="str">
        <f t="shared" si="31"/>
        <v/>
      </c>
      <c r="P63" s="11" t="str">
        <f>IF(A63="","",L63-INPUTS!$C$8-O63)</f>
        <v/>
      </c>
      <c r="Q63" s="16"/>
      <c r="R63" s="16"/>
      <c r="S63" s="16" t="str">
        <f t="shared" si="32"/>
        <v/>
      </c>
      <c r="T63" s="18" t="str">
        <f t="shared" si="33"/>
        <v/>
      </c>
      <c r="U63" s="18" t="str">
        <f t="shared" si="34"/>
        <v/>
      </c>
      <c r="V63" s="19" t="str">
        <f>IF(A63="","",FV(INPUTS!$C$10,INPUTS!$C$7-INPUTS!$C$6-A63+IF(INPUTS!$C$12="Beginning",1,0),0,-D63,0))</f>
        <v/>
      </c>
      <c r="W63" s="7"/>
      <c r="X63" s="7"/>
      <c r="Y63" s="21" t="str">
        <f>IF(A63="","",IF(INPUTS!$C$17="Yes",MIN(Y62*(1+INPUTS!$C$15)+IF(INPUTS!$C$27="Yes",(Z63-Z62)*INPUTS!$C$31+IF(AND(INPUTS!$C$28="Not yet credentialed",A63=INPUTS!$C$33),INPUTS!$C$32,0)+IF(AND(INPUTS!$C$28&lt;&gt;"FSA / FCAS",A63=INPUTS!$C$35),INPUTS!$C$34,0),0),INPUTS!$C$18),Y62*(1+INPUTS!$C$15)+IF(INPUTS!$C$27="Yes",(Z63-Z62)*INPUTS!$C$31+IF(AND(INPUTS!$C$28="Not yet credentialed",A63=INPUTS!$C$33),INPUTS!$C$32,0)+IF(AND(INPUTS!$C$28&lt;&gt;"FSA / FCAS",A63=INPUTS!$C$35),INPUTS!$C$34,0),0)))</f>
        <v/>
      </c>
      <c r="Z63" s="22" t="str">
        <f>IF(A63="","",IF(AND(INPUTS!$C$27="Yes",INPUTS!$C$28&lt;&gt;"FSA / FCAS",ISNUMBER(INPUTS!$C$37)),MIN(A63*INPUTS!$C$37,INPUTS!$C$30),0))</f>
        <v/>
      </c>
      <c r="AA63" s="21" t="str">
        <f t="shared" si="25"/>
        <v/>
      </c>
      <c r="AB63" s="21" t="str">
        <f t="shared" si="26"/>
        <v/>
      </c>
      <c r="AC63" s="21" t="str">
        <f>IF(A63="","",MIN(AB63,AP63)*'CONSTANTS &amp; REFERENCES'!$A$5+MAX(MIN(AB63,AR63)-AP63,0)*'CONSTANTS &amp; REFERENCES'!$A$6+MAX(MIN(AB63,AT63)-AR63,0)*'CONSTANTS &amp; REFERENCES'!$A$7+MAX(MIN(AB63,AV63)-AT63,0)*'CONSTANTS &amp; REFERENCES'!$A$8+MAX(MIN(AB63,AX63)-AV63,0)*'CONSTANTS &amp; REFERENCES'!$A$9+MAX(MIN(AB63,AZ63)-AX63,0)*'CONSTANTS &amp; REFERENCES'!$A$10+MAX(AB63-AZ63,0)*'CONSTANTS &amp; REFERENCES'!$A$11)</f>
        <v/>
      </c>
      <c r="AD63" s="21" t="str">
        <f>IF(AB63="","",IF(INPUTS!$C$20="Yes",AB63*INPUTS!$C$21,0))</f>
        <v/>
      </c>
      <c r="AE63" s="21" t="str">
        <f>IF(Y63="","",MIN(Y63,BC63)*'CONSTANTS &amp; REFERENCES'!$B$22)</f>
        <v/>
      </c>
      <c r="AF63" s="21" t="str">
        <f>IF(Y63="","",Y63*'CONSTANTS &amp; REFERENCES'!$B$24+MAX(0,Y63-IF(AK63="Married Filing Jointly",'CONSTANTS &amp; REFERENCES'!$C$26,IF(AK63="Married Filing Separately",'CONSTANTS &amp; REFERENCES'!$C$27,IF(AK63="Head of Household",'CONSTANTS &amp; REFERENCES'!$C$28,'CONSTANTS &amp; REFERENCES'!$C$25))))*'CONSTANTS &amp; REFERENCES'!$B$25)</f>
        <v/>
      </c>
      <c r="AG63" s="21" t="str">
        <f t="shared" si="15"/>
        <v/>
      </c>
      <c r="AH63" s="21" t="str">
        <f t="shared" si="16"/>
        <v/>
      </c>
      <c r="AI63" s="21" t="str">
        <f t="shared" si="17"/>
        <v/>
      </c>
      <c r="AJ63" s="21" t="str">
        <f t="shared" si="18"/>
        <v/>
      </c>
      <c r="AK63" s="7" t="str">
        <f>IF(A63="","",IF(AND(INPUTS!$C$43="Yes",A63&gt;=INPUTS!$C$45),INPUTS!$C$44,INPUTS!$C$19))</f>
        <v/>
      </c>
      <c r="AL63" s="23" t="str">
        <f t="shared" si="27"/>
        <v/>
      </c>
      <c r="AM63" s="24" t="str">
        <f>IF(A63="","",(IF(OR(AK63="Single",AK63="Married Filing Separately"),'CONSTANTS &amp; REFERENCES'!$B$13,IF(AK63="Married Filing Jointly",'CONSTANTS &amp; REFERENCES'!$G$13,IF(AK63="Head of Household",'CONSTANTS &amp; REFERENCES'!$L$13,""))))*AL63)</f>
        <v/>
      </c>
      <c r="AN63" s="21" t="str">
        <f>IF(AM63="","",IF(A63=0,IF(OR(AK63="Single",AK63="Married Filing Separately"),'CONSTANTS &amp; REFERENCES'!$B$13,IF(AK63="Married Filing Jointly",'CONSTANTS &amp; REFERENCES'!$G$13,IF(AK63="Head of Household",'CONSTANTS &amp; REFERENCES'!$L$13,""))),_xlfn.FLOOR.MATH(AM63,IF(AK63="Married Filing Separately",Bracket_Round_MFS,Bracket_Round_Standard))))</f>
        <v/>
      </c>
      <c r="AO63" s="24" t="str">
        <f>IF(A63="","",(IF(OR(AK63="Single",AK63="Married Filing Separately"),'CONSTANTS &amp; REFERENCES'!$C$5,IF(AK63="Married Filing Jointly",'CONSTANTS &amp; REFERENCES'!$H$5,IF(AK63="Head of Household",'CONSTANTS &amp; REFERENCES'!$M$5,""))))*AL63)</f>
        <v/>
      </c>
      <c r="AP63" s="21" t="str">
        <f>IF(AO63="","",IF(A63=0,IF(OR(AK63="Single",AK63="Married Filing Separately"),'CONSTANTS &amp; REFERENCES'!$C$5,IF(AK63="Married Filing Jointly",'CONSTANTS &amp; REFERENCES'!$H$5,IF(AK63="Head of Household",'CONSTANTS &amp; REFERENCES'!$M$5,""))),_xlfn.FLOOR.MATH(AO63,IF(AK63="Married Filing Separately",Bracket_Round_MFS,Bracket_Round_Standard))))</f>
        <v/>
      </c>
      <c r="AQ63" s="24" t="str">
        <f>IF(A63="","",(IF(OR(AK63="Single",AK63="Married Filing Separately"),'CONSTANTS &amp; REFERENCES'!$C$6,IF(AK63="Married Filing Jointly",'CONSTANTS &amp; REFERENCES'!$H$6,IF(AK63="Head of Household",'CONSTANTS &amp; REFERENCES'!$M$6,""))))*AL63)</f>
        <v/>
      </c>
      <c r="AR63" s="21" t="str">
        <f>IF(AQ63="","",IF(A63=0,IF(OR(AK63="Single",AK63="Married Filing Separately"),'CONSTANTS &amp; REFERENCES'!$C$6,IF(AK63="Married Filing Jointly",'CONSTANTS &amp; REFERENCES'!$H$6,IF(AK63="Head of Household",'CONSTANTS &amp; REFERENCES'!$M$6,""))),_xlfn.FLOOR.MATH(AQ63,IF(AK63="Married Filing Separately",Bracket_Round_MFS,Bracket_Round_Standard))))</f>
        <v/>
      </c>
      <c r="AS63" s="24" t="str">
        <f>IF(A63="","",(IF(OR(AK63="Single",AK63="Married Filing Separately"),'CONSTANTS &amp; REFERENCES'!$C$7,IF(AK63="Married Filing Jointly",'CONSTANTS &amp; REFERENCES'!$H$7,IF(AK63="Head of Household",'CONSTANTS &amp; REFERENCES'!$M$7,""))))*AL63)</f>
        <v/>
      </c>
      <c r="AT63" s="21" t="str">
        <f>IF(AS63="","",IF(A63=0,IF(OR(AK63="Single",AK63="Married Filing Separately"),'CONSTANTS &amp; REFERENCES'!$C$7,IF(AK63="Married Filing Jointly",'CONSTANTS &amp; REFERENCES'!$H$7,IF(AK63="Head of Household",'CONSTANTS &amp; REFERENCES'!$M$7,""))),_xlfn.FLOOR.MATH(AS63,IF(AK63="Married Filing Separately",Bracket_Round_MFS,Bracket_Round_Standard))))</f>
        <v/>
      </c>
      <c r="AU63" s="24" t="str">
        <f>IF(A63="","",(IF(OR(AK63="Single",AK63="Married Filing Separately"),'CONSTANTS &amp; REFERENCES'!$C$8,IF(AK63="Married Filing Jointly",'CONSTANTS &amp; REFERENCES'!$H$8,IF(AK63="Head of Household",'CONSTANTS &amp; REFERENCES'!$M$8,""))))*AL63)</f>
        <v/>
      </c>
      <c r="AV63" s="21" t="str">
        <f>IF(AU63="","",IF(A63=0,IF(OR(AK63="Single",AK63="Married Filing Separately"),'CONSTANTS &amp; REFERENCES'!$C$8,IF(AK63="Married Filing Jointly",'CONSTANTS &amp; REFERENCES'!$H$8,IF(AK63="Head of Household",'CONSTANTS &amp; REFERENCES'!$M$8,""))),_xlfn.FLOOR.MATH(AU63,IF(AK63="Married Filing Separately",Bracket_Round_MFS,Bracket_Round_Standard))))</f>
        <v/>
      </c>
      <c r="AW63" s="24" t="str">
        <f>IF(A63="","",(IF(OR(AK63="Single",AK63="Married Filing Separately"),'CONSTANTS &amp; REFERENCES'!$C$9,IF(AK63="Married Filing Jointly",'CONSTANTS &amp; REFERENCES'!$H$9,IF(AK63="Head of Household",'CONSTANTS &amp; REFERENCES'!$M$9,""))))*AL63)</f>
        <v/>
      </c>
      <c r="AX63" s="21" t="str">
        <f>IF(AW63="","",IF(A63=0,IF(OR(AK63="Single",AK63="Married Filing Separately"),'CONSTANTS &amp; REFERENCES'!$C$9,IF(AK63="Married Filing Jointly",'CONSTANTS &amp; REFERENCES'!$H$9,IF(AK63="Head of Household",'CONSTANTS &amp; REFERENCES'!$M$9,""))),_xlfn.FLOOR.MATH(AW63,IF(AK63="Married Filing Separately",Bracket_Round_MFS,Bracket_Round_Standard))))</f>
        <v/>
      </c>
      <c r="AY63" s="24" t="str">
        <f>IF(A63="","",(IF(OR(AK63="Single",AK63="Married Filing Separately"),'CONSTANTS &amp; REFERENCES'!$C$10,IF(AK63="Married Filing Jointly",'CONSTANTS &amp; REFERENCES'!$H$10,IF(AK63="Head of Household",'CONSTANTS &amp; REFERENCES'!$M$10,""))))*AL63)</f>
        <v/>
      </c>
      <c r="AZ63" s="21" t="str">
        <f>IF(AY63="","",IF(A63=0,IF(OR(AK63="Single",AK63="Married Filing Separately"),'CONSTANTS &amp; REFERENCES'!$C$10,IF(AK63="Married Filing Jointly",'CONSTANTS &amp; REFERENCES'!$H$10,IF(AK63="Head of Household",'CONSTANTS &amp; REFERENCES'!$M$10,""))),_xlfn.FLOOR.MATH(AY63,IF(AK63="Married Filing Separately",Bracket_Round_MFS,Bracket_Round_Standard))))</f>
        <v/>
      </c>
      <c r="BA63" s="7" t="str">
        <f t="shared" si="28"/>
        <v/>
      </c>
      <c r="BB63" s="7" t="str">
        <f>IF(A63="","",'CONSTANTS &amp; REFERENCES'!$C$22*AL63)</f>
        <v/>
      </c>
      <c r="BC63" s="21" t="str">
        <f t="shared" si="19"/>
        <v/>
      </c>
    </row>
    <row r="64" spans="1:55" ht="18" customHeight="1" x14ac:dyDescent="0.3">
      <c r="A64" s="10" t="str">
        <f>IF(A63&lt;INPUTS!$C$7-INPUTS!$C$6,A63+1,"")</f>
        <v/>
      </c>
      <c r="B64" s="10" t="str">
        <f>IF(A64="","",INPUTS!$C$6+A64)</f>
        <v/>
      </c>
      <c r="C64" s="11" t="str">
        <f t="shared" si="29"/>
        <v/>
      </c>
      <c r="D64" s="11" t="str">
        <f>IF(A64="","",IF(A64&lt;INPUTS!$C$13,0,J64))</f>
        <v/>
      </c>
      <c r="E64" s="12" t="str">
        <f>IF(A64="","",IF(D64=0,"—",IF(Y64&lt;IF(AK64="Married Filing Jointly",'CONSTANTS &amp; REFERENCES'!$B$44,IF(AK64="Married Filing Separately",'CONSTANTS &amp; REFERENCES'!$B$45,'CONSTANTS &amp; REFERENCES'!$B$43)),"Direct","Backdoor")))</f>
        <v/>
      </c>
      <c r="F64" s="13" t="str">
        <f t="shared" si="20"/>
        <v/>
      </c>
      <c r="G64" s="14" t="str">
        <f t="shared" si="21"/>
        <v/>
      </c>
      <c r="H64" s="13" t="str">
        <f t="shared" si="22"/>
        <v/>
      </c>
      <c r="I64" s="14" t="str">
        <f t="shared" si="23"/>
        <v/>
      </c>
      <c r="J64" s="14" t="str">
        <f t="shared" si="24"/>
        <v/>
      </c>
      <c r="K64" s="11" t="str">
        <f>IF(A64="","",IF(INPUTS!$C$12="Beginning",(C64+D64)*INPUTS!$C$10,C64*INPUTS!$C$10))</f>
        <v/>
      </c>
      <c r="L64" s="11" t="str">
        <f>IF(A64="","",IF(INPUTS!$C$12="Beginning",(C64+D64)*(1+INPUTS!$C$10),C64*(1+INPUTS!$C$10)+D64))</f>
        <v/>
      </c>
      <c r="M64" s="15" t="str">
        <f>IF(A64="","",(1+INPUTS!$C$11)^A64)</f>
        <v/>
      </c>
      <c r="N64" s="11" t="str">
        <f t="shared" si="30"/>
        <v/>
      </c>
      <c r="O64" s="11" t="str">
        <f t="shared" si="31"/>
        <v/>
      </c>
      <c r="P64" s="11" t="str">
        <f>IF(A64="","",L64-INPUTS!$C$8-O64)</f>
        <v/>
      </c>
      <c r="Q64" s="16"/>
      <c r="R64" s="16"/>
      <c r="S64" s="16" t="str">
        <f t="shared" si="32"/>
        <v/>
      </c>
      <c r="T64" s="18" t="str">
        <f t="shared" si="33"/>
        <v/>
      </c>
      <c r="U64" s="18" t="str">
        <f t="shared" si="34"/>
        <v/>
      </c>
      <c r="V64" s="19" t="str">
        <f>IF(A64="","",FV(INPUTS!$C$10,INPUTS!$C$7-INPUTS!$C$6-A64+IF(INPUTS!$C$12="Beginning",1,0),0,-D64,0))</f>
        <v/>
      </c>
      <c r="W64" s="7"/>
      <c r="X64" s="7"/>
      <c r="Y64" s="21" t="str">
        <f>IF(A64="","",IF(INPUTS!$C$17="Yes",MIN(Y63*(1+INPUTS!$C$15)+IF(INPUTS!$C$27="Yes",(Z64-Z63)*INPUTS!$C$31+IF(AND(INPUTS!$C$28="Not yet credentialed",A64=INPUTS!$C$33),INPUTS!$C$32,0)+IF(AND(INPUTS!$C$28&lt;&gt;"FSA / FCAS",A64=INPUTS!$C$35),INPUTS!$C$34,0),0),INPUTS!$C$18),Y63*(1+INPUTS!$C$15)+IF(INPUTS!$C$27="Yes",(Z64-Z63)*INPUTS!$C$31+IF(AND(INPUTS!$C$28="Not yet credentialed",A64=INPUTS!$C$33),INPUTS!$C$32,0)+IF(AND(INPUTS!$C$28&lt;&gt;"FSA / FCAS",A64=INPUTS!$C$35),INPUTS!$C$34,0),0)))</f>
        <v/>
      </c>
      <c r="Z64" s="22" t="str">
        <f>IF(A64="","",IF(AND(INPUTS!$C$27="Yes",INPUTS!$C$28&lt;&gt;"FSA / FCAS",ISNUMBER(INPUTS!$C$37)),MIN(A64*INPUTS!$C$37,INPUTS!$C$30),0))</f>
        <v/>
      </c>
      <c r="AA64" s="21" t="str">
        <f t="shared" si="25"/>
        <v/>
      </c>
      <c r="AB64" s="21" t="str">
        <f t="shared" si="26"/>
        <v/>
      </c>
      <c r="AC64" s="21" t="str">
        <f>IF(A64="","",MIN(AB64,AP64)*'CONSTANTS &amp; REFERENCES'!$A$5+MAX(MIN(AB64,AR64)-AP64,0)*'CONSTANTS &amp; REFERENCES'!$A$6+MAX(MIN(AB64,AT64)-AR64,0)*'CONSTANTS &amp; REFERENCES'!$A$7+MAX(MIN(AB64,AV64)-AT64,0)*'CONSTANTS &amp; REFERENCES'!$A$8+MAX(MIN(AB64,AX64)-AV64,0)*'CONSTANTS &amp; REFERENCES'!$A$9+MAX(MIN(AB64,AZ64)-AX64,0)*'CONSTANTS &amp; REFERENCES'!$A$10+MAX(AB64-AZ64,0)*'CONSTANTS &amp; REFERENCES'!$A$11)</f>
        <v/>
      </c>
      <c r="AD64" s="21" t="str">
        <f>IF(AB64="","",IF(INPUTS!$C$20="Yes",AB64*INPUTS!$C$21,0))</f>
        <v/>
      </c>
      <c r="AE64" s="21" t="str">
        <f>IF(Y64="","",MIN(Y64,BC64)*'CONSTANTS &amp; REFERENCES'!$B$22)</f>
        <v/>
      </c>
      <c r="AF64" s="21" t="str">
        <f>IF(Y64="","",Y64*'CONSTANTS &amp; REFERENCES'!$B$24+MAX(0,Y64-IF(AK64="Married Filing Jointly",'CONSTANTS &amp; REFERENCES'!$C$26,IF(AK64="Married Filing Separately",'CONSTANTS &amp; REFERENCES'!$C$27,IF(AK64="Head of Household",'CONSTANTS &amp; REFERENCES'!$C$28,'CONSTANTS &amp; REFERENCES'!$C$25))))*'CONSTANTS &amp; REFERENCES'!$B$25)</f>
        <v/>
      </c>
      <c r="AG64" s="21" t="str">
        <f t="shared" si="15"/>
        <v/>
      </c>
      <c r="AH64" s="21" t="str">
        <f t="shared" si="16"/>
        <v/>
      </c>
      <c r="AI64" s="21" t="str">
        <f t="shared" si="17"/>
        <v/>
      </c>
      <c r="AJ64" s="21" t="str">
        <f t="shared" si="18"/>
        <v/>
      </c>
      <c r="AK64" s="7" t="str">
        <f>IF(A64="","",IF(AND(INPUTS!$C$43="Yes",A64&gt;=INPUTS!$C$45),INPUTS!$C$44,INPUTS!$C$19))</f>
        <v/>
      </c>
      <c r="AL64" s="23" t="str">
        <f t="shared" si="27"/>
        <v/>
      </c>
      <c r="AM64" s="24" t="str">
        <f>IF(A64="","",(IF(OR(AK64="Single",AK64="Married Filing Separately"),'CONSTANTS &amp; REFERENCES'!$B$13,IF(AK64="Married Filing Jointly",'CONSTANTS &amp; REFERENCES'!$G$13,IF(AK64="Head of Household",'CONSTANTS &amp; REFERENCES'!$L$13,""))))*AL64)</f>
        <v/>
      </c>
      <c r="AN64" s="21" t="str">
        <f>IF(AM64="","",IF(A64=0,IF(OR(AK64="Single",AK64="Married Filing Separately"),'CONSTANTS &amp; REFERENCES'!$B$13,IF(AK64="Married Filing Jointly",'CONSTANTS &amp; REFERENCES'!$G$13,IF(AK64="Head of Household",'CONSTANTS &amp; REFERENCES'!$L$13,""))),_xlfn.FLOOR.MATH(AM64,IF(AK64="Married Filing Separately",Bracket_Round_MFS,Bracket_Round_Standard))))</f>
        <v/>
      </c>
      <c r="AO64" s="24" t="str">
        <f>IF(A64="","",(IF(OR(AK64="Single",AK64="Married Filing Separately"),'CONSTANTS &amp; REFERENCES'!$C$5,IF(AK64="Married Filing Jointly",'CONSTANTS &amp; REFERENCES'!$H$5,IF(AK64="Head of Household",'CONSTANTS &amp; REFERENCES'!$M$5,""))))*AL64)</f>
        <v/>
      </c>
      <c r="AP64" s="21" t="str">
        <f>IF(AO64="","",IF(A64=0,IF(OR(AK64="Single",AK64="Married Filing Separately"),'CONSTANTS &amp; REFERENCES'!$C$5,IF(AK64="Married Filing Jointly",'CONSTANTS &amp; REFERENCES'!$H$5,IF(AK64="Head of Household",'CONSTANTS &amp; REFERENCES'!$M$5,""))),_xlfn.FLOOR.MATH(AO64,IF(AK64="Married Filing Separately",Bracket_Round_MFS,Bracket_Round_Standard))))</f>
        <v/>
      </c>
      <c r="AQ64" s="24" t="str">
        <f>IF(A64="","",(IF(OR(AK64="Single",AK64="Married Filing Separately"),'CONSTANTS &amp; REFERENCES'!$C$6,IF(AK64="Married Filing Jointly",'CONSTANTS &amp; REFERENCES'!$H$6,IF(AK64="Head of Household",'CONSTANTS &amp; REFERENCES'!$M$6,""))))*AL64)</f>
        <v/>
      </c>
      <c r="AR64" s="21" t="str">
        <f>IF(AQ64="","",IF(A64=0,IF(OR(AK64="Single",AK64="Married Filing Separately"),'CONSTANTS &amp; REFERENCES'!$C$6,IF(AK64="Married Filing Jointly",'CONSTANTS &amp; REFERENCES'!$H$6,IF(AK64="Head of Household",'CONSTANTS &amp; REFERENCES'!$M$6,""))),_xlfn.FLOOR.MATH(AQ64,IF(AK64="Married Filing Separately",Bracket_Round_MFS,Bracket_Round_Standard))))</f>
        <v/>
      </c>
      <c r="AS64" s="24" t="str">
        <f>IF(A64="","",(IF(OR(AK64="Single",AK64="Married Filing Separately"),'CONSTANTS &amp; REFERENCES'!$C$7,IF(AK64="Married Filing Jointly",'CONSTANTS &amp; REFERENCES'!$H$7,IF(AK64="Head of Household",'CONSTANTS &amp; REFERENCES'!$M$7,""))))*AL64)</f>
        <v/>
      </c>
      <c r="AT64" s="21" t="str">
        <f>IF(AS64="","",IF(A64=0,IF(OR(AK64="Single",AK64="Married Filing Separately"),'CONSTANTS &amp; REFERENCES'!$C$7,IF(AK64="Married Filing Jointly",'CONSTANTS &amp; REFERENCES'!$H$7,IF(AK64="Head of Household",'CONSTANTS &amp; REFERENCES'!$M$7,""))),_xlfn.FLOOR.MATH(AS64,IF(AK64="Married Filing Separately",Bracket_Round_MFS,Bracket_Round_Standard))))</f>
        <v/>
      </c>
      <c r="AU64" s="24" t="str">
        <f>IF(A64="","",(IF(OR(AK64="Single",AK64="Married Filing Separately"),'CONSTANTS &amp; REFERENCES'!$C$8,IF(AK64="Married Filing Jointly",'CONSTANTS &amp; REFERENCES'!$H$8,IF(AK64="Head of Household",'CONSTANTS &amp; REFERENCES'!$M$8,""))))*AL64)</f>
        <v/>
      </c>
      <c r="AV64" s="21" t="str">
        <f>IF(AU64="","",IF(A64=0,IF(OR(AK64="Single",AK64="Married Filing Separately"),'CONSTANTS &amp; REFERENCES'!$C$8,IF(AK64="Married Filing Jointly",'CONSTANTS &amp; REFERENCES'!$H$8,IF(AK64="Head of Household",'CONSTANTS &amp; REFERENCES'!$M$8,""))),_xlfn.FLOOR.MATH(AU64,IF(AK64="Married Filing Separately",Bracket_Round_MFS,Bracket_Round_Standard))))</f>
        <v/>
      </c>
      <c r="AW64" s="24" t="str">
        <f>IF(A64="","",(IF(OR(AK64="Single",AK64="Married Filing Separately"),'CONSTANTS &amp; REFERENCES'!$C$9,IF(AK64="Married Filing Jointly",'CONSTANTS &amp; REFERENCES'!$H$9,IF(AK64="Head of Household",'CONSTANTS &amp; REFERENCES'!$M$9,""))))*AL64)</f>
        <v/>
      </c>
      <c r="AX64" s="21" t="str">
        <f>IF(AW64="","",IF(A64=0,IF(OR(AK64="Single",AK64="Married Filing Separately"),'CONSTANTS &amp; REFERENCES'!$C$9,IF(AK64="Married Filing Jointly",'CONSTANTS &amp; REFERENCES'!$H$9,IF(AK64="Head of Household",'CONSTANTS &amp; REFERENCES'!$M$9,""))),_xlfn.FLOOR.MATH(AW64,IF(AK64="Married Filing Separately",Bracket_Round_MFS,Bracket_Round_Standard))))</f>
        <v/>
      </c>
      <c r="AY64" s="24" t="str">
        <f>IF(A64="","",(IF(OR(AK64="Single",AK64="Married Filing Separately"),'CONSTANTS &amp; REFERENCES'!$C$10,IF(AK64="Married Filing Jointly",'CONSTANTS &amp; REFERENCES'!$H$10,IF(AK64="Head of Household",'CONSTANTS &amp; REFERENCES'!$M$10,""))))*AL64)</f>
        <v/>
      </c>
      <c r="AZ64" s="21" t="str">
        <f>IF(AY64="","",IF(A64=0,IF(OR(AK64="Single",AK64="Married Filing Separately"),'CONSTANTS &amp; REFERENCES'!$C$10,IF(AK64="Married Filing Jointly",'CONSTANTS &amp; REFERENCES'!$H$10,IF(AK64="Head of Household",'CONSTANTS &amp; REFERENCES'!$M$10,""))),_xlfn.FLOOR.MATH(AY64,IF(AK64="Married Filing Separately",Bracket_Round_MFS,Bracket_Round_Standard))))</f>
        <v/>
      </c>
      <c r="BA64" s="7" t="str">
        <f t="shared" si="28"/>
        <v/>
      </c>
      <c r="BB64" s="7" t="str">
        <f>IF(A64="","",'CONSTANTS &amp; REFERENCES'!$C$22*AL64)</f>
        <v/>
      </c>
      <c r="BC64" s="21" t="str">
        <f t="shared" si="19"/>
        <v/>
      </c>
    </row>
    <row r="65" spans="1:55" ht="18" customHeight="1" x14ac:dyDescent="0.3">
      <c r="A65" s="10" t="str">
        <f>IF(A64&lt;INPUTS!$C$7-INPUTS!$C$6,A64+1,"")</f>
        <v/>
      </c>
      <c r="B65" s="10" t="str">
        <f>IF(A65="","",INPUTS!$C$6+A65)</f>
        <v/>
      </c>
      <c r="C65" s="11" t="str">
        <f t="shared" si="29"/>
        <v/>
      </c>
      <c r="D65" s="11" t="str">
        <f>IF(A65="","",IF(A65&lt;INPUTS!$C$13,0,J65))</f>
        <v/>
      </c>
      <c r="E65" s="12" t="str">
        <f>IF(A65="","",IF(D65=0,"—",IF(Y65&lt;IF(AK65="Married Filing Jointly",'CONSTANTS &amp; REFERENCES'!$B$44,IF(AK65="Married Filing Separately",'CONSTANTS &amp; REFERENCES'!$B$45,'CONSTANTS &amp; REFERENCES'!$B$43)),"Direct","Backdoor")))</f>
        <v/>
      </c>
      <c r="F65" s="13" t="str">
        <f t="shared" si="20"/>
        <v/>
      </c>
      <c r="G65" s="14" t="str">
        <f t="shared" si="21"/>
        <v/>
      </c>
      <c r="H65" s="13" t="str">
        <f t="shared" si="22"/>
        <v/>
      </c>
      <c r="I65" s="14" t="str">
        <f t="shared" si="23"/>
        <v/>
      </c>
      <c r="J65" s="14" t="str">
        <f t="shared" si="24"/>
        <v/>
      </c>
      <c r="K65" s="11" t="str">
        <f>IF(A65="","",IF(INPUTS!$C$12="Beginning",(C65+D65)*INPUTS!$C$10,C65*INPUTS!$C$10))</f>
        <v/>
      </c>
      <c r="L65" s="11" t="str">
        <f>IF(A65="","",IF(INPUTS!$C$12="Beginning",(C65+D65)*(1+INPUTS!$C$10),C65*(1+INPUTS!$C$10)+D65))</f>
        <v/>
      </c>
      <c r="M65" s="15" t="str">
        <f>IF(A65="","",(1+INPUTS!$C$11)^A65)</f>
        <v/>
      </c>
      <c r="N65" s="11" t="str">
        <f t="shared" si="30"/>
        <v/>
      </c>
      <c r="O65" s="11" t="str">
        <f t="shared" si="31"/>
        <v/>
      </c>
      <c r="P65" s="11" t="str">
        <f>IF(A65="","",L65-INPUTS!$C$8-O65)</f>
        <v/>
      </c>
      <c r="Q65" s="16"/>
      <c r="R65" s="16"/>
      <c r="S65" s="16" t="str">
        <f t="shared" si="32"/>
        <v/>
      </c>
      <c r="T65" s="18" t="str">
        <f t="shared" si="33"/>
        <v/>
      </c>
      <c r="U65" s="18" t="str">
        <f t="shared" si="34"/>
        <v/>
      </c>
      <c r="V65" s="19" t="str">
        <f>IF(A65="","",FV(INPUTS!$C$10,INPUTS!$C$7-INPUTS!$C$6-A65+IF(INPUTS!$C$12="Beginning",1,0),0,-D65,0))</f>
        <v/>
      </c>
      <c r="W65" s="7"/>
      <c r="X65" s="7"/>
      <c r="Y65" s="21" t="str">
        <f>IF(A65="","",IF(INPUTS!$C$17="Yes",MIN(Y64*(1+INPUTS!$C$15)+IF(INPUTS!$C$27="Yes",(Z65-Z64)*INPUTS!$C$31+IF(AND(INPUTS!$C$28="Not yet credentialed",A65=INPUTS!$C$33),INPUTS!$C$32,0)+IF(AND(INPUTS!$C$28&lt;&gt;"FSA / FCAS",A65=INPUTS!$C$35),INPUTS!$C$34,0),0),INPUTS!$C$18),Y64*(1+INPUTS!$C$15)+IF(INPUTS!$C$27="Yes",(Z65-Z64)*INPUTS!$C$31+IF(AND(INPUTS!$C$28="Not yet credentialed",A65=INPUTS!$C$33),INPUTS!$C$32,0)+IF(AND(INPUTS!$C$28&lt;&gt;"FSA / FCAS",A65=INPUTS!$C$35),INPUTS!$C$34,0),0)))</f>
        <v/>
      </c>
      <c r="Z65" s="22" t="str">
        <f>IF(A65="","",IF(AND(INPUTS!$C$27="Yes",INPUTS!$C$28&lt;&gt;"FSA / FCAS",ISNUMBER(INPUTS!$C$37)),MIN(A65*INPUTS!$C$37,INPUTS!$C$30),0))</f>
        <v/>
      </c>
      <c r="AA65" s="21" t="str">
        <f t="shared" si="25"/>
        <v/>
      </c>
      <c r="AB65" s="21" t="str">
        <f t="shared" si="26"/>
        <v/>
      </c>
      <c r="AC65" s="21" t="str">
        <f>IF(A65="","",MIN(AB65,AP65)*'CONSTANTS &amp; REFERENCES'!$A$5+MAX(MIN(AB65,AR65)-AP65,0)*'CONSTANTS &amp; REFERENCES'!$A$6+MAX(MIN(AB65,AT65)-AR65,0)*'CONSTANTS &amp; REFERENCES'!$A$7+MAX(MIN(AB65,AV65)-AT65,0)*'CONSTANTS &amp; REFERENCES'!$A$8+MAX(MIN(AB65,AX65)-AV65,0)*'CONSTANTS &amp; REFERENCES'!$A$9+MAX(MIN(AB65,AZ65)-AX65,0)*'CONSTANTS &amp; REFERENCES'!$A$10+MAX(AB65-AZ65,0)*'CONSTANTS &amp; REFERENCES'!$A$11)</f>
        <v/>
      </c>
      <c r="AD65" s="21" t="str">
        <f>IF(AB65="","",IF(INPUTS!$C$20="Yes",AB65*INPUTS!$C$21,0))</f>
        <v/>
      </c>
      <c r="AE65" s="21" t="str">
        <f>IF(Y65="","",MIN(Y65,BC65)*'CONSTANTS &amp; REFERENCES'!$B$22)</f>
        <v/>
      </c>
      <c r="AF65" s="21" t="str">
        <f>IF(Y65="","",Y65*'CONSTANTS &amp; REFERENCES'!$B$24+MAX(0,Y65-IF(AK65="Married Filing Jointly",'CONSTANTS &amp; REFERENCES'!$C$26,IF(AK65="Married Filing Separately",'CONSTANTS &amp; REFERENCES'!$C$27,IF(AK65="Head of Household",'CONSTANTS &amp; REFERENCES'!$C$28,'CONSTANTS &amp; REFERENCES'!$C$25))))*'CONSTANTS &amp; REFERENCES'!$B$25)</f>
        <v/>
      </c>
      <c r="AG65" s="21" t="str">
        <f t="shared" si="15"/>
        <v/>
      </c>
      <c r="AH65" s="21" t="str">
        <f t="shared" si="16"/>
        <v/>
      </c>
      <c r="AI65" s="21" t="str">
        <f t="shared" si="17"/>
        <v/>
      </c>
      <c r="AJ65" s="21" t="str">
        <f t="shared" si="18"/>
        <v/>
      </c>
      <c r="AK65" s="7" t="str">
        <f>IF(A65="","",IF(AND(INPUTS!$C$43="Yes",A65&gt;=INPUTS!$C$45),INPUTS!$C$44,INPUTS!$C$19))</f>
        <v/>
      </c>
      <c r="AL65" s="23" t="str">
        <f t="shared" si="27"/>
        <v/>
      </c>
      <c r="AM65" s="24" t="str">
        <f>IF(A65="","",(IF(OR(AK65="Single",AK65="Married Filing Separately"),'CONSTANTS &amp; REFERENCES'!$B$13,IF(AK65="Married Filing Jointly",'CONSTANTS &amp; REFERENCES'!$G$13,IF(AK65="Head of Household",'CONSTANTS &amp; REFERENCES'!$L$13,""))))*AL65)</f>
        <v/>
      </c>
      <c r="AN65" s="21" t="str">
        <f>IF(AM65="","",IF(A65=0,IF(OR(AK65="Single",AK65="Married Filing Separately"),'CONSTANTS &amp; REFERENCES'!$B$13,IF(AK65="Married Filing Jointly",'CONSTANTS &amp; REFERENCES'!$G$13,IF(AK65="Head of Household",'CONSTANTS &amp; REFERENCES'!$L$13,""))),_xlfn.FLOOR.MATH(AM65,IF(AK65="Married Filing Separately",Bracket_Round_MFS,Bracket_Round_Standard))))</f>
        <v/>
      </c>
      <c r="AO65" s="24" t="str">
        <f>IF(A65="","",(IF(OR(AK65="Single",AK65="Married Filing Separately"),'CONSTANTS &amp; REFERENCES'!$C$5,IF(AK65="Married Filing Jointly",'CONSTANTS &amp; REFERENCES'!$H$5,IF(AK65="Head of Household",'CONSTANTS &amp; REFERENCES'!$M$5,""))))*AL65)</f>
        <v/>
      </c>
      <c r="AP65" s="21" t="str">
        <f>IF(AO65="","",IF(A65=0,IF(OR(AK65="Single",AK65="Married Filing Separately"),'CONSTANTS &amp; REFERENCES'!$C$5,IF(AK65="Married Filing Jointly",'CONSTANTS &amp; REFERENCES'!$H$5,IF(AK65="Head of Household",'CONSTANTS &amp; REFERENCES'!$M$5,""))),_xlfn.FLOOR.MATH(AO65,IF(AK65="Married Filing Separately",Bracket_Round_MFS,Bracket_Round_Standard))))</f>
        <v/>
      </c>
      <c r="AQ65" s="24" t="str">
        <f>IF(A65="","",(IF(OR(AK65="Single",AK65="Married Filing Separately"),'CONSTANTS &amp; REFERENCES'!$C$6,IF(AK65="Married Filing Jointly",'CONSTANTS &amp; REFERENCES'!$H$6,IF(AK65="Head of Household",'CONSTANTS &amp; REFERENCES'!$M$6,""))))*AL65)</f>
        <v/>
      </c>
      <c r="AR65" s="21" t="str">
        <f>IF(AQ65="","",IF(A65=0,IF(OR(AK65="Single",AK65="Married Filing Separately"),'CONSTANTS &amp; REFERENCES'!$C$6,IF(AK65="Married Filing Jointly",'CONSTANTS &amp; REFERENCES'!$H$6,IF(AK65="Head of Household",'CONSTANTS &amp; REFERENCES'!$M$6,""))),_xlfn.FLOOR.MATH(AQ65,IF(AK65="Married Filing Separately",Bracket_Round_MFS,Bracket_Round_Standard))))</f>
        <v/>
      </c>
      <c r="AS65" s="24" t="str">
        <f>IF(A65="","",(IF(OR(AK65="Single",AK65="Married Filing Separately"),'CONSTANTS &amp; REFERENCES'!$C$7,IF(AK65="Married Filing Jointly",'CONSTANTS &amp; REFERENCES'!$H$7,IF(AK65="Head of Household",'CONSTANTS &amp; REFERENCES'!$M$7,""))))*AL65)</f>
        <v/>
      </c>
      <c r="AT65" s="21" t="str">
        <f>IF(AS65="","",IF(A65=0,IF(OR(AK65="Single",AK65="Married Filing Separately"),'CONSTANTS &amp; REFERENCES'!$C$7,IF(AK65="Married Filing Jointly",'CONSTANTS &amp; REFERENCES'!$H$7,IF(AK65="Head of Household",'CONSTANTS &amp; REFERENCES'!$M$7,""))),_xlfn.FLOOR.MATH(AS65,IF(AK65="Married Filing Separately",Bracket_Round_MFS,Bracket_Round_Standard))))</f>
        <v/>
      </c>
      <c r="AU65" s="24" t="str">
        <f>IF(A65="","",(IF(OR(AK65="Single",AK65="Married Filing Separately"),'CONSTANTS &amp; REFERENCES'!$C$8,IF(AK65="Married Filing Jointly",'CONSTANTS &amp; REFERENCES'!$H$8,IF(AK65="Head of Household",'CONSTANTS &amp; REFERENCES'!$M$8,""))))*AL65)</f>
        <v/>
      </c>
      <c r="AV65" s="21" t="str">
        <f>IF(AU65="","",IF(A65=0,IF(OR(AK65="Single",AK65="Married Filing Separately"),'CONSTANTS &amp; REFERENCES'!$C$8,IF(AK65="Married Filing Jointly",'CONSTANTS &amp; REFERENCES'!$H$8,IF(AK65="Head of Household",'CONSTANTS &amp; REFERENCES'!$M$8,""))),_xlfn.FLOOR.MATH(AU65,IF(AK65="Married Filing Separately",Bracket_Round_MFS,Bracket_Round_Standard))))</f>
        <v/>
      </c>
      <c r="AW65" s="24" t="str">
        <f>IF(A65="","",(IF(OR(AK65="Single",AK65="Married Filing Separately"),'CONSTANTS &amp; REFERENCES'!$C$9,IF(AK65="Married Filing Jointly",'CONSTANTS &amp; REFERENCES'!$H$9,IF(AK65="Head of Household",'CONSTANTS &amp; REFERENCES'!$M$9,""))))*AL65)</f>
        <v/>
      </c>
      <c r="AX65" s="21" t="str">
        <f>IF(AW65="","",IF(A65=0,IF(OR(AK65="Single",AK65="Married Filing Separately"),'CONSTANTS &amp; REFERENCES'!$C$9,IF(AK65="Married Filing Jointly",'CONSTANTS &amp; REFERENCES'!$H$9,IF(AK65="Head of Household",'CONSTANTS &amp; REFERENCES'!$M$9,""))),_xlfn.FLOOR.MATH(AW65,IF(AK65="Married Filing Separately",Bracket_Round_MFS,Bracket_Round_Standard))))</f>
        <v/>
      </c>
      <c r="AY65" s="24" t="str">
        <f>IF(A65="","",(IF(OR(AK65="Single",AK65="Married Filing Separately"),'CONSTANTS &amp; REFERENCES'!$C$10,IF(AK65="Married Filing Jointly",'CONSTANTS &amp; REFERENCES'!$H$10,IF(AK65="Head of Household",'CONSTANTS &amp; REFERENCES'!$M$10,""))))*AL65)</f>
        <v/>
      </c>
      <c r="AZ65" s="21" t="str">
        <f>IF(AY65="","",IF(A65=0,IF(OR(AK65="Single",AK65="Married Filing Separately"),'CONSTANTS &amp; REFERENCES'!$C$10,IF(AK65="Married Filing Jointly",'CONSTANTS &amp; REFERENCES'!$H$10,IF(AK65="Head of Household",'CONSTANTS &amp; REFERENCES'!$M$10,""))),_xlfn.FLOOR.MATH(AY65,IF(AK65="Married Filing Separately",Bracket_Round_MFS,Bracket_Round_Standard))))</f>
        <v/>
      </c>
      <c r="BA65" s="7" t="str">
        <f t="shared" si="28"/>
        <v/>
      </c>
      <c r="BB65" s="7" t="str">
        <f>IF(A65="","",'CONSTANTS &amp; REFERENCES'!$C$22*AL65)</f>
        <v/>
      </c>
      <c r="BC65" s="21" t="str">
        <f t="shared" si="19"/>
        <v/>
      </c>
    </row>
    <row r="66" spans="1:55" ht="18" customHeight="1" x14ac:dyDescent="0.3">
      <c r="A66" s="10" t="str">
        <f>IF(A65&lt;INPUTS!$C$7-INPUTS!$C$6,A65+1,"")</f>
        <v/>
      </c>
      <c r="B66" s="10" t="str">
        <f>IF(A66="","",INPUTS!$C$6+A66)</f>
        <v/>
      </c>
      <c r="C66" s="11" t="str">
        <f t="shared" si="29"/>
        <v/>
      </c>
      <c r="D66" s="11" t="str">
        <f>IF(A66="","",IF(A66&lt;INPUTS!$C$13,0,J66))</f>
        <v/>
      </c>
      <c r="E66" s="12" t="str">
        <f>IF(A66="","",IF(D66=0,"—",IF(Y66&lt;IF(AK66="Married Filing Jointly",'CONSTANTS &amp; REFERENCES'!$B$44,IF(AK66="Married Filing Separately",'CONSTANTS &amp; REFERENCES'!$B$45,'CONSTANTS &amp; REFERENCES'!$B$43)),"Direct","Backdoor")))</f>
        <v/>
      </c>
      <c r="F66" s="13" t="str">
        <f t="shared" ref="F66:F102" si="35">IF(A66="","",$X$2*(1+$X$3)^A66)</f>
        <v/>
      </c>
      <c r="G66" s="14" t="str">
        <f t="shared" ref="G66:G97" si="36">IF(F66="","",_xlfn.FLOOR.MATH(F66,500))</f>
        <v/>
      </c>
      <c r="H66" s="13" t="str">
        <f t="shared" ref="H66:H102" si="37">IF(A66="","",$X$4*(1+$X$3)^A66)</f>
        <v/>
      </c>
      <c r="I66" s="14" t="str">
        <f t="shared" ref="I66:I97" si="38">IF(H66="","",_xlfn.FLOOR.MATH(H66,100))</f>
        <v/>
      </c>
      <c r="J66" s="14" t="str">
        <f t="shared" ref="J66:J97" si="39">IF(A66="","",G66+IF(B66&gt;=50,I66,0))</f>
        <v/>
      </c>
      <c r="K66" s="11" t="str">
        <f>IF(A66="","",IF(INPUTS!$C$12="Beginning",(C66+D66)*INPUTS!$C$10,C66*INPUTS!$C$10))</f>
        <v/>
      </c>
      <c r="L66" s="11" t="str">
        <f>IF(A66="","",IF(INPUTS!$C$12="Beginning",(C66+D66)*(1+INPUTS!$C$10),C66*(1+INPUTS!$C$10)+D66))</f>
        <v/>
      </c>
      <c r="M66" s="15" t="str">
        <f>IF(A66="","",(1+INPUTS!$C$11)^A66)</f>
        <v/>
      </c>
      <c r="N66" s="11" t="str">
        <f t="shared" si="30"/>
        <v/>
      </c>
      <c r="O66" s="11" t="str">
        <f t="shared" si="31"/>
        <v/>
      </c>
      <c r="P66" s="11" t="str">
        <f>IF(A66="","",L66-INPUTS!$C$8-O66)</f>
        <v/>
      </c>
      <c r="Q66" s="16"/>
      <c r="R66" s="16"/>
      <c r="S66" s="16" t="str">
        <f t="shared" si="32"/>
        <v/>
      </c>
      <c r="T66" s="18" t="str">
        <f t="shared" si="33"/>
        <v/>
      </c>
      <c r="U66" s="18" t="str">
        <f t="shared" si="34"/>
        <v/>
      </c>
      <c r="V66" s="19" t="str">
        <f>IF(A66="","",FV(INPUTS!$C$10,INPUTS!$C$7-INPUTS!$C$6-A66+IF(INPUTS!$C$12="Beginning",1,0),0,-D66,0))</f>
        <v/>
      </c>
      <c r="W66" s="7"/>
      <c r="X66" s="7"/>
      <c r="Y66" s="21" t="str">
        <f>IF(A66="","",IF(INPUTS!$C$17="Yes",MIN(Y65*(1+INPUTS!$C$15)+IF(INPUTS!$C$27="Yes",(Z66-Z65)*INPUTS!$C$31+IF(AND(INPUTS!$C$28="Not yet credentialed",A66=INPUTS!$C$33),INPUTS!$C$32,0)+IF(AND(INPUTS!$C$28&lt;&gt;"FSA / FCAS",A66=INPUTS!$C$35),INPUTS!$C$34,0),0),INPUTS!$C$18),Y65*(1+INPUTS!$C$15)+IF(INPUTS!$C$27="Yes",(Z66-Z65)*INPUTS!$C$31+IF(AND(INPUTS!$C$28="Not yet credentialed",A66=INPUTS!$C$33),INPUTS!$C$32,0)+IF(AND(INPUTS!$C$28&lt;&gt;"FSA / FCAS",A66=INPUTS!$C$35),INPUTS!$C$34,0),0)))</f>
        <v/>
      </c>
      <c r="Z66" s="22" t="str">
        <f>IF(A66="","",IF(AND(INPUTS!$C$27="Yes",INPUTS!$C$28&lt;&gt;"FSA / FCAS",ISNUMBER(INPUTS!$C$37)),MIN(A66*INPUTS!$C$37,INPUTS!$C$30),0))</f>
        <v/>
      </c>
      <c r="AA66" s="21" t="str">
        <f t="shared" ref="AA66:AA102" si="40">IF(A66="","",AN66)</f>
        <v/>
      </c>
      <c r="AB66" s="21" t="str">
        <f t="shared" ref="AB66:AB97" si="41">IF(OR(A66="",AA66=""),"",MAX(0,Y66-AA66))</f>
        <v/>
      </c>
      <c r="AC66" s="21" t="str">
        <f>IF(A66="","",MIN(AB66,AP66)*'CONSTANTS &amp; REFERENCES'!$A$5+MAX(MIN(AB66,AR66)-AP66,0)*'CONSTANTS &amp; REFERENCES'!$A$6+MAX(MIN(AB66,AT66)-AR66,0)*'CONSTANTS &amp; REFERENCES'!$A$7+MAX(MIN(AB66,AV66)-AT66,0)*'CONSTANTS &amp; REFERENCES'!$A$8+MAX(MIN(AB66,AX66)-AV66,0)*'CONSTANTS &amp; REFERENCES'!$A$9+MAX(MIN(AB66,AZ66)-AX66,0)*'CONSTANTS &amp; REFERENCES'!$A$10+MAX(AB66-AZ66,0)*'CONSTANTS &amp; REFERENCES'!$A$11)</f>
        <v/>
      </c>
      <c r="AD66" s="21" t="str">
        <f>IF(AB66="","",IF(INPUTS!$C$20="Yes",AB66*INPUTS!$C$21,0))</f>
        <v/>
      </c>
      <c r="AE66" s="21" t="str">
        <f>IF(Y66="","",MIN(Y66,BC66)*'CONSTANTS &amp; REFERENCES'!$B$22)</f>
        <v/>
      </c>
      <c r="AF66" s="21" t="str">
        <f>IF(Y66="","",Y66*'CONSTANTS &amp; REFERENCES'!$B$24+MAX(0,Y66-IF(AK66="Married Filing Jointly",'CONSTANTS &amp; REFERENCES'!$C$26,IF(AK66="Married Filing Separately",'CONSTANTS &amp; REFERENCES'!$C$27,IF(AK66="Head of Household",'CONSTANTS &amp; REFERENCES'!$C$28,'CONSTANTS &amp; REFERENCES'!$C$25))))*'CONSTANTS &amp; REFERENCES'!$B$25)</f>
        <v/>
      </c>
      <c r="AG66" s="21" t="str">
        <f t="shared" si="15"/>
        <v/>
      </c>
      <c r="AH66" s="21" t="str">
        <f t="shared" si="16"/>
        <v/>
      </c>
      <c r="AI66" s="21" t="str">
        <f t="shared" si="17"/>
        <v/>
      </c>
      <c r="AJ66" s="21" t="str">
        <f t="shared" si="18"/>
        <v/>
      </c>
      <c r="AK66" s="7" t="str">
        <f>IF(A66="","",IF(AND(INPUTS!$C$43="Yes",A66&gt;=INPUTS!$C$45),INPUTS!$C$44,INPUTS!$C$19))</f>
        <v/>
      </c>
      <c r="AL66" s="23" t="str">
        <f t="shared" ref="AL66:AL102" si="42">IF(A66="","",(1+$X$6)^A66)</f>
        <v/>
      </c>
      <c r="AM66" s="24" t="str">
        <f>IF(A66="","",(IF(OR(AK66="Single",AK66="Married Filing Separately"),'CONSTANTS &amp; REFERENCES'!$B$13,IF(AK66="Married Filing Jointly",'CONSTANTS &amp; REFERENCES'!$G$13,IF(AK66="Head of Household",'CONSTANTS &amp; REFERENCES'!$L$13,""))))*AL66)</f>
        <v/>
      </c>
      <c r="AN66" s="21" t="str">
        <f>IF(AM66="","",IF(A66=0,IF(OR(AK66="Single",AK66="Married Filing Separately"),'CONSTANTS &amp; REFERENCES'!$B$13,IF(AK66="Married Filing Jointly",'CONSTANTS &amp; REFERENCES'!$G$13,IF(AK66="Head of Household",'CONSTANTS &amp; REFERENCES'!$L$13,""))),_xlfn.FLOOR.MATH(AM66,IF(AK66="Married Filing Separately",Bracket_Round_MFS,Bracket_Round_Standard))))</f>
        <v/>
      </c>
      <c r="AO66" s="24" t="str">
        <f>IF(A66="","",(IF(OR(AK66="Single",AK66="Married Filing Separately"),'CONSTANTS &amp; REFERENCES'!$C$5,IF(AK66="Married Filing Jointly",'CONSTANTS &amp; REFERENCES'!$H$5,IF(AK66="Head of Household",'CONSTANTS &amp; REFERENCES'!$M$5,""))))*AL66)</f>
        <v/>
      </c>
      <c r="AP66" s="21" t="str">
        <f>IF(AO66="","",IF(A66=0,IF(OR(AK66="Single",AK66="Married Filing Separately"),'CONSTANTS &amp; REFERENCES'!$C$5,IF(AK66="Married Filing Jointly",'CONSTANTS &amp; REFERENCES'!$H$5,IF(AK66="Head of Household",'CONSTANTS &amp; REFERENCES'!$M$5,""))),_xlfn.FLOOR.MATH(AO66,IF(AK66="Married Filing Separately",Bracket_Round_MFS,Bracket_Round_Standard))))</f>
        <v/>
      </c>
      <c r="AQ66" s="24" t="str">
        <f>IF(A66="","",(IF(OR(AK66="Single",AK66="Married Filing Separately"),'CONSTANTS &amp; REFERENCES'!$C$6,IF(AK66="Married Filing Jointly",'CONSTANTS &amp; REFERENCES'!$H$6,IF(AK66="Head of Household",'CONSTANTS &amp; REFERENCES'!$M$6,""))))*AL66)</f>
        <v/>
      </c>
      <c r="AR66" s="21" t="str">
        <f>IF(AQ66="","",IF(A66=0,IF(OR(AK66="Single",AK66="Married Filing Separately"),'CONSTANTS &amp; REFERENCES'!$C$6,IF(AK66="Married Filing Jointly",'CONSTANTS &amp; REFERENCES'!$H$6,IF(AK66="Head of Household",'CONSTANTS &amp; REFERENCES'!$M$6,""))),_xlfn.FLOOR.MATH(AQ66,IF(AK66="Married Filing Separately",Bracket_Round_MFS,Bracket_Round_Standard))))</f>
        <v/>
      </c>
      <c r="AS66" s="24" t="str">
        <f>IF(A66="","",(IF(OR(AK66="Single",AK66="Married Filing Separately"),'CONSTANTS &amp; REFERENCES'!$C$7,IF(AK66="Married Filing Jointly",'CONSTANTS &amp; REFERENCES'!$H$7,IF(AK66="Head of Household",'CONSTANTS &amp; REFERENCES'!$M$7,""))))*AL66)</f>
        <v/>
      </c>
      <c r="AT66" s="21" t="str">
        <f>IF(AS66="","",IF(A66=0,IF(OR(AK66="Single",AK66="Married Filing Separately"),'CONSTANTS &amp; REFERENCES'!$C$7,IF(AK66="Married Filing Jointly",'CONSTANTS &amp; REFERENCES'!$H$7,IF(AK66="Head of Household",'CONSTANTS &amp; REFERENCES'!$M$7,""))),_xlfn.FLOOR.MATH(AS66,IF(AK66="Married Filing Separately",Bracket_Round_MFS,Bracket_Round_Standard))))</f>
        <v/>
      </c>
      <c r="AU66" s="24" t="str">
        <f>IF(A66="","",(IF(OR(AK66="Single",AK66="Married Filing Separately"),'CONSTANTS &amp; REFERENCES'!$C$8,IF(AK66="Married Filing Jointly",'CONSTANTS &amp; REFERENCES'!$H$8,IF(AK66="Head of Household",'CONSTANTS &amp; REFERENCES'!$M$8,""))))*AL66)</f>
        <v/>
      </c>
      <c r="AV66" s="21" t="str">
        <f>IF(AU66="","",IF(A66=0,IF(OR(AK66="Single",AK66="Married Filing Separately"),'CONSTANTS &amp; REFERENCES'!$C$8,IF(AK66="Married Filing Jointly",'CONSTANTS &amp; REFERENCES'!$H$8,IF(AK66="Head of Household",'CONSTANTS &amp; REFERENCES'!$M$8,""))),_xlfn.FLOOR.MATH(AU66,IF(AK66="Married Filing Separately",Bracket_Round_MFS,Bracket_Round_Standard))))</f>
        <v/>
      </c>
      <c r="AW66" s="24" t="str">
        <f>IF(A66="","",(IF(OR(AK66="Single",AK66="Married Filing Separately"),'CONSTANTS &amp; REFERENCES'!$C$9,IF(AK66="Married Filing Jointly",'CONSTANTS &amp; REFERENCES'!$H$9,IF(AK66="Head of Household",'CONSTANTS &amp; REFERENCES'!$M$9,""))))*AL66)</f>
        <v/>
      </c>
      <c r="AX66" s="21" t="str">
        <f>IF(AW66="","",IF(A66=0,IF(OR(AK66="Single",AK66="Married Filing Separately"),'CONSTANTS &amp; REFERENCES'!$C$9,IF(AK66="Married Filing Jointly",'CONSTANTS &amp; REFERENCES'!$H$9,IF(AK66="Head of Household",'CONSTANTS &amp; REFERENCES'!$M$9,""))),_xlfn.FLOOR.MATH(AW66,IF(AK66="Married Filing Separately",Bracket_Round_MFS,Bracket_Round_Standard))))</f>
        <v/>
      </c>
      <c r="AY66" s="24" t="str">
        <f>IF(A66="","",(IF(OR(AK66="Single",AK66="Married Filing Separately"),'CONSTANTS &amp; REFERENCES'!$C$10,IF(AK66="Married Filing Jointly",'CONSTANTS &amp; REFERENCES'!$H$10,IF(AK66="Head of Household",'CONSTANTS &amp; REFERENCES'!$M$10,""))))*AL66)</f>
        <v/>
      </c>
      <c r="AZ66" s="21" t="str">
        <f>IF(AY66="","",IF(A66=0,IF(OR(AK66="Single",AK66="Married Filing Separately"),'CONSTANTS &amp; REFERENCES'!$C$10,IF(AK66="Married Filing Jointly",'CONSTANTS &amp; REFERENCES'!$H$10,IF(AK66="Head of Household",'CONSTANTS &amp; REFERENCES'!$M$10,""))),_xlfn.FLOOR.MATH(AY66,IF(AK66="Married Filing Separately",Bracket_Round_MFS,Bracket_Round_Standard))))</f>
        <v/>
      </c>
      <c r="BA66" s="7" t="str">
        <f t="shared" ref="BA66:BA102" si="43">IF(A66="","",IF(A66=0,"Official 2026 base values","Illustrative future tax assumptions under simplified C-CPI-U indexing; not an IRS forecast."))</f>
        <v/>
      </c>
      <c r="BB66" s="7" t="str">
        <f>IF(A66="","",'CONSTANTS &amp; REFERENCES'!$C$22*AL66)</f>
        <v/>
      </c>
      <c r="BC66" s="21" t="str">
        <f t="shared" si="19"/>
        <v/>
      </c>
    </row>
    <row r="67" spans="1:55" ht="18" customHeight="1" x14ac:dyDescent="0.3">
      <c r="A67" s="10" t="str">
        <f>IF(A66&lt;INPUTS!$C$7-INPUTS!$C$6,A66+1,"")</f>
        <v/>
      </c>
      <c r="B67" s="10" t="str">
        <f>IF(A67="","",INPUTS!$C$6+A67)</f>
        <v/>
      </c>
      <c r="C67" s="11" t="str">
        <f t="shared" ref="C67:C102" si="44">IF(A67="","",L66)</f>
        <v/>
      </c>
      <c r="D67" s="11" t="str">
        <f>IF(A67="","",IF(A67&lt;INPUTS!$C$13,0,J67))</f>
        <v/>
      </c>
      <c r="E67" s="12" t="str">
        <f>IF(A67="","",IF(D67=0,"—",IF(Y67&lt;IF(AK67="Married Filing Jointly",'CONSTANTS &amp; REFERENCES'!$B$44,IF(AK67="Married Filing Separately",'CONSTANTS &amp; REFERENCES'!$B$45,'CONSTANTS &amp; REFERENCES'!$B$43)),"Direct","Backdoor")))</f>
        <v/>
      </c>
      <c r="F67" s="13" t="str">
        <f t="shared" si="35"/>
        <v/>
      </c>
      <c r="G67" s="14" t="str">
        <f t="shared" si="36"/>
        <v/>
      </c>
      <c r="H67" s="13" t="str">
        <f t="shared" si="37"/>
        <v/>
      </c>
      <c r="I67" s="14" t="str">
        <f t="shared" si="38"/>
        <v/>
      </c>
      <c r="J67" s="14" t="str">
        <f t="shared" si="39"/>
        <v/>
      </c>
      <c r="K67" s="11" t="str">
        <f>IF(A67="","",IF(INPUTS!$C$12="Beginning",(C67+D67)*INPUTS!$C$10,C67*INPUTS!$C$10))</f>
        <v/>
      </c>
      <c r="L67" s="11" t="str">
        <f>IF(A67="","",IF(INPUTS!$C$12="Beginning",(C67+D67)*(1+INPUTS!$C$10),C67*(1+INPUTS!$C$10)+D67))</f>
        <v/>
      </c>
      <c r="M67" s="15" t="str">
        <f>IF(A67="","",(1+INPUTS!$C$11)^A67)</f>
        <v/>
      </c>
      <c r="N67" s="11" t="str">
        <f t="shared" ref="N67:N98" si="45">IF(A67="","",L67/M67)</f>
        <v/>
      </c>
      <c r="O67" s="11" t="str">
        <f t="shared" ref="O67:O102" si="46">IF(A67="","",O66+D67)</f>
        <v/>
      </c>
      <c r="P67" s="11" t="str">
        <f>IF(A67="","",L67-INPUTS!$C$8-O67)</f>
        <v/>
      </c>
      <c r="Q67" s="16"/>
      <c r="R67" s="16"/>
      <c r="S67" s="16" t="str">
        <f t="shared" ref="S67:S102" si="47">IF(B67="","",B67)</f>
        <v/>
      </c>
      <c r="T67" s="18" t="str">
        <f t="shared" ref="T67:T102" si="48">IF(L67="","",L67)</f>
        <v/>
      </c>
      <c r="U67" s="18" t="str">
        <f t="shared" ref="U67:U102" si="49">IF(N67="","",N67)</f>
        <v/>
      </c>
      <c r="V67" s="19" t="str">
        <f>IF(A67="","",FV(INPUTS!$C$10,INPUTS!$C$7-INPUTS!$C$6-A67+IF(INPUTS!$C$12="Beginning",1,0),0,-D67,0))</f>
        <v/>
      </c>
      <c r="W67" s="7"/>
      <c r="X67" s="7"/>
      <c r="Y67" s="21" t="str">
        <f>IF(A67="","",IF(INPUTS!$C$17="Yes",MIN(Y66*(1+INPUTS!$C$15)+IF(INPUTS!$C$27="Yes",(Z67-Z66)*INPUTS!$C$31+IF(AND(INPUTS!$C$28="Not yet credentialed",A67=INPUTS!$C$33),INPUTS!$C$32,0)+IF(AND(INPUTS!$C$28&lt;&gt;"FSA / FCAS",A67=INPUTS!$C$35),INPUTS!$C$34,0),0),INPUTS!$C$18),Y66*(1+INPUTS!$C$15)+IF(INPUTS!$C$27="Yes",(Z67-Z66)*INPUTS!$C$31+IF(AND(INPUTS!$C$28="Not yet credentialed",A67=INPUTS!$C$33),INPUTS!$C$32,0)+IF(AND(INPUTS!$C$28&lt;&gt;"FSA / FCAS",A67=INPUTS!$C$35),INPUTS!$C$34,0),0)))</f>
        <v/>
      </c>
      <c r="Z67" s="22" t="str">
        <f>IF(A67="","",IF(AND(INPUTS!$C$27="Yes",INPUTS!$C$28&lt;&gt;"FSA / FCAS",ISNUMBER(INPUTS!$C$37)),MIN(A67*INPUTS!$C$37,INPUTS!$C$30),0))</f>
        <v/>
      </c>
      <c r="AA67" s="21" t="str">
        <f t="shared" si="40"/>
        <v/>
      </c>
      <c r="AB67" s="21" t="str">
        <f t="shared" si="41"/>
        <v/>
      </c>
      <c r="AC67" s="21" t="str">
        <f>IF(A67="","",MIN(AB67,AP67)*'CONSTANTS &amp; REFERENCES'!$A$5+MAX(MIN(AB67,AR67)-AP67,0)*'CONSTANTS &amp; REFERENCES'!$A$6+MAX(MIN(AB67,AT67)-AR67,0)*'CONSTANTS &amp; REFERENCES'!$A$7+MAX(MIN(AB67,AV67)-AT67,0)*'CONSTANTS &amp; REFERENCES'!$A$8+MAX(MIN(AB67,AX67)-AV67,0)*'CONSTANTS &amp; REFERENCES'!$A$9+MAX(MIN(AB67,AZ67)-AX67,0)*'CONSTANTS &amp; REFERENCES'!$A$10+MAX(AB67-AZ67,0)*'CONSTANTS &amp; REFERENCES'!$A$11)</f>
        <v/>
      </c>
      <c r="AD67" s="21" t="str">
        <f>IF(AB67="","",IF(INPUTS!$C$20="Yes",AB67*INPUTS!$C$21,0))</f>
        <v/>
      </c>
      <c r="AE67" s="21" t="str">
        <f>IF(Y67="","",MIN(Y67,BC67)*'CONSTANTS &amp; REFERENCES'!$B$22)</f>
        <v/>
      </c>
      <c r="AF67" s="21" t="str">
        <f>IF(Y67="","",Y67*'CONSTANTS &amp; REFERENCES'!$B$24+MAX(0,Y67-IF(AK67="Married Filing Jointly",'CONSTANTS &amp; REFERENCES'!$C$26,IF(AK67="Married Filing Separately",'CONSTANTS &amp; REFERENCES'!$C$27,IF(AK67="Head of Household",'CONSTANTS &amp; REFERENCES'!$C$28,'CONSTANTS &amp; REFERENCES'!$C$25))))*'CONSTANTS &amp; REFERENCES'!$B$25)</f>
        <v/>
      </c>
      <c r="AG67" s="21" t="str">
        <f t="shared" ref="AG67:AG102" si="50">IF(Y67="","",AE67+AF67)</f>
        <v/>
      </c>
      <c r="AH67" s="21" t="str">
        <f t="shared" ref="AH67:AH102" si="51">IF(OR(AC67="",AG67=""),"",AC67+AD67+AG67)</f>
        <v/>
      </c>
      <c r="AI67" s="21" t="str">
        <f t="shared" ref="AI67:AI102" si="52">IF(AH67="","",Y67-AH67)</f>
        <v/>
      </c>
      <c r="AJ67" s="21" t="str">
        <f t="shared" ref="AJ67:AJ102" si="53">IF(AI67="","",Y67-AH67-AI67)</f>
        <v/>
      </c>
      <c r="AK67" s="7" t="str">
        <f>IF(A67="","",IF(AND(INPUTS!$C$43="Yes",A67&gt;=INPUTS!$C$45),INPUTS!$C$44,INPUTS!$C$19))</f>
        <v/>
      </c>
      <c r="AL67" s="23" t="str">
        <f t="shared" si="42"/>
        <v/>
      </c>
      <c r="AM67" s="24" t="str">
        <f>IF(A67="","",(IF(OR(AK67="Single",AK67="Married Filing Separately"),'CONSTANTS &amp; REFERENCES'!$B$13,IF(AK67="Married Filing Jointly",'CONSTANTS &amp; REFERENCES'!$G$13,IF(AK67="Head of Household",'CONSTANTS &amp; REFERENCES'!$L$13,""))))*AL67)</f>
        <v/>
      </c>
      <c r="AN67" s="21" t="str">
        <f>IF(AM67="","",IF(A67=0,IF(OR(AK67="Single",AK67="Married Filing Separately"),'CONSTANTS &amp; REFERENCES'!$B$13,IF(AK67="Married Filing Jointly",'CONSTANTS &amp; REFERENCES'!$G$13,IF(AK67="Head of Household",'CONSTANTS &amp; REFERENCES'!$L$13,""))),_xlfn.FLOOR.MATH(AM67,IF(AK67="Married Filing Separately",Bracket_Round_MFS,Bracket_Round_Standard))))</f>
        <v/>
      </c>
      <c r="AO67" s="24" t="str">
        <f>IF(A67="","",(IF(OR(AK67="Single",AK67="Married Filing Separately"),'CONSTANTS &amp; REFERENCES'!$C$5,IF(AK67="Married Filing Jointly",'CONSTANTS &amp; REFERENCES'!$H$5,IF(AK67="Head of Household",'CONSTANTS &amp; REFERENCES'!$M$5,""))))*AL67)</f>
        <v/>
      </c>
      <c r="AP67" s="21" t="str">
        <f>IF(AO67="","",IF(A67=0,IF(OR(AK67="Single",AK67="Married Filing Separately"),'CONSTANTS &amp; REFERENCES'!$C$5,IF(AK67="Married Filing Jointly",'CONSTANTS &amp; REFERENCES'!$H$5,IF(AK67="Head of Household",'CONSTANTS &amp; REFERENCES'!$M$5,""))),_xlfn.FLOOR.MATH(AO67,IF(AK67="Married Filing Separately",Bracket_Round_MFS,Bracket_Round_Standard))))</f>
        <v/>
      </c>
      <c r="AQ67" s="24" t="str">
        <f>IF(A67="","",(IF(OR(AK67="Single",AK67="Married Filing Separately"),'CONSTANTS &amp; REFERENCES'!$C$6,IF(AK67="Married Filing Jointly",'CONSTANTS &amp; REFERENCES'!$H$6,IF(AK67="Head of Household",'CONSTANTS &amp; REFERENCES'!$M$6,""))))*AL67)</f>
        <v/>
      </c>
      <c r="AR67" s="21" t="str">
        <f>IF(AQ67="","",IF(A67=0,IF(OR(AK67="Single",AK67="Married Filing Separately"),'CONSTANTS &amp; REFERENCES'!$C$6,IF(AK67="Married Filing Jointly",'CONSTANTS &amp; REFERENCES'!$H$6,IF(AK67="Head of Household",'CONSTANTS &amp; REFERENCES'!$M$6,""))),_xlfn.FLOOR.MATH(AQ67,IF(AK67="Married Filing Separately",Bracket_Round_MFS,Bracket_Round_Standard))))</f>
        <v/>
      </c>
      <c r="AS67" s="24" t="str">
        <f>IF(A67="","",(IF(OR(AK67="Single",AK67="Married Filing Separately"),'CONSTANTS &amp; REFERENCES'!$C$7,IF(AK67="Married Filing Jointly",'CONSTANTS &amp; REFERENCES'!$H$7,IF(AK67="Head of Household",'CONSTANTS &amp; REFERENCES'!$M$7,""))))*AL67)</f>
        <v/>
      </c>
      <c r="AT67" s="21" t="str">
        <f>IF(AS67="","",IF(A67=0,IF(OR(AK67="Single",AK67="Married Filing Separately"),'CONSTANTS &amp; REFERENCES'!$C$7,IF(AK67="Married Filing Jointly",'CONSTANTS &amp; REFERENCES'!$H$7,IF(AK67="Head of Household",'CONSTANTS &amp; REFERENCES'!$M$7,""))),_xlfn.FLOOR.MATH(AS67,IF(AK67="Married Filing Separately",Bracket_Round_MFS,Bracket_Round_Standard))))</f>
        <v/>
      </c>
      <c r="AU67" s="24" t="str">
        <f>IF(A67="","",(IF(OR(AK67="Single",AK67="Married Filing Separately"),'CONSTANTS &amp; REFERENCES'!$C$8,IF(AK67="Married Filing Jointly",'CONSTANTS &amp; REFERENCES'!$H$8,IF(AK67="Head of Household",'CONSTANTS &amp; REFERENCES'!$M$8,""))))*AL67)</f>
        <v/>
      </c>
      <c r="AV67" s="21" t="str">
        <f>IF(AU67="","",IF(A67=0,IF(OR(AK67="Single",AK67="Married Filing Separately"),'CONSTANTS &amp; REFERENCES'!$C$8,IF(AK67="Married Filing Jointly",'CONSTANTS &amp; REFERENCES'!$H$8,IF(AK67="Head of Household",'CONSTANTS &amp; REFERENCES'!$M$8,""))),_xlfn.FLOOR.MATH(AU67,IF(AK67="Married Filing Separately",Bracket_Round_MFS,Bracket_Round_Standard))))</f>
        <v/>
      </c>
      <c r="AW67" s="24" t="str">
        <f>IF(A67="","",(IF(OR(AK67="Single",AK67="Married Filing Separately"),'CONSTANTS &amp; REFERENCES'!$C$9,IF(AK67="Married Filing Jointly",'CONSTANTS &amp; REFERENCES'!$H$9,IF(AK67="Head of Household",'CONSTANTS &amp; REFERENCES'!$M$9,""))))*AL67)</f>
        <v/>
      </c>
      <c r="AX67" s="21" t="str">
        <f>IF(AW67="","",IF(A67=0,IF(OR(AK67="Single",AK67="Married Filing Separately"),'CONSTANTS &amp; REFERENCES'!$C$9,IF(AK67="Married Filing Jointly",'CONSTANTS &amp; REFERENCES'!$H$9,IF(AK67="Head of Household",'CONSTANTS &amp; REFERENCES'!$M$9,""))),_xlfn.FLOOR.MATH(AW67,IF(AK67="Married Filing Separately",Bracket_Round_MFS,Bracket_Round_Standard))))</f>
        <v/>
      </c>
      <c r="AY67" s="24" t="str">
        <f>IF(A67="","",(IF(OR(AK67="Single",AK67="Married Filing Separately"),'CONSTANTS &amp; REFERENCES'!$C$10,IF(AK67="Married Filing Jointly",'CONSTANTS &amp; REFERENCES'!$H$10,IF(AK67="Head of Household",'CONSTANTS &amp; REFERENCES'!$M$10,""))))*AL67)</f>
        <v/>
      </c>
      <c r="AZ67" s="21" t="str">
        <f>IF(AY67="","",IF(A67=0,IF(OR(AK67="Single",AK67="Married Filing Separately"),'CONSTANTS &amp; REFERENCES'!$C$10,IF(AK67="Married Filing Jointly",'CONSTANTS &amp; REFERENCES'!$H$10,IF(AK67="Head of Household",'CONSTANTS &amp; REFERENCES'!$M$10,""))),_xlfn.FLOOR.MATH(AY67,IF(AK67="Married Filing Separately",Bracket_Round_MFS,Bracket_Round_Standard))))</f>
        <v/>
      </c>
      <c r="BA67" s="7" t="str">
        <f t="shared" si="43"/>
        <v/>
      </c>
      <c r="BB67" s="7" t="str">
        <f>IF(A67="","",'CONSTANTS &amp; REFERENCES'!$C$22*AL67)</f>
        <v/>
      </c>
      <c r="BC67" s="21" t="str">
        <f t="shared" ref="BC67:BC102" si="54">IF(BB67="","",_xlfn.FLOOR.MATH(BB67,100))</f>
        <v/>
      </c>
    </row>
    <row r="68" spans="1:55" ht="18" customHeight="1" x14ac:dyDescent="0.3">
      <c r="A68" s="10" t="str">
        <f>IF(A67&lt;INPUTS!$C$7-INPUTS!$C$6,A67+1,"")</f>
        <v/>
      </c>
      <c r="B68" s="10" t="str">
        <f>IF(A68="","",INPUTS!$C$6+A68)</f>
        <v/>
      </c>
      <c r="C68" s="11" t="str">
        <f t="shared" si="44"/>
        <v/>
      </c>
      <c r="D68" s="11" t="str">
        <f>IF(A68="","",IF(A68&lt;INPUTS!$C$13,0,J68))</f>
        <v/>
      </c>
      <c r="E68" s="12" t="str">
        <f>IF(A68="","",IF(D68=0,"—",IF(Y68&lt;IF(AK68="Married Filing Jointly",'CONSTANTS &amp; REFERENCES'!$B$44,IF(AK68="Married Filing Separately",'CONSTANTS &amp; REFERENCES'!$B$45,'CONSTANTS &amp; REFERENCES'!$B$43)),"Direct","Backdoor")))</f>
        <v/>
      </c>
      <c r="F68" s="13" t="str">
        <f t="shared" si="35"/>
        <v/>
      </c>
      <c r="G68" s="14" t="str">
        <f t="shared" si="36"/>
        <v/>
      </c>
      <c r="H68" s="13" t="str">
        <f t="shared" si="37"/>
        <v/>
      </c>
      <c r="I68" s="14" t="str">
        <f t="shared" si="38"/>
        <v/>
      </c>
      <c r="J68" s="14" t="str">
        <f t="shared" si="39"/>
        <v/>
      </c>
      <c r="K68" s="11" t="str">
        <f>IF(A68="","",IF(INPUTS!$C$12="Beginning",(C68+D68)*INPUTS!$C$10,C68*INPUTS!$C$10))</f>
        <v/>
      </c>
      <c r="L68" s="11" t="str">
        <f>IF(A68="","",IF(INPUTS!$C$12="Beginning",(C68+D68)*(1+INPUTS!$C$10),C68*(1+INPUTS!$C$10)+D68))</f>
        <v/>
      </c>
      <c r="M68" s="15" t="str">
        <f>IF(A68="","",(1+INPUTS!$C$11)^A68)</f>
        <v/>
      </c>
      <c r="N68" s="11" t="str">
        <f t="shared" si="45"/>
        <v/>
      </c>
      <c r="O68" s="11" t="str">
        <f t="shared" si="46"/>
        <v/>
      </c>
      <c r="P68" s="11" t="str">
        <f>IF(A68="","",L68-INPUTS!$C$8-O68)</f>
        <v/>
      </c>
      <c r="Q68" s="16"/>
      <c r="R68" s="16"/>
      <c r="S68" s="16" t="str">
        <f t="shared" si="47"/>
        <v/>
      </c>
      <c r="T68" s="18" t="str">
        <f t="shared" si="48"/>
        <v/>
      </c>
      <c r="U68" s="18" t="str">
        <f t="shared" si="49"/>
        <v/>
      </c>
      <c r="V68" s="19" t="str">
        <f>IF(A68="","",FV(INPUTS!$C$10,INPUTS!$C$7-INPUTS!$C$6-A68+IF(INPUTS!$C$12="Beginning",1,0),0,-D68,0))</f>
        <v/>
      </c>
      <c r="W68" s="7"/>
      <c r="X68" s="7"/>
      <c r="Y68" s="21" t="str">
        <f>IF(A68="","",IF(INPUTS!$C$17="Yes",MIN(Y67*(1+INPUTS!$C$15)+IF(INPUTS!$C$27="Yes",(Z68-Z67)*INPUTS!$C$31+IF(AND(INPUTS!$C$28="Not yet credentialed",A68=INPUTS!$C$33),INPUTS!$C$32,0)+IF(AND(INPUTS!$C$28&lt;&gt;"FSA / FCAS",A68=INPUTS!$C$35),INPUTS!$C$34,0),0),INPUTS!$C$18),Y67*(1+INPUTS!$C$15)+IF(INPUTS!$C$27="Yes",(Z68-Z67)*INPUTS!$C$31+IF(AND(INPUTS!$C$28="Not yet credentialed",A68=INPUTS!$C$33),INPUTS!$C$32,0)+IF(AND(INPUTS!$C$28&lt;&gt;"FSA / FCAS",A68=INPUTS!$C$35),INPUTS!$C$34,0),0)))</f>
        <v/>
      </c>
      <c r="Z68" s="22" t="str">
        <f>IF(A68="","",IF(AND(INPUTS!$C$27="Yes",INPUTS!$C$28&lt;&gt;"FSA / FCAS",ISNUMBER(INPUTS!$C$37)),MIN(A68*INPUTS!$C$37,INPUTS!$C$30),0))</f>
        <v/>
      </c>
      <c r="AA68" s="21" t="str">
        <f t="shared" si="40"/>
        <v/>
      </c>
      <c r="AB68" s="21" t="str">
        <f t="shared" si="41"/>
        <v/>
      </c>
      <c r="AC68" s="21" t="str">
        <f>IF(A68="","",MIN(AB68,AP68)*'CONSTANTS &amp; REFERENCES'!$A$5+MAX(MIN(AB68,AR68)-AP68,0)*'CONSTANTS &amp; REFERENCES'!$A$6+MAX(MIN(AB68,AT68)-AR68,0)*'CONSTANTS &amp; REFERENCES'!$A$7+MAX(MIN(AB68,AV68)-AT68,0)*'CONSTANTS &amp; REFERENCES'!$A$8+MAX(MIN(AB68,AX68)-AV68,0)*'CONSTANTS &amp; REFERENCES'!$A$9+MAX(MIN(AB68,AZ68)-AX68,0)*'CONSTANTS &amp; REFERENCES'!$A$10+MAX(AB68-AZ68,0)*'CONSTANTS &amp; REFERENCES'!$A$11)</f>
        <v/>
      </c>
      <c r="AD68" s="21" t="str">
        <f>IF(AB68="","",IF(INPUTS!$C$20="Yes",AB68*INPUTS!$C$21,0))</f>
        <v/>
      </c>
      <c r="AE68" s="21" t="str">
        <f>IF(Y68="","",MIN(Y68,BC68)*'CONSTANTS &amp; REFERENCES'!$B$22)</f>
        <v/>
      </c>
      <c r="AF68" s="21" t="str">
        <f>IF(Y68="","",Y68*'CONSTANTS &amp; REFERENCES'!$B$24+MAX(0,Y68-IF(AK68="Married Filing Jointly",'CONSTANTS &amp; REFERENCES'!$C$26,IF(AK68="Married Filing Separately",'CONSTANTS &amp; REFERENCES'!$C$27,IF(AK68="Head of Household",'CONSTANTS &amp; REFERENCES'!$C$28,'CONSTANTS &amp; REFERENCES'!$C$25))))*'CONSTANTS &amp; REFERENCES'!$B$25)</f>
        <v/>
      </c>
      <c r="AG68" s="21" t="str">
        <f t="shared" si="50"/>
        <v/>
      </c>
      <c r="AH68" s="21" t="str">
        <f t="shared" si="51"/>
        <v/>
      </c>
      <c r="AI68" s="21" t="str">
        <f t="shared" si="52"/>
        <v/>
      </c>
      <c r="AJ68" s="21" t="str">
        <f t="shared" si="53"/>
        <v/>
      </c>
      <c r="AK68" s="7" t="str">
        <f>IF(A68="","",IF(AND(INPUTS!$C$43="Yes",A68&gt;=INPUTS!$C$45),INPUTS!$C$44,INPUTS!$C$19))</f>
        <v/>
      </c>
      <c r="AL68" s="23" t="str">
        <f t="shared" si="42"/>
        <v/>
      </c>
      <c r="AM68" s="24" t="str">
        <f>IF(A68="","",(IF(OR(AK68="Single",AK68="Married Filing Separately"),'CONSTANTS &amp; REFERENCES'!$B$13,IF(AK68="Married Filing Jointly",'CONSTANTS &amp; REFERENCES'!$G$13,IF(AK68="Head of Household",'CONSTANTS &amp; REFERENCES'!$L$13,""))))*AL68)</f>
        <v/>
      </c>
      <c r="AN68" s="21" t="str">
        <f>IF(AM68="","",IF(A68=0,IF(OR(AK68="Single",AK68="Married Filing Separately"),'CONSTANTS &amp; REFERENCES'!$B$13,IF(AK68="Married Filing Jointly",'CONSTANTS &amp; REFERENCES'!$G$13,IF(AK68="Head of Household",'CONSTANTS &amp; REFERENCES'!$L$13,""))),_xlfn.FLOOR.MATH(AM68,IF(AK68="Married Filing Separately",Bracket_Round_MFS,Bracket_Round_Standard))))</f>
        <v/>
      </c>
      <c r="AO68" s="24" t="str">
        <f>IF(A68="","",(IF(OR(AK68="Single",AK68="Married Filing Separately"),'CONSTANTS &amp; REFERENCES'!$C$5,IF(AK68="Married Filing Jointly",'CONSTANTS &amp; REFERENCES'!$H$5,IF(AK68="Head of Household",'CONSTANTS &amp; REFERENCES'!$M$5,""))))*AL68)</f>
        <v/>
      </c>
      <c r="AP68" s="21" t="str">
        <f>IF(AO68="","",IF(A68=0,IF(OR(AK68="Single",AK68="Married Filing Separately"),'CONSTANTS &amp; REFERENCES'!$C$5,IF(AK68="Married Filing Jointly",'CONSTANTS &amp; REFERENCES'!$H$5,IF(AK68="Head of Household",'CONSTANTS &amp; REFERENCES'!$M$5,""))),_xlfn.FLOOR.MATH(AO68,IF(AK68="Married Filing Separately",Bracket_Round_MFS,Bracket_Round_Standard))))</f>
        <v/>
      </c>
      <c r="AQ68" s="24" t="str">
        <f>IF(A68="","",(IF(OR(AK68="Single",AK68="Married Filing Separately"),'CONSTANTS &amp; REFERENCES'!$C$6,IF(AK68="Married Filing Jointly",'CONSTANTS &amp; REFERENCES'!$H$6,IF(AK68="Head of Household",'CONSTANTS &amp; REFERENCES'!$M$6,""))))*AL68)</f>
        <v/>
      </c>
      <c r="AR68" s="21" t="str">
        <f>IF(AQ68="","",IF(A68=0,IF(OR(AK68="Single",AK68="Married Filing Separately"),'CONSTANTS &amp; REFERENCES'!$C$6,IF(AK68="Married Filing Jointly",'CONSTANTS &amp; REFERENCES'!$H$6,IF(AK68="Head of Household",'CONSTANTS &amp; REFERENCES'!$M$6,""))),_xlfn.FLOOR.MATH(AQ68,IF(AK68="Married Filing Separately",Bracket_Round_MFS,Bracket_Round_Standard))))</f>
        <v/>
      </c>
      <c r="AS68" s="24" t="str">
        <f>IF(A68="","",(IF(OR(AK68="Single",AK68="Married Filing Separately"),'CONSTANTS &amp; REFERENCES'!$C$7,IF(AK68="Married Filing Jointly",'CONSTANTS &amp; REFERENCES'!$H$7,IF(AK68="Head of Household",'CONSTANTS &amp; REFERENCES'!$M$7,""))))*AL68)</f>
        <v/>
      </c>
      <c r="AT68" s="21" t="str">
        <f>IF(AS68="","",IF(A68=0,IF(OR(AK68="Single",AK68="Married Filing Separately"),'CONSTANTS &amp; REFERENCES'!$C$7,IF(AK68="Married Filing Jointly",'CONSTANTS &amp; REFERENCES'!$H$7,IF(AK68="Head of Household",'CONSTANTS &amp; REFERENCES'!$M$7,""))),_xlfn.FLOOR.MATH(AS68,IF(AK68="Married Filing Separately",Bracket_Round_MFS,Bracket_Round_Standard))))</f>
        <v/>
      </c>
      <c r="AU68" s="24" t="str">
        <f>IF(A68="","",(IF(OR(AK68="Single",AK68="Married Filing Separately"),'CONSTANTS &amp; REFERENCES'!$C$8,IF(AK68="Married Filing Jointly",'CONSTANTS &amp; REFERENCES'!$H$8,IF(AK68="Head of Household",'CONSTANTS &amp; REFERENCES'!$M$8,""))))*AL68)</f>
        <v/>
      </c>
      <c r="AV68" s="21" t="str">
        <f>IF(AU68="","",IF(A68=0,IF(OR(AK68="Single",AK68="Married Filing Separately"),'CONSTANTS &amp; REFERENCES'!$C$8,IF(AK68="Married Filing Jointly",'CONSTANTS &amp; REFERENCES'!$H$8,IF(AK68="Head of Household",'CONSTANTS &amp; REFERENCES'!$M$8,""))),_xlfn.FLOOR.MATH(AU68,IF(AK68="Married Filing Separately",Bracket_Round_MFS,Bracket_Round_Standard))))</f>
        <v/>
      </c>
      <c r="AW68" s="24" t="str">
        <f>IF(A68="","",(IF(OR(AK68="Single",AK68="Married Filing Separately"),'CONSTANTS &amp; REFERENCES'!$C$9,IF(AK68="Married Filing Jointly",'CONSTANTS &amp; REFERENCES'!$H$9,IF(AK68="Head of Household",'CONSTANTS &amp; REFERENCES'!$M$9,""))))*AL68)</f>
        <v/>
      </c>
      <c r="AX68" s="21" t="str">
        <f>IF(AW68="","",IF(A68=0,IF(OR(AK68="Single",AK68="Married Filing Separately"),'CONSTANTS &amp; REFERENCES'!$C$9,IF(AK68="Married Filing Jointly",'CONSTANTS &amp; REFERENCES'!$H$9,IF(AK68="Head of Household",'CONSTANTS &amp; REFERENCES'!$M$9,""))),_xlfn.FLOOR.MATH(AW68,IF(AK68="Married Filing Separately",Bracket_Round_MFS,Bracket_Round_Standard))))</f>
        <v/>
      </c>
      <c r="AY68" s="24" t="str">
        <f>IF(A68="","",(IF(OR(AK68="Single",AK68="Married Filing Separately"),'CONSTANTS &amp; REFERENCES'!$C$10,IF(AK68="Married Filing Jointly",'CONSTANTS &amp; REFERENCES'!$H$10,IF(AK68="Head of Household",'CONSTANTS &amp; REFERENCES'!$M$10,""))))*AL68)</f>
        <v/>
      </c>
      <c r="AZ68" s="21" t="str">
        <f>IF(AY68="","",IF(A68=0,IF(OR(AK68="Single",AK68="Married Filing Separately"),'CONSTANTS &amp; REFERENCES'!$C$10,IF(AK68="Married Filing Jointly",'CONSTANTS &amp; REFERENCES'!$H$10,IF(AK68="Head of Household",'CONSTANTS &amp; REFERENCES'!$M$10,""))),_xlfn.FLOOR.MATH(AY68,IF(AK68="Married Filing Separately",Bracket_Round_MFS,Bracket_Round_Standard))))</f>
        <v/>
      </c>
      <c r="BA68" s="7" t="str">
        <f t="shared" si="43"/>
        <v/>
      </c>
      <c r="BB68" s="7" t="str">
        <f>IF(A68="","",'CONSTANTS &amp; REFERENCES'!$C$22*AL68)</f>
        <v/>
      </c>
      <c r="BC68" s="21" t="str">
        <f t="shared" si="54"/>
        <v/>
      </c>
    </row>
    <row r="69" spans="1:55" ht="18" customHeight="1" x14ac:dyDescent="0.3">
      <c r="A69" s="10" t="str">
        <f>IF(A68&lt;INPUTS!$C$7-INPUTS!$C$6,A68+1,"")</f>
        <v/>
      </c>
      <c r="B69" s="10" t="str">
        <f>IF(A69="","",INPUTS!$C$6+A69)</f>
        <v/>
      </c>
      <c r="C69" s="11" t="str">
        <f t="shared" si="44"/>
        <v/>
      </c>
      <c r="D69" s="11" t="str">
        <f>IF(A69="","",IF(A69&lt;INPUTS!$C$13,0,J69))</f>
        <v/>
      </c>
      <c r="E69" s="12" t="str">
        <f>IF(A69="","",IF(D69=0,"—",IF(Y69&lt;IF(AK69="Married Filing Jointly",'CONSTANTS &amp; REFERENCES'!$B$44,IF(AK69="Married Filing Separately",'CONSTANTS &amp; REFERENCES'!$B$45,'CONSTANTS &amp; REFERENCES'!$B$43)),"Direct","Backdoor")))</f>
        <v/>
      </c>
      <c r="F69" s="13" t="str">
        <f t="shared" si="35"/>
        <v/>
      </c>
      <c r="G69" s="14" t="str">
        <f t="shared" si="36"/>
        <v/>
      </c>
      <c r="H69" s="13" t="str">
        <f t="shared" si="37"/>
        <v/>
      </c>
      <c r="I69" s="14" t="str">
        <f t="shared" si="38"/>
        <v/>
      </c>
      <c r="J69" s="14" t="str">
        <f t="shared" si="39"/>
        <v/>
      </c>
      <c r="K69" s="11" t="str">
        <f>IF(A69="","",IF(INPUTS!$C$12="Beginning",(C69+D69)*INPUTS!$C$10,C69*INPUTS!$C$10))</f>
        <v/>
      </c>
      <c r="L69" s="11" t="str">
        <f>IF(A69="","",IF(INPUTS!$C$12="Beginning",(C69+D69)*(1+INPUTS!$C$10),C69*(1+INPUTS!$C$10)+D69))</f>
        <v/>
      </c>
      <c r="M69" s="15" t="str">
        <f>IF(A69="","",(1+INPUTS!$C$11)^A69)</f>
        <v/>
      </c>
      <c r="N69" s="11" t="str">
        <f t="shared" si="45"/>
        <v/>
      </c>
      <c r="O69" s="11" t="str">
        <f t="shared" si="46"/>
        <v/>
      </c>
      <c r="P69" s="11" t="str">
        <f>IF(A69="","",L69-INPUTS!$C$8-O69)</f>
        <v/>
      </c>
      <c r="Q69" s="16"/>
      <c r="R69" s="16"/>
      <c r="S69" s="16" t="str">
        <f t="shared" si="47"/>
        <v/>
      </c>
      <c r="T69" s="18" t="str">
        <f t="shared" si="48"/>
        <v/>
      </c>
      <c r="U69" s="18" t="str">
        <f t="shared" si="49"/>
        <v/>
      </c>
      <c r="V69" s="19" t="str">
        <f>IF(A69="","",FV(INPUTS!$C$10,INPUTS!$C$7-INPUTS!$C$6-A69+IF(INPUTS!$C$12="Beginning",1,0),0,-D69,0))</f>
        <v/>
      </c>
      <c r="W69" s="7"/>
      <c r="X69" s="7"/>
      <c r="Y69" s="21" t="str">
        <f>IF(A69="","",IF(INPUTS!$C$17="Yes",MIN(Y68*(1+INPUTS!$C$15)+IF(INPUTS!$C$27="Yes",(Z69-Z68)*INPUTS!$C$31+IF(AND(INPUTS!$C$28="Not yet credentialed",A69=INPUTS!$C$33),INPUTS!$C$32,0)+IF(AND(INPUTS!$C$28&lt;&gt;"FSA / FCAS",A69=INPUTS!$C$35),INPUTS!$C$34,0),0),INPUTS!$C$18),Y68*(1+INPUTS!$C$15)+IF(INPUTS!$C$27="Yes",(Z69-Z68)*INPUTS!$C$31+IF(AND(INPUTS!$C$28="Not yet credentialed",A69=INPUTS!$C$33),INPUTS!$C$32,0)+IF(AND(INPUTS!$C$28&lt;&gt;"FSA / FCAS",A69=INPUTS!$C$35),INPUTS!$C$34,0),0)))</f>
        <v/>
      </c>
      <c r="Z69" s="22" t="str">
        <f>IF(A69="","",IF(AND(INPUTS!$C$27="Yes",INPUTS!$C$28&lt;&gt;"FSA / FCAS",ISNUMBER(INPUTS!$C$37)),MIN(A69*INPUTS!$C$37,INPUTS!$C$30),0))</f>
        <v/>
      </c>
      <c r="AA69" s="21" t="str">
        <f t="shared" si="40"/>
        <v/>
      </c>
      <c r="AB69" s="21" t="str">
        <f t="shared" si="41"/>
        <v/>
      </c>
      <c r="AC69" s="21" t="str">
        <f>IF(A69="","",MIN(AB69,AP69)*'CONSTANTS &amp; REFERENCES'!$A$5+MAX(MIN(AB69,AR69)-AP69,0)*'CONSTANTS &amp; REFERENCES'!$A$6+MAX(MIN(AB69,AT69)-AR69,0)*'CONSTANTS &amp; REFERENCES'!$A$7+MAX(MIN(AB69,AV69)-AT69,0)*'CONSTANTS &amp; REFERENCES'!$A$8+MAX(MIN(AB69,AX69)-AV69,0)*'CONSTANTS &amp; REFERENCES'!$A$9+MAX(MIN(AB69,AZ69)-AX69,0)*'CONSTANTS &amp; REFERENCES'!$A$10+MAX(AB69-AZ69,0)*'CONSTANTS &amp; REFERENCES'!$A$11)</f>
        <v/>
      </c>
      <c r="AD69" s="21" t="str">
        <f>IF(AB69="","",IF(INPUTS!$C$20="Yes",AB69*INPUTS!$C$21,0))</f>
        <v/>
      </c>
      <c r="AE69" s="21" t="str">
        <f>IF(Y69="","",MIN(Y69,BC69)*'CONSTANTS &amp; REFERENCES'!$B$22)</f>
        <v/>
      </c>
      <c r="AF69" s="21" t="str">
        <f>IF(Y69="","",Y69*'CONSTANTS &amp; REFERENCES'!$B$24+MAX(0,Y69-IF(AK69="Married Filing Jointly",'CONSTANTS &amp; REFERENCES'!$C$26,IF(AK69="Married Filing Separately",'CONSTANTS &amp; REFERENCES'!$C$27,IF(AK69="Head of Household",'CONSTANTS &amp; REFERENCES'!$C$28,'CONSTANTS &amp; REFERENCES'!$C$25))))*'CONSTANTS &amp; REFERENCES'!$B$25)</f>
        <v/>
      </c>
      <c r="AG69" s="21" t="str">
        <f t="shared" si="50"/>
        <v/>
      </c>
      <c r="AH69" s="21" t="str">
        <f t="shared" si="51"/>
        <v/>
      </c>
      <c r="AI69" s="21" t="str">
        <f t="shared" si="52"/>
        <v/>
      </c>
      <c r="AJ69" s="21" t="str">
        <f t="shared" si="53"/>
        <v/>
      </c>
      <c r="AK69" s="7" t="str">
        <f>IF(A69="","",IF(AND(INPUTS!$C$43="Yes",A69&gt;=INPUTS!$C$45),INPUTS!$C$44,INPUTS!$C$19))</f>
        <v/>
      </c>
      <c r="AL69" s="23" t="str">
        <f t="shared" si="42"/>
        <v/>
      </c>
      <c r="AM69" s="24" t="str">
        <f>IF(A69="","",(IF(OR(AK69="Single",AK69="Married Filing Separately"),'CONSTANTS &amp; REFERENCES'!$B$13,IF(AK69="Married Filing Jointly",'CONSTANTS &amp; REFERENCES'!$G$13,IF(AK69="Head of Household",'CONSTANTS &amp; REFERENCES'!$L$13,""))))*AL69)</f>
        <v/>
      </c>
      <c r="AN69" s="21" t="str">
        <f>IF(AM69="","",IF(A69=0,IF(OR(AK69="Single",AK69="Married Filing Separately"),'CONSTANTS &amp; REFERENCES'!$B$13,IF(AK69="Married Filing Jointly",'CONSTANTS &amp; REFERENCES'!$G$13,IF(AK69="Head of Household",'CONSTANTS &amp; REFERENCES'!$L$13,""))),_xlfn.FLOOR.MATH(AM69,IF(AK69="Married Filing Separately",Bracket_Round_MFS,Bracket_Round_Standard))))</f>
        <v/>
      </c>
      <c r="AO69" s="24" t="str">
        <f>IF(A69="","",(IF(OR(AK69="Single",AK69="Married Filing Separately"),'CONSTANTS &amp; REFERENCES'!$C$5,IF(AK69="Married Filing Jointly",'CONSTANTS &amp; REFERENCES'!$H$5,IF(AK69="Head of Household",'CONSTANTS &amp; REFERENCES'!$M$5,""))))*AL69)</f>
        <v/>
      </c>
      <c r="AP69" s="21" t="str">
        <f>IF(AO69="","",IF(A69=0,IF(OR(AK69="Single",AK69="Married Filing Separately"),'CONSTANTS &amp; REFERENCES'!$C$5,IF(AK69="Married Filing Jointly",'CONSTANTS &amp; REFERENCES'!$H$5,IF(AK69="Head of Household",'CONSTANTS &amp; REFERENCES'!$M$5,""))),_xlfn.FLOOR.MATH(AO69,IF(AK69="Married Filing Separately",Bracket_Round_MFS,Bracket_Round_Standard))))</f>
        <v/>
      </c>
      <c r="AQ69" s="24" t="str">
        <f>IF(A69="","",(IF(OR(AK69="Single",AK69="Married Filing Separately"),'CONSTANTS &amp; REFERENCES'!$C$6,IF(AK69="Married Filing Jointly",'CONSTANTS &amp; REFERENCES'!$H$6,IF(AK69="Head of Household",'CONSTANTS &amp; REFERENCES'!$M$6,""))))*AL69)</f>
        <v/>
      </c>
      <c r="AR69" s="21" t="str">
        <f>IF(AQ69="","",IF(A69=0,IF(OR(AK69="Single",AK69="Married Filing Separately"),'CONSTANTS &amp; REFERENCES'!$C$6,IF(AK69="Married Filing Jointly",'CONSTANTS &amp; REFERENCES'!$H$6,IF(AK69="Head of Household",'CONSTANTS &amp; REFERENCES'!$M$6,""))),_xlfn.FLOOR.MATH(AQ69,IF(AK69="Married Filing Separately",Bracket_Round_MFS,Bracket_Round_Standard))))</f>
        <v/>
      </c>
      <c r="AS69" s="24" t="str">
        <f>IF(A69="","",(IF(OR(AK69="Single",AK69="Married Filing Separately"),'CONSTANTS &amp; REFERENCES'!$C$7,IF(AK69="Married Filing Jointly",'CONSTANTS &amp; REFERENCES'!$H$7,IF(AK69="Head of Household",'CONSTANTS &amp; REFERENCES'!$M$7,""))))*AL69)</f>
        <v/>
      </c>
      <c r="AT69" s="21" t="str">
        <f>IF(AS69="","",IF(A69=0,IF(OR(AK69="Single",AK69="Married Filing Separately"),'CONSTANTS &amp; REFERENCES'!$C$7,IF(AK69="Married Filing Jointly",'CONSTANTS &amp; REFERENCES'!$H$7,IF(AK69="Head of Household",'CONSTANTS &amp; REFERENCES'!$M$7,""))),_xlfn.FLOOR.MATH(AS69,IF(AK69="Married Filing Separately",Bracket_Round_MFS,Bracket_Round_Standard))))</f>
        <v/>
      </c>
      <c r="AU69" s="24" t="str">
        <f>IF(A69="","",(IF(OR(AK69="Single",AK69="Married Filing Separately"),'CONSTANTS &amp; REFERENCES'!$C$8,IF(AK69="Married Filing Jointly",'CONSTANTS &amp; REFERENCES'!$H$8,IF(AK69="Head of Household",'CONSTANTS &amp; REFERENCES'!$M$8,""))))*AL69)</f>
        <v/>
      </c>
      <c r="AV69" s="21" t="str">
        <f>IF(AU69="","",IF(A69=0,IF(OR(AK69="Single",AK69="Married Filing Separately"),'CONSTANTS &amp; REFERENCES'!$C$8,IF(AK69="Married Filing Jointly",'CONSTANTS &amp; REFERENCES'!$H$8,IF(AK69="Head of Household",'CONSTANTS &amp; REFERENCES'!$M$8,""))),_xlfn.FLOOR.MATH(AU69,IF(AK69="Married Filing Separately",Bracket_Round_MFS,Bracket_Round_Standard))))</f>
        <v/>
      </c>
      <c r="AW69" s="24" t="str">
        <f>IF(A69="","",(IF(OR(AK69="Single",AK69="Married Filing Separately"),'CONSTANTS &amp; REFERENCES'!$C$9,IF(AK69="Married Filing Jointly",'CONSTANTS &amp; REFERENCES'!$H$9,IF(AK69="Head of Household",'CONSTANTS &amp; REFERENCES'!$M$9,""))))*AL69)</f>
        <v/>
      </c>
      <c r="AX69" s="21" t="str">
        <f>IF(AW69="","",IF(A69=0,IF(OR(AK69="Single",AK69="Married Filing Separately"),'CONSTANTS &amp; REFERENCES'!$C$9,IF(AK69="Married Filing Jointly",'CONSTANTS &amp; REFERENCES'!$H$9,IF(AK69="Head of Household",'CONSTANTS &amp; REFERENCES'!$M$9,""))),_xlfn.FLOOR.MATH(AW69,IF(AK69="Married Filing Separately",Bracket_Round_MFS,Bracket_Round_Standard))))</f>
        <v/>
      </c>
      <c r="AY69" s="24" t="str">
        <f>IF(A69="","",(IF(OR(AK69="Single",AK69="Married Filing Separately"),'CONSTANTS &amp; REFERENCES'!$C$10,IF(AK69="Married Filing Jointly",'CONSTANTS &amp; REFERENCES'!$H$10,IF(AK69="Head of Household",'CONSTANTS &amp; REFERENCES'!$M$10,""))))*AL69)</f>
        <v/>
      </c>
      <c r="AZ69" s="21" t="str">
        <f>IF(AY69="","",IF(A69=0,IF(OR(AK69="Single",AK69="Married Filing Separately"),'CONSTANTS &amp; REFERENCES'!$C$10,IF(AK69="Married Filing Jointly",'CONSTANTS &amp; REFERENCES'!$H$10,IF(AK69="Head of Household",'CONSTANTS &amp; REFERENCES'!$M$10,""))),_xlfn.FLOOR.MATH(AY69,IF(AK69="Married Filing Separately",Bracket_Round_MFS,Bracket_Round_Standard))))</f>
        <v/>
      </c>
      <c r="BA69" s="7" t="str">
        <f t="shared" si="43"/>
        <v/>
      </c>
      <c r="BB69" s="7" t="str">
        <f>IF(A69="","",'CONSTANTS &amp; REFERENCES'!$C$22*AL69)</f>
        <v/>
      </c>
      <c r="BC69" s="21" t="str">
        <f t="shared" si="54"/>
        <v/>
      </c>
    </row>
    <row r="70" spans="1:55" ht="18" customHeight="1" x14ac:dyDescent="0.3">
      <c r="A70" s="10" t="str">
        <f>IF(A69&lt;INPUTS!$C$7-INPUTS!$C$6,A69+1,"")</f>
        <v/>
      </c>
      <c r="B70" s="10" t="str">
        <f>IF(A70="","",INPUTS!$C$6+A70)</f>
        <v/>
      </c>
      <c r="C70" s="11" t="str">
        <f t="shared" si="44"/>
        <v/>
      </c>
      <c r="D70" s="11" t="str">
        <f>IF(A70="","",IF(A70&lt;INPUTS!$C$13,0,J70))</f>
        <v/>
      </c>
      <c r="E70" s="12" t="str">
        <f>IF(A70="","",IF(D70=0,"—",IF(Y70&lt;IF(AK70="Married Filing Jointly",'CONSTANTS &amp; REFERENCES'!$B$44,IF(AK70="Married Filing Separately",'CONSTANTS &amp; REFERENCES'!$B$45,'CONSTANTS &amp; REFERENCES'!$B$43)),"Direct","Backdoor")))</f>
        <v/>
      </c>
      <c r="F70" s="13" t="str">
        <f t="shared" si="35"/>
        <v/>
      </c>
      <c r="G70" s="14" t="str">
        <f t="shared" si="36"/>
        <v/>
      </c>
      <c r="H70" s="13" t="str">
        <f t="shared" si="37"/>
        <v/>
      </c>
      <c r="I70" s="14" t="str">
        <f t="shared" si="38"/>
        <v/>
      </c>
      <c r="J70" s="14" t="str">
        <f t="shared" si="39"/>
        <v/>
      </c>
      <c r="K70" s="11" t="str">
        <f>IF(A70="","",IF(INPUTS!$C$12="Beginning",(C70+D70)*INPUTS!$C$10,C70*INPUTS!$C$10))</f>
        <v/>
      </c>
      <c r="L70" s="11" t="str">
        <f>IF(A70="","",IF(INPUTS!$C$12="Beginning",(C70+D70)*(1+INPUTS!$C$10),C70*(1+INPUTS!$C$10)+D70))</f>
        <v/>
      </c>
      <c r="M70" s="15" t="str">
        <f>IF(A70="","",(1+INPUTS!$C$11)^A70)</f>
        <v/>
      </c>
      <c r="N70" s="11" t="str">
        <f t="shared" si="45"/>
        <v/>
      </c>
      <c r="O70" s="11" t="str">
        <f t="shared" si="46"/>
        <v/>
      </c>
      <c r="P70" s="11" t="str">
        <f>IF(A70="","",L70-INPUTS!$C$8-O70)</f>
        <v/>
      </c>
      <c r="Q70" s="16"/>
      <c r="R70" s="16"/>
      <c r="S70" s="16" t="str">
        <f t="shared" si="47"/>
        <v/>
      </c>
      <c r="T70" s="18" t="str">
        <f t="shared" si="48"/>
        <v/>
      </c>
      <c r="U70" s="18" t="str">
        <f t="shared" si="49"/>
        <v/>
      </c>
      <c r="V70" s="19" t="str">
        <f>IF(A70="","",FV(INPUTS!$C$10,INPUTS!$C$7-INPUTS!$C$6-A70+IF(INPUTS!$C$12="Beginning",1,0),0,-D70,0))</f>
        <v/>
      </c>
      <c r="W70" s="7"/>
      <c r="X70" s="7"/>
      <c r="Y70" s="21" t="str">
        <f>IF(A70="","",IF(INPUTS!$C$17="Yes",MIN(Y69*(1+INPUTS!$C$15)+IF(INPUTS!$C$27="Yes",(Z70-Z69)*INPUTS!$C$31+IF(AND(INPUTS!$C$28="Not yet credentialed",A70=INPUTS!$C$33),INPUTS!$C$32,0)+IF(AND(INPUTS!$C$28&lt;&gt;"FSA / FCAS",A70=INPUTS!$C$35),INPUTS!$C$34,0),0),INPUTS!$C$18),Y69*(1+INPUTS!$C$15)+IF(INPUTS!$C$27="Yes",(Z70-Z69)*INPUTS!$C$31+IF(AND(INPUTS!$C$28="Not yet credentialed",A70=INPUTS!$C$33),INPUTS!$C$32,0)+IF(AND(INPUTS!$C$28&lt;&gt;"FSA / FCAS",A70=INPUTS!$C$35),INPUTS!$C$34,0),0)))</f>
        <v/>
      </c>
      <c r="Z70" s="22" t="str">
        <f>IF(A70="","",IF(AND(INPUTS!$C$27="Yes",INPUTS!$C$28&lt;&gt;"FSA / FCAS",ISNUMBER(INPUTS!$C$37)),MIN(A70*INPUTS!$C$37,INPUTS!$C$30),0))</f>
        <v/>
      </c>
      <c r="AA70" s="21" t="str">
        <f t="shared" si="40"/>
        <v/>
      </c>
      <c r="AB70" s="21" t="str">
        <f t="shared" si="41"/>
        <v/>
      </c>
      <c r="AC70" s="21" t="str">
        <f>IF(A70="","",MIN(AB70,AP70)*'CONSTANTS &amp; REFERENCES'!$A$5+MAX(MIN(AB70,AR70)-AP70,0)*'CONSTANTS &amp; REFERENCES'!$A$6+MAX(MIN(AB70,AT70)-AR70,0)*'CONSTANTS &amp; REFERENCES'!$A$7+MAX(MIN(AB70,AV70)-AT70,0)*'CONSTANTS &amp; REFERENCES'!$A$8+MAX(MIN(AB70,AX70)-AV70,0)*'CONSTANTS &amp; REFERENCES'!$A$9+MAX(MIN(AB70,AZ70)-AX70,0)*'CONSTANTS &amp; REFERENCES'!$A$10+MAX(AB70-AZ70,0)*'CONSTANTS &amp; REFERENCES'!$A$11)</f>
        <v/>
      </c>
      <c r="AD70" s="21" t="str">
        <f>IF(AB70="","",IF(INPUTS!$C$20="Yes",AB70*INPUTS!$C$21,0))</f>
        <v/>
      </c>
      <c r="AE70" s="21" t="str">
        <f>IF(Y70="","",MIN(Y70,BC70)*'CONSTANTS &amp; REFERENCES'!$B$22)</f>
        <v/>
      </c>
      <c r="AF70" s="21" t="str">
        <f>IF(Y70="","",Y70*'CONSTANTS &amp; REFERENCES'!$B$24+MAX(0,Y70-IF(AK70="Married Filing Jointly",'CONSTANTS &amp; REFERENCES'!$C$26,IF(AK70="Married Filing Separately",'CONSTANTS &amp; REFERENCES'!$C$27,IF(AK70="Head of Household",'CONSTANTS &amp; REFERENCES'!$C$28,'CONSTANTS &amp; REFERENCES'!$C$25))))*'CONSTANTS &amp; REFERENCES'!$B$25)</f>
        <v/>
      </c>
      <c r="AG70" s="21" t="str">
        <f t="shared" si="50"/>
        <v/>
      </c>
      <c r="AH70" s="21" t="str">
        <f t="shared" si="51"/>
        <v/>
      </c>
      <c r="AI70" s="21" t="str">
        <f t="shared" si="52"/>
        <v/>
      </c>
      <c r="AJ70" s="21" t="str">
        <f t="shared" si="53"/>
        <v/>
      </c>
      <c r="AK70" s="7" t="str">
        <f>IF(A70="","",IF(AND(INPUTS!$C$43="Yes",A70&gt;=INPUTS!$C$45),INPUTS!$C$44,INPUTS!$C$19))</f>
        <v/>
      </c>
      <c r="AL70" s="23" t="str">
        <f t="shared" si="42"/>
        <v/>
      </c>
      <c r="AM70" s="24" t="str">
        <f>IF(A70="","",(IF(OR(AK70="Single",AK70="Married Filing Separately"),'CONSTANTS &amp; REFERENCES'!$B$13,IF(AK70="Married Filing Jointly",'CONSTANTS &amp; REFERENCES'!$G$13,IF(AK70="Head of Household",'CONSTANTS &amp; REFERENCES'!$L$13,""))))*AL70)</f>
        <v/>
      </c>
      <c r="AN70" s="21" t="str">
        <f>IF(AM70="","",IF(A70=0,IF(OR(AK70="Single",AK70="Married Filing Separately"),'CONSTANTS &amp; REFERENCES'!$B$13,IF(AK70="Married Filing Jointly",'CONSTANTS &amp; REFERENCES'!$G$13,IF(AK70="Head of Household",'CONSTANTS &amp; REFERENCES'!$L$13,""))),_xlfn.FLOOR.MATH(AM70,IF(AK70="Married Filing Separately",Bracket_Round_MFS,Bracket_Round_Standard))))</f>
        <v/>
      </c>
      <c r="AO70" s="24" t="str">
        <f>IF(A70="","",(IF(OR(AK70="Single",AK70="Married Filing Separately"),'CONSTANTS &amp; REFERENCES'!$C$5,IF(AK70="Married Filing Jointly",'CONSTANTS &amp; REFERENCES'!$H$5,IF(AK70="Head of Household",'CONSTANTS &amp; REFERENCES'!$M$5,""))))*AL70)</f>
        <v/>
      </c>
      <c r="AP70" s="21" t="str">
        <f>IF(AO70="","",IF(A70=0,IF(OR(AK70="Single",AK70="Married Filing Separately"),'CONSTANTS &amp; REFERENCES'!$C$5,IF(AK70="Married Filing Jointly",'CONSTANTS &amp; REFERENCES'!$H$5,IF(AK70="Head of Household",'CONSTANTS &amp; REFERENCES'!$M$5,""))),_xlfn.FLOOR.MATH(AO70,IF(AK70="Married Filing Separately",Bracket_Round_MFS,Bracket_Round_Standard))))</f>
        <v/>
      </c>
      <c r="AQ70" s="24" t="str">
        <f>IF(A70="","",(IF(OR(AK70="Single",AK70="Married Filing Separately"),'CONSTANTS &amp; REFERENCES'!$C$6,IF(AK70="Married Filing Jointly",'CONSTANTS &amp; REFERENCES'!$H$6,IF(AK70="Head of Household",'CONSTANTS &amp; REFERENCES'!$M$6,""))))*AL70)</f>
        <v/>
      </c>
      <c r="AR70" s="21" t="str">
        <f>IF(AQ70="","",IF(A70=0,IF(OR(AK70="Single",AK70="Married Filing Separately"),'CONSTANTS &amp; REFERENCES'!$C$6,IF(AK70="Married Filing Jointly",'CONSTANTS &amp; REFERENCES'!$H$6,IF(AK70="Head of Household",'CONSTANTS &amp; REFERENCES'!$M$6,""))),_xlfn.FLOOR.MATH(AQ70,IF(AK70="Married Filing Separately",Bracket_Round_MFS,Bracket_Round_Standard))))</f>
        <v/>
      </c>
      <c r="AS70" s="24" t="str">
        <f>IF(A70="","",(IF(OR(AK70="Single",AK70="Married Filing Separately"),'CONSTANTS &amp; REFERENCES'!$C$7,IF(AK70="Married Filing Jointly",'CONSTANTS &amp; REFERENCES'!$H$7,IF(AK70="Head of Household",'CONSTANTS &amp; REFERENCES'!$M$7,""))))*AL70)</f>
        <v/>
      </c>
      <c r="AT70" s="21" t="str">
        <f>IF(AS70="","",IF(A70=0,IF(OR(AK70="Single",AK70="Married Filing Separately"),'CONSTANTS &amp; REFERENCES'!$C$7,IF(AK70="Married Filing Jointly",'CONSTANTS &amp; REFERENCES'!$H$7,IF(AK70="Head of Household",'CONSTANTS &amp; REFERENCES'!$M$7,""))),_xlfn.FLOOR.MATH(AS70,IF(AK70="Married Filing Separately",Bracket_Round_MFS,Bracket_Round_Standard))))</f>
        <v/>
      </c>
      <c r="AU70" s="24" t="str">
        <f>IF(A70="","",(IF(OR(AK70="Single",AK70="Married Filing Separately"),'CONSTANTS &amp; REFERENCES'!$C$8,IF(AK70="Married Filing Jointly",'CONSTANTS &amp; REFERENCES'!$H$8,IF(AK70="Head of Household",'CONSTANTS &amp; REFERENCES'!$M$8,""))))*AL70)</f>
        <v/>
      </c>
      <c r="AV70" s="21" t="str">
        <f>IF(AU70="","",IF(A70=0,IF(OR(AK70="Single",AK70="Married Filing Separately"),'CONSTANTS &amp; REFERENCES'!$C$8,IF(AK70="Married Filing Jointly",'CONSTANTS &amp; REFERENCES'!$H$8,IF(AK70="Head of Household",'CONSTANTS &amp; REFERENCES'!$M$8,""))),_xlfn.FLOOR.MATH(AU70,IF(AK70="Married Filing Separately",Bracket_Round_MFS,Bracket_Round_Standard))))</f>
        <v/>
      </c>
      <c r="AW70" s="24" t="str">
        <f>IF(A70="","",(IF(OR(AK70="Single",AK70="Married Filing Separately"),'CONSTANTS &amp; REFERENCES'!$C$9,IF(AK70="Married Filing Jointly",'CONSTANTS &amp; REFERENCES'!$H$9,IF(AK70="Head of Household",'CONSTANTS &amp; REFERENCES'!$M$9,""))))*AL70)</f>
        <v/>
      </c>
      <c r="AX70" s="21" t="str">
        <f>IF(AW70="","",IF(A70=0,IF(OR(AK70="Single",AK70="Married Filing Separately"),'CONSTANTS &amp; REFERENCES'!$C$9,IF(AK70="Married Filing Jointly",'CONSTANTS &amp; REFERENCES'!$H$9,IF(AK70="Head of Household",'CONSTANTS &amp; REFERENCES'!$M$9,""))),_xlfn.FLOOR.MATH(AW70,IF(AK70="Married Filing Separately",Bracket_Round_MFS,Bracket_Round_Standard))))</f>
        <v/>
      </c>
      <c r="AY70" s="24" t="str">
        <f>IF(A70="","",(IF(OR(AK70="Single",AK70="Married Filing Separately"),'CONSTANTS &amp; REFERENCES'!$C$10,IF(AK70="Married Filing Jointly",'CONSTANTS &amp; REFERENCES'!$H$10,IF(AK70="Head of Household",'CONSTANTS &amp; REFERENCES'!$M$10,""))))*AL70)</f>
        <v/>
      </c>
      <c r="AZ70" s="21" t="str">
        <f>IF(AY70="","",IF(A70=0,IF(OR(AK70="Single",AK70="Married Filing Separately"),'CONSTANTS &amp; REFERENCES'!$C$10,IF(AK70="Married Filing Jointly",'CONSTANTS &amp; REFERENCES'!$H$10,IF(AK70="Head of Household",'CONSTANTS &amp; REFERENCES'!$M$10,""))),_xlfn.FLOOR.MATH(AY70,IF(AK70="Married Filing Separately",Bracket_Round_MFS,Bracket_Round_Standard))))</f>
        <v/>
      </c>
      <c r="BA70" s="7" t="str">
        <f t="shared" si="43"/>
        <v/>
      </c>
      <c r="BB70" s="7" t="str">
        <f>IF(A70="","",'CONSTANTS &amp; REFERENCES'!$C$22*AL70)</f>
        <v/>
      </c>
      <c r="BC70" s="21" t="str">
        <f t="shared" si="54"/>
        <v/>
      </c>
    </row>
    <row r="71" spans="1:55" ht="18" customHeight="1" x14ac:dyDescent="0.3">
      <c r="A71" s="10" t="str">
        <f>IF(A70&lt;INPUTS!$C$7-INPUTS!$C$6,A70+1,"")</f>
        <v/>
      </c>
      <c r="B71" s="10" t="str">
        <f>IF(A71="","",INPUTS!$C$6+A71)</f>
        <v/>
      </c>
      <c r="C71" s="11" t="str">
        <f t="shared" si="44"/>
        <v/>
      </c>
      <c r="D71" s="11" t="str">
        <f>IF(A71="","",IF(A71&lt;INPUTS!$C$13,0,J71))</f>
        <v/>
      </c>
      <c r="E71" s="12" t="str">
        <f>IF(A71="","",IF(D71=0,"—",IF(Y71&lt;IF(AK71="Married Filing Jointly",'CONSTANTS &amp; REFERENCES'!$B$44,IF(AK71="Married Filing Separately",'CONSTANTS &amp; REFERENCES'!$B$45,'CONSTANTS &amp; REFERENCES'!$B$43)),"Direct","Backdoor")))</f>
        <v/>
      </c>
      <c r="F71" s="13" t="str">
        <f t="shared" si="35"/>
        <v/>
      </c>
      <c r="G71" s="14" t="str">
        <f t="shared" si="36"/>
        <v/>
      </c>
      <c r="H71" s="13" t="str">
        <f t="shared" si="37"/>
        <v/>
      </c>
      <c r="I71" s="14" t="str">
        <f t="shared" si="38"/>
        <v/>
      </c>
      <c r="J71" s="14" t="str">
        <f t="shared" si="39"/>
        <v/>
      </c>
      <c r="K71" s="11" t="str">
        <f>IF(A71="","",IF(INPUTS!$C$12="Beginning",(C71+D71)*INPUTS!$C$10,C71*INPUTS!$C$10))</f>
        <v/>
      </c>
      <c r="L71" s="11" t="str">
        <f>IF(A71="","",IF(INPUTS!$C$12="Beginning",(C71+D71)*(1+INPUTS!$C$10),C71*(1+INPUTS!$C$10)+D71))</f>
        <v/>
      </c>
      <c r="M71" s="15" t="str">
        <f>IF(A71="","",(1+INPUTS!$C$11)^A71)</f>
        <v/>
      </c>
      <c r="N71" s="11" t="str">
        <f t="shared" si="45"/>
        <v/>
      </c>
      <c r="O71" s="11" t="str">
        <f t="shared" si="46"/>
        <v/>
      </c>
      <c r="P71" s="11" t="str">
        <f>IF(A71="","",L71-INPUTS!$C$8-O71)</f>
        <v/>
      </c>
      <c r="Q71" s="16"/>
      <c r="R71" s="16"/>
      <c r="S71" s="16" t="str">
        <f t="shared" si="47"/>
        <v/>
      </c>
      <c r="T71" s="18" t="str">
        <f t="shared" si="48"/>
        <v/>
      </c>
      <c r="U71" s="18" t="str">
        <f t="shared" si="49"/>
        <v/>
      </c>
      <c r="V71" s="19" t="str">
        <f>IF(A71="","",FV(INPUTS!$C$10,INPUTS!$C$7-INPUTS!$C$6-A71+IF(INPUTS!$C$12="Beginning",1,0),0,-D71,0))</f>
        <v/>
      </c>
      <c r="W71" s="7"/>
      <c r="X71" s="7"/>
      <c r="Y71" s="21" t="str">
        <f>IF(A71="","",IF(INPUTS!$C$17="Yes",MIN(Y70*(1+INPUTS!$C$15)+IF(INPUTS!$C$27="Yes",(Z71-Z70)*INPUTS!$C$31+IF(AND(INPUTS!$C$28="Not yet credentialed",A71=INPUTS!$C$33),INPUTS!$C$32,0)+IF(AND(INPUTS!$C$28&lt;&gt;"FSA / FCAS",A71=INPUTS!$C$35),INPUTS!$C$34,0),0),INPUTS!$C$18),Y70*(1+INPUTS!$C$15)+IF(INPUTS!$C$27="Yes",(Z71-Z70)*INPUTS!$C$31+IF(AND(INPUTS!$C$28="Not yet credentialed",A71=INPUTS!$C$33),INPUTS!$C$32,0)+IF(AND(INPUTS!$C$28&lt;&gt;"FSA / FCAS",A71=INPUTS!$C$35),INPUTS!$C$34,0),0)))</f>
        <v/>
      </c>
      <c r="Z71" s="22" t="str">
        <f>IF(A71="","",IF(AND(INPUTS!$C$27="Yes",INPUTS!$C$28&lt;&gt;"FSA / FCAS",ISNUMBER(INPUTS!$C$37)),MIN(A71*INPUTS!$C$37,INPUTS!$C$30),0))</f>
        <v/>
      </c>
      <c r="AA71" s="21" t="str">
        <f t="shared" si="40"/>
        <v/>
      </c>
      <c r="AB71" s="21" t="str">
        <f t="shared" si="41"/>
        <v/>
      </c>
      <c r="AC71" s="21" t="str">
        <f>IF(A71="","",MIN(AB71,AP71)*'CONSTANTS &amp; REFERENCES'!$A$5+MAX(MIN(AB71,AR71)-AP71,0)*'CONSTANTS &amp; REFERENCES'!$A$6+MAX(MIN(AB71,AT71)-AR71,0)*'CONSTANTS &amp; REFERENCES'!$A$7+MAX(MIN(AB71,AV71)-AT71,0)*'CONSTANTS &amp; REFERENCES'!$A$8+MAX(MIN(AB71,AX71)-AV71,0)*'CONSTANTS &amp; REFERENCES'!$A$9+MAX(MIN(AB71,AZ71)-AX71,0)*'CONSTANTS &amp; REFERENCES'!$A$10+MAX(AB71-AZ71,0)*'CONSTANTS &amp; REFERENCES'!$A$11)</f>
        <v/>
      </c>
      <c r="AD71" s="21" t="str">
        <f>IF(AB71="","",IF(INPUTS!$C$20="Yes",AB71*INPUTS!$C$21,0))</f>
        <v/>
      </c>
      <c r="AE71" s="21" t="str">
        <f>IF(Y71="","",MIN(Y71,BC71)*'CONSTANTS &amp; REFERENCES'!$B$22)</f>
        <v/>
      </c>
      <c r="AF71" s="21" t="str">
        <f>IF(Y71="","",Y71*'CONSTANTS &amp; REFERENCES'!$B$24+MAX(0,Y71-IF(AK71="Married Filing Jointly",'CONSTANTS &amp; REFERENCES'!$C$26,IF(AK71="Married Filing Separately",'CONSTANTS &amp; REFERENCES'!$C$27,IF(AK71="Head of Household",'CONSTANTS &amp; REFERENCES'!$C$28,'CONSTANTS &amp; REFERENCES'!$C$25))))*'CONSTANTS &amp; REFERENCES'!$B$25)</f>
        <v/>
      </c>
      <c r="AG71" s="21" t="str">
        <f t="shared" si="50"/>
        <v/>
      </c>
      <c r="AH71" s="21" t="str">
        <f t="shared" si="51"/>
        <v/>
      </c>
      <c r="AI71" s="21" t="str">
        <f t="shared" si="52"/>
        <v/>
      </c>
      <c r="AJ71" s="21" t="str">
        <f t="shared" si="53"/>
        <v/>
      </c>
      <c r="AK71" s="7" t="str">
        <f>IF(A71="","",IF(AND(INPUTS!$C$43="Yes",A71&gt;=INPUTS!$C$45),INPUTS!$C$44,INPUTS!$C$19))</f>
        <v/>
      </c>
      <c r="AL71" s="23" t="str">
        <f t="shared" si="42"/>
        <v/>
      </c>
      <c r="AM71" s="24" t="str">
        <f>IF(A71="","",(IF(OR(AK71="Single",AK71="Married Filing Separately"),'CONSTANTS &amp; REFERENCES'!$B$13,IF(AK71="Married Filing Jointly",'CONSTANTS &amp; REFERENCES'!$G$13,IF(AK71="Head of Household",'CONSTANTS &amp; REFERENCES'!$L$13,""))))*AL71)</f>
        <v/>
      </c>
      <c r="AN71" s="21" t="str">
        <f>IF(AM71="","",IF(A71=0,IF(OR(AK71="Single",AK71="Married Filing Separately"),'CONSTANTS &amp; REFERENCES'!$B$13,IF(AK71="Married Filing Jointly",'CONSTANTS &amp; REFERENCES'!$G$13,IF(AK71="Head of Household",'CONSTANTS &amp; REFERENCES'!$L$13,""))),_xlfn.FLOOR.MATH(AM71,IF(AK71="Married Filing Separately",Bracket_Round_MFS,Bracket_Round_Standard))))</f>
        <v/>
      </c>
      <c r="AO71" s="24" t="str">
        <f>IF(A71="","",(IF(OR(AK71="Single",AK71="Married Filing Separately"),'CONSTANTS &amp; REFERENCES'!$C$5,IF(AK71="Married Filing Jointly",'CONSTANTS &amp; REFERENCES'!$H$5,IF(AK71="Head of Household",'CONSTANTS &amp; REFERENCES'!$M$5,""))))*AL71)</f>
        <v/>
      </c>
      <c r="AP71" s="21" t="str">
        <f>IF(AO71="","",IF(A71=0,IF(OR(AK71="Single",AK71="Married Filing Separately"),'CONSTANTS &amp; REFERENCES'!$C$5,IF(AK71="Married Filing Jointly",'CONSTANTS &amp; REFERENCES'!$H$5,IF(AK71="Head of Household",'CONSTANTS &amp; REFERENCES'!$M$5,""))),_xlfn.FLOOR.MATH(AO71,IF(AK71="Married Filing Separately",Bracket_Round_MFS,Bracket_Round_Standard))))</f>
        <v/>
      </c>
      <c r="AQ71" s="24" t="str">
        <f>IF(A71="","",(IF(OR(AK71="Single",AK71="Married Filing Separately"),'CONSTANTS &amp; REFERENCES'!$C$6,IF(AK71="Married Filing Jointly",'CONSTANTS &amp; REFERENCES'!$H$6,IF(AK71="Head of Household",'CONSTANTS &amp; REFERENCES'!$M$6,""))))*AL71)</f>
        <v/>
      </c>
      <c r="AR71" s="21" t="str">
        <f>IF(AQ71="","",IF(A71=0,IF(OR(AK71="Single",AK71="Married Filing Separately"),'CONSTANTS &amp; REFERENCES'!$C$6,IF(AK71="Married Filing Jointly",'CONSTANTS &amp; REFERENCES'!$H$6,IF(AK71="Head of Household",'CONSTANTS &amp; REFERENCES'!$M$6,""))),_xlfn.FLOOR.MATH(AQ71,IF(AK71="Married Filing Separately",Bracket_Round_MFS,Bracket_Round_Standard))))</f>
        <v/>
      </c>
      <c r="AS71" s="24" t="str">
        <f>IF(A71="","",(IF(OR(AK71="Single",AK71="Married Filing Separately"),'CONSTANTS &amp; REFERENCES'!$C$7,IF(AK71="Married Filing Jointly",'CONSTANTS &amp; REFERENCES'!$H$7,IF(AK71="Head of Household",'CONSTANTS &amp; REFERENCES'!$M$7,""))))*AL71)</f>
        <v/>
      </c>
      <c r="AT71" s="21" t="str">
        <f>IF(AS71="","",IF(A71=0,IF(OR(AK71="Single",AK71="Married Filing Separately"),'CONSTANTS &amp; REFERENCES'!$C$7,IF(AK71="Married Filing Jointly",'CONSTANTS &amp; REFERENCES'!$H$7,IF(AK71="Head of Household",'CONSTANTS &amp; REFERENCES'!$M$7,""))),_xlfn.FLOOR.MATH(AS71,IF(AK71="Married Filing Separately",Bracket_Round_MFS,Bracket_Round_Standard))))</f>
        <v/>
      </c>
      <c r="AU71" s="24" t="str">
        <f>IF(A71="","",(IF(OR(AK71="Single",AK71="Married Filing Separately"),'CONSTANTS &amp; REFERENCES'!$C$8,IF(AK71="Married Filing Jointly",'CONSTANTS &amp; REFERENCES'!$H$8,IF(AK71="Head of Household",'CONSTANTS &amp; REFERENCES'!$M$8,""))))*AL71)</f>
        <v/>
      </c>
      <c r="AV71" s="21" t="str">
        <f>IF(AU71="","",IF(A71=0,IF(OR(AK71="Single",AK71="Married Filing Separately"),'CONSTANTS &amp; REFERENCES'!$C$8,IF(AK71="Married Filing Jointly",'CONSTANTS &amp; REFERENCES'!$H$8,IF(AK71="Head of Household",'CONSTANTS &amp; REFERENCES'!$M$8,""))),_xlfn.FLOOR.MATH(AU71,IF(AK71="Married Filing Separately",Bracket_Round_MFS,Bracket_Round_Standard))))</f>
        <v/>
      </c>
      <c r="AW71" s="24" t="str">
        <f>IF(A71="","",(IF(OR(AK71="Single",AK71="Married Filing Separately"),'CONSTANTS &amp; REFERENCES'!$C$9,IF(AK71="Married Filing Jointly",'CONSTANTS &amp; REFERENCES'!$H$9,IF(AK71="Head of Household",'CONSTANTS &amp; REFERENCES'!$M$9,""))))*AL71)</f>
        <v/>
      </c>
      <c r="AX71" s="21" t="str">
        <f>IF(AW71="","",IF(A71=0,IF(OR(AK71="Single",AK71="Married Filing Separately"),'CONSTANTS &amp; REFERENCES'!$C$9,IF(AK71="Married Filing Jointly",'CONSTANTS &amp; REFERENCES'!$H$9,IF(AK71="Head of Household",'CONSTANTS &amp; REFERENCES'!$M$9,""))),_xlfn.FLOOR.MATH(AW71,IF(AK71="Married Filing Separately",Bracket_Round_MFS,Bracket_Round_Standard))))</f>
        <v/>
      </c>
      <c r="AY71" s="24" t="str">
        <f>IF(A71="","",(IF(OR(AK71="Single",AK71="Married Filing Separately"),'CONSTANTS &amp; REFERENCES'!$C$10,IF(AK71="Married Filing Jointly",'CONSTANTS &amp; REFERENCES'!$H$10,IF(AK71="Head of Household",'CONSTANTS &amp; REFERENCES'!$M$10,""))))*AL71)</f>
        <v/>
      </c>
      <c r="AZ71" s="21" t="str">
        <f>IF(AY71="","",IF(A71=0,IF(OR(AK71="Single",AK71="Married Filing Separately"),'CONSTANTS &amp; REFERENCES'!$C$10,IF(AK71="Married Filing Jointly",'CONSTANTS &amp; REFERENCES'!$H$10,IF(AK71="Head of Household",'CONSTANTS &amp; REFERENCES'!$M$10,""))),_xlfn.FLOOR.MATH(AY71,IF(AK71="Married Filing Separately",Bracket_Round_MFS,Bracket_Round_Standard))))</f>
        <v/>
      </c>
      <c r="BA71" s="7" t="str">
        <f t="shared" si="43"/>
        <v/>
      </c>
      <c r="BB71" s="7" t="str">
        <f>IF(A71="","",'CONSTANTS &amp; REFERENCES'!$C$22*AL71)</f>
        <v/>
      </c>
      <c r="BC71" s="21" t="str">
        <f t="shared" si="54"/>
        <v/>
      </c>
    </row>
    <row r="72" spans="1:55" ht="18" customHeight="1" x14ac:dyDescent="0.3">
      <c r="A72" s="10" t="str">
        <f>IF(A71&lt;INPUTS!$C$7-INPUTS!$C$6,A71+1,"")</f>
        <v/>
      </c>
      <c r="B72" s="10" t="str">
        <f>IF(A72="","",INPUTS!$C$6+A72)</f>
        <v/>
      </c>
      <c r="C72" s="11" t="str">
        <f t="shared" si="44"/>
        <v/>
      </c>
      <c r="D72" s="11" t="str">
        <f>IF(A72="","",IF(A72&lt;INPUTS!$C$13,0,J72))</f>
        <v/>
      </c>
      <c r="E72" s="12" t="str">
        <f>IF(A72="","",IF(D72=0,"—",IF(Y72&lt;IF(AK72="Married Filing Jointly",'CONSTANTS &amp; REFERENCES'!$B$44,IF(AK72="Married Filing Separately",'CONSTANTS &amp; REFERENCES'!$B$45,'CONSTANTS &amp; REFERENCES'!$B$43)),"Direct","Backdoor")))</f>
        <v/>
      </c>
      <c r="F72" s="13" t="str">
        <f t="shared" si="35"/>
        <v/>
      </c>
      <c r="G72" s="14" t="str">
        <f t="shared" si="36"/>
        <v/>
      </c>
      <c r="H72" s="13" t="str">
        <f t="shared" si="37"/>
        <v/>
      </c>
      <c r="I72" s="14" t="str">
        <f t="shared" si="38"/>
        <v/>
      </c>
      <c r="J72" s="14" t="str">
        <f t="shared" si="39"/>
        <v/>
      </c>
      <c r="K72" s="11" t="str">
        <f>IF(A72="","",IF(INPUTS!$C$12="Beginning",(C72+D72)*INPUTS!$C$10,C72*INPUTS!$C$10))</f>
        <v/>
      </c>
      <c r="L72" s="11" t="str">
        <f>IF(A72="","",IF(INPUTS!$C$12="Beginning",(C72+D72)*(1+INPUTS!$C$10),C72*(1+INPUTS!$C$10)+D72))</f>
        <v/>
      </c>
      <c r="M72" s="15" t="str">
        <f>IF(A72="","",(1+INPUTS!$C$11)^A72)</f>
        <v/>
      </c>
      <c r="N72" s="11" t="str">
        <f t="shared" si="45"/>
        <v/>
      </c>
      <c r="O72" s="11" t="str">
        <f t="shared" si="46"/>
        <v/>
      </c>
      <c r="P72" s="11" t="str">
        <f>IF(A72="","",L72-INPUTS!$C$8-O72)</f>
        <v/>
      </c>
      <c r="Q72" s="16"/>
      <c r="R72" s="16"/>
      <c r="S72" s="16" t="str">
        <f t="shared" si="47"/>
        <v/>
      </c>
      <c r="T72" s="18" t="str">
        <f t="shared" si="48"/>
        <v/>
      </c>
      <c r="U72" s="18" t="str">
        <f t="shared" si="49"/>
        <v/>
      </c>
      <c r="V72" s="19" t="str">
        <f>IF(A72="","",FV(INPUTS!$C$10,INPUTS!$C$7-INPUTS!$C$6-A72+IF(INPUTS!$C$12="Beginning",1,0),0,-D72,0))</f>
        <v/>
      </c>
      <c r="W72" s="7"/>
      <c r="X72" s="7"/>
      <c r="Y72" s="21" t="str">
        <f>IF(A72="","",IF(INPUTS!$C$17="Yes",MIN(Y71*(1+INPUTS!$C$15)+IF(INPUTS!$C$27="Yes",(Z72-Z71)*INPUTS!$C$31+IF(AND(INPUTS!$C$28="Not yet credentialed",A72=INPUTS!$C$33),INPUTS!$C$32,0)+IF(AND(INPUTS!$C$28&lt;&gt;"FSA / FCAS",A72=INPUTS!$C$35),INPUTS!$C$34,0),0),INPUTS!$C$18),Y71*(1+INPUTS!$C$15)+IF(INPUTS!$C$27="Yes",(Z72-Z71)*INPUTS!$C$31+IF(AND(INPUTS!$C$28="Not yet credentialed",A72=INPUTS!$C$33),INPUTS!$C$32,0)+IF(AND(INPUTS!$C$28&lt;&gt;"FSA / FCAS",A72=INPUTS!$C$35),INPUTS!$C$34,0),0)))</f>
        <v/>
      </c>
      <c r="Z72" s="22" t="str">
        <f>IF(A72="","",IF(AND(INPUTS!$C$27="Yes",INPUTS!$C$28&lt;&gt;"FSA / FCAS",ISNUMBER(INPUTS!$C$37)),MIN(A72*INPUTS!$C$37,INPUTS!$C$30),0))</f>
        <v/>
      </c>
      <c r="AA72" s="21" t="str">
        <f t="shared" si="40"/>
        <v/>
      </c>
      <c r="AB72" s="21" t="str">
        <f t="shared" si="41"/>
        <v/>
      </c>
      <c r="AC72" s="21" t="str">
        <f>IF(A72="","",MIN(AB72,AP72)*'CONSTANTS &amp; REFERENCES'!$A$5+MAX(MIN(AB72,AR72)-AP72,0)*'CONSTANTS &amp; REFERENCES'!$A$6+MAX(MIN(AB72,AT72)-AR72,0)*'CONSTANTS &amp; REFERENCES'!$A$7+MAX(MIN(AB72,AV72)-AT72,0)*'CONSTANTS &amp; REFERENCES'!$A$8+MAX(MIN(AB72,AX72)-AV72,0)*'CONSTANTS &amp; REFERENCES'!$A$9+MAX(MIN(AB72,AZ72)-AX72,0)*'CONSTANTS &amp; REFERENCES'!$A$10+MAX(AB72-AZ72,0)*'CONSTANTS &amp; REFERENCES'!$A$11)</f>
        <v/>
      </c>
      <c r="AD72" s="21" t="str">
        <f>IF(AB72="","",IF(INPUTS!$C$20="Yes",AB72*INPUTS!$C$21,0))</f>
        <v/>
      </c>
      <c r="AE72" s="21" t="str">
        <f>IF(Y72="","",MIN(Y72,BC72)*'CONSTANTS &amp; REFERENCES'!$B$22)</f>
        <v/>
      </c>
      <c r="AF72" s="21" t="str">
        <f>IF(Y72="","",Y72*'CONSTANTS &amp; REFERENCES'!$B$24+MAX(0,Y72-IF(AK72="Married Filing Jointly",'CONSTANTS &amp; REFERENCES'!$C$26,IF(AK72="Married Filing Separately",'CONSTANTS &amp; REFERENCES'!$C$27,IF(AK72="Head of Household",'CONSTANTS &amp; REFERENCES'!$C$28,'CONSTANTS &amp; REFERENCES'!$C$25))))*'CONSTANTS &amp; REFERENCES'!$B$25)</f>
        <v/>
      </c>
      <c r="AG72" s="21" t="str">
        <f t="shared" si="50"/>
        <v/>
      </c>
      <c r="AH72" s="21" t="str">
        <f t="shared" si="51"/>
        <v/>
      </c>
      <c r="AI72" s="21" t="str">
        <f t="shared" si="52"/>
        <v/>
      </c>
      <c r="AJ72" s="21" t="str">
        <f t="shared" si="53"/>
        <v/>
      </c>
      <c r="AK72" s="7" t="str">
        <f>IF(A72="","",IF(AND(INPUTS!$C$43="Yes",A72&gt;=INPUTS!$C$45),INPUTS!$C$44,INPUTS!$C$19))</f>
        <v/>
      </c>
      <c r="AL72" s="23" t="str">
        <f t="shared" si="42"/>
        <v/>
      </c>
      <c r="AM72" s="24" t="str">
        <f>IF(A72="","",(IF(OR(AK72="Single",AK72="Married Filing Separately"),'CONSTANTS &amp; REFERENCES'!$B$13,IF(AK72="Married Filing Jointly",'CONSTANTS &amp; REFERENCES'!$G$13,IF(AK72="Head of Household",'CONSTANTS &amp; REFERENCES'!$L$13,""))))*AL72)</f>
        <v/>
      </c>
      <c r="AN72" s="21" t="str">
        <f>IF(AM72="","",IF(A72=0,IF(OR(AK72="Single",AK72="Married Filing Separately"),'CONSTANTS &amp; REFERENCES'!$B$13,IF(AK72="Married Filing Jointly",'CONSTANTS &amp; REFERENCES'!$G$13,IF(AK72="Head of Household",'CONSTANTS &amp; REFERENCES'!$L$13,""))),_xlfn.FLOOR.MATH(AM72,IF(AK72="Married Filing Separately",Bracket_Round_MFS,Bracket_Round_Standard))))</f>
        <v/>
      </c>
      <c r="AO72" s="24" t="str">
        <f>IF(A72="","",(IF(OR(AK72="Single",AK72="Married Filing Separately"),'CONSTANTS &amp; REFERENCES'!$C$5,IF(AK72="Married Filing Jointly",'CONSTANTS &amp; REFERENCES'!$H$5,IF(AK72="Head of Household",'CONSTANTS &amp; REFERENCES'!$M$5,""))))*AL72)</f>
        <v/>
      </c>
      <c r="AP72" s="21" t="str">
        <f>IF(AO72="","",IF(A72=0,IF(OR(AK72="Single",AK72="Married Filing Separately"),'CONSTANTS &amp; REFERENCES'!$C$5,IF(AK72="Married Filing Jointly",'CONSTANTS &amp; REFERENCES'!$H$5,IF(AK72="Head of Household",'CONSTANTS &amp; REFERENCES'!$M$5,""))),_xlfn.FLOOR.MATH(AO72,IF(AK72="Married Filing Separately",Bracket_Round_MFS,Bracket_Round_Standard))))</f>
        <v/>
      </c>
      <c r="AQ72" s="24" t="str">
        <f>IF(A72="","",(IF(OR(AK72="Single",AK72="Married Filing Separately"),'CONSTANTS &amp; REFERENCES'!$C$6,IF(AK72="Married Filing Jointly",'CONSTANTS &amp; REFERENCES'!$H$6,IF(AK72="Head of Household",'CONSTANTS &amp; REFERENCES'!$M$6,""))))*AL72)</f>
        <v/>
      </c>
      <c r="AR72" s="21" t="str">
        <f>IF(AQ72="","",IF(A72=0,IF(OR(AK72="Single",AK72="Married Filing Separately"),'CONSTANTS &amp; REFERENCES'!$C$6,IF(AK72="Married Filing Jointly",'CONSTANTS &amp; REFERENCES'!$H$6,IF(AK72="Head of Household",'CONSTANTS &amp; REFERENCES'!$M$6,""))),_xlfn.FLOOR.MATH(AQ72,IF(AK72="Married Filing Separately",Bracket_Round_MFS,Bracket_Round_Standard))))</f>
        <v/>
      </c>
      <c r="AS72" s="24" t="str">
        <f>IF(A72="","",(IF(OR(AK72="Single",AK72="Married Filing Separately"),'CONSTANTS &amp; REFERENCES'!$C$7,IF(AK72="Married Filing Jointly",'CONSTANTS &amp; REFERENCES'!$H$7,IF(AK72="Head of Household",'CONSTANTS &amp; REFERENCES'!$M$7,""))))*AL72)</f>
        <v/>
      </c>
      <c r="AT72" s="21" t="str">
        <f>IF(AS72="","",IF(A72=0,IF(OR(AK72="Single",AK72="Married Filing Separately"),'CONSTANTS &amp; REFERENCES'!$C$7,IF(AK72="Married Filing Jointly",'CONSTANTS &amp; REFERENCES'!$H$7,IF(AK72="Head of Household",'CONSTANTS &amp; REFERENCES'!$M$7,""))),_xlfn.FLOOR.MATH(AS72,IF(AK72="Married Filing Separately",Bracket_Round_MFS,Bracket_Round_Standard))))</f>
        <v/>
      </c>
      <c r="AU72" s="24" t="str">
        <f>IF(A72="","",(IF(OR(AK72="Single",AK72="Married Filing Separately"),'CONSTANTS &amp; REFERENCES'!$C$8,IF(AK72="Married Filing Jointly",'CONSTANTS &amp; REFERENCES'!$H$8,IF(AK72="Head of Household",'CONSTANTS &amp; REFERENCES'!$M$8,""))))*AL72)</f>
        <v/>
      </c>
      <c r="AV72" s="21" t="str">
        <f>IF(AU72="","",IF(A72=0,IF(OR(AK72="Single",AK72="Married Filing Separately"),'CONSTANTS &amp; REFERENCES'!$C$8,IF(AK72="Married Filing Jointly",'CONSTANTS &amp; REFERENCES'!$H$8,IF(AK72="Head of Household",'CONSTANTS &amp; REFERENCES'!$M$8,""))),_xlfn.FLOOR.MATH(AU72,IF(AK72="Married Filing Separately",Bracket_Round_MFS,Bracket_Round_Standard))))</f>
        <v/>
      </c>
      <c r="AW72" s="24" t="str">
        <f>IF(A72="","",(IF(OR(AK72="Single",AK72="Married Filing Separately"),'CONSTANTS &amp; REFERENCES'!$C$9,IF(AK72="Married Filing Jointly",'CONSTANTS &amp; REFERENCES'!$H$9,IF(AK72="Head of Household",'CONSTANTS &amp; REFERENCES'!$M$9,""))))*AL72)</f>
        <v/>
      </c>
      <c r="AX72" s="21" t="str">
        <f>IF(AW72="","",IF(A72=0,IF(OR(AK72="Single",AK72="Married Filing Separately"),'CONSTANTS &amp; REFERENCES'!$C$9,IF(AK72="Married Filing Jointly",'CONSTANTS &amp; REFERENCES'!$H$9,IF(AK72="Head of Household",'CONSTANTS &amp; REFERENCES'!$M$9,""))),_xlfn.FLOOR.MATH(AW72,IF(AK72="Married Filing Separately",Bracket_Round_MFS,Bracket_Round_Standard))))</f>
        <v/>
      </c>
      <c r="AY72" s="24" t="str">
        <f>IF(A72="","",(IF(OR(AK72="Single",AK72="Married Filing Separately"),'CONSTANTS &amp; REFERENCES'!$C$10,IF(AK72="Married Filing Jointly",'CONSTANTS &amp; REFERENCES'!$H$10,IF(AK72="Head of Household",'CONSTANTS &amp; REFERENCES'!$M$10,""))))*AL72)</f>
        <v/>
      </c>
      <c r="AZ72" s="21" t="str">
        <f>IF(AY72="","",IF(A72=0,IF(OR(AK72="Single",AK72="Married Filing Separately"),'CONSTANTS &amp; REFERENCES'!$C$10,IF(AK72="Married Filing Jointly",'CONSTANTS &amp; REFERENCES'!$H$10,IF(AK72="Head of Household",'CONSTANTS &amp; REFERENCES'!$M$10,""))),_xlfn.FLOOR.MATH(AY72,IF(AK72="Married Filing Separately",Bracket_Round_MFS,Bracket_Round_Standard))))</f>
        <v/>
      </c>
      <c r="BA72" s="7" t="str">
        <f t="shared" si="43"/>
        <v/>
      </c>
      <c r="BB72" s="7" t="str">
        <f>IF(A72="","",'CONSTANTS &amp; REFERENCES'!$C$22*AL72)</f>
        <v/>
      </c>
      <c r="BC72" s="21" t="str">
        <f t="shared" si="54"/>
        <v/>
      </c>
    </row>
    <row r="73" spans="1:55" ht="18" customHeight="1" x14ac:dyDescent="0.3">
      <c r="A73" s="10" t="str">
        <f>IF(A72&lt;INPUTS!$C$7-INPUTS!$C$6,A72+1,"")</f>
        <v/>
      </c>
      <c r="B73" s="10" t="str">
        <f>IF(A73="","",INPUTS!$C$6+A73)</f>
        <v/>
      </c>
      <c r="C73" s="11" t="str">
        <f t="shared" si="44"/>
        <v/>
      </c>
      <c r="D73" s="11" t="str">
        <f>IF(A73="","",IF(A73&lt;INPUTS!$C$13,0,J73))</f>
        <v/>
      </c>
      <c r="E73" s="12" t="str">
        <f>IF(A73="","",IF(D73=0,"—",IF(Y73&lt;IF(AK73="Married Filing Jointly",'CONSTANTS &amp; REFERENCES'!$B$44,IF(AK73="Married Filing Separately",'CONSTANTS &amp; REFERENCES'!$B$45,'CONSTANTS &amp; REFERENCES'!$B$43)),"Direct","Backdoor")))</f>
        <v/>
      </c>
      <c r="F73" s="13" t="str">
        <f t="shared" si="35"/>
        <v/>
      </c>
      <c r="G73" s="14" t="str">
        <f t="shared" si="36"/>
        <v/>
      </c>
      <c r="H73" s="13" t="str">
        <f t="shared" si="37"/>
        <v/>
      </c>
      <c r="I73" s="14" t="str">
        <f t="shared" si="38"/>
        <v/>
      </c>
      <c r="J73" s="14" t="str">
        <f t="shared" si="39"/>
        <v/>
      </c>
      <c r="K73" s="11" t="str">
        <f>IF(A73="","",IF(INPUTS!$C$12="Beginning",(C73+D73)*INPUTS!$C$10,C73*INPUTS!$C$10))</f>
        <v/>
      </c>
      <c r="L73" s="11" t="str">
        <f>IF(A73="","",IF(INPUTS!$C$12="Beginning",(C73+D73)*(1+INPUTS!$C$10),C73*(1+INPUTS!$C$10)+D73))</f>
        <v/>
      </c>
      <c r="M73" s="15" t="str">
        <f>IF(A73="","",(1+INPUTS!$C$11)^A73)</f>
        <v/>
      </c>
      <c r="N73" s="11" t="str">
        <f t="shared" si="45"/>
        <v/>
      </c>
      <c r="O73" s="11" t="str">
        <f t="shared" si="46"/>
        <v/>
      </c>
      <c r="P73" s="11" t="str">
        <f>IF(A73="","",L73-INPUTS!$C$8-O73)</f>
        <v/>
      </c>
      <c r="Q73" s="16"/>
      <c r="R73" s="16"/>
      <c r="S73" s="16" t="str">
        <f t="shared" si="47"/>
        <v/>
      </c>
      <c r="T73" s="18" t="str">
        <f t="shared" si="48"/>
        <v/>
      </c>
      <c r="U73" s="18" t="str">
        <f t="shared" si="49"/>
        <v/>
      </c>
      <c r="V73" s="19" t="str">
        <f>IF(A73="","",FV(INPUTS!$C$10,INPUTS!$C$7-INPUTS!$C$6-A73+IF(INPUTS!$C$12="Beginning",1,0),0,-D73,0))</f>
        <v/>
      </c>
      <c r="W73" s="7"/>
      <c r="X73" s="7"/>
      <c r="Y73" s="21" t="str">
        <f>IF(A73="","",IF(INPUTS!$C$17="Yes",MIN(Y72*(1+INPUTS!$C$15)+IF(INPUTS!$C$27="Yes",(Z73-Z72)*INPUTS!$C$31+IF(AND(INPUTS!$C$28="Not yet credentialed",A73=INPUTS!$C$33),INPUTS!$C$32,0)+IF(AND(INPUTS!$C$28&lt;&gt;"FSA / FCAS",A73=INPUTS!$C$35),INPUTS!$C$34,0),0),INPUTS!$C$18),Y72*(1+INPUTS!$C$15)+IF(INPUTS!$C$27="Yes",(Z73-Z72)*INPUTS!$C$31+IF(AND(INPUTS!$C$28="Not yet credentialed",A73=INPUTS!$C$33),INPUTS!$C$32,0)+IF(AND(INPUTS!$C$28&lt;&gt;"FSA / FCAS",A73=INPUTS!$C$35),INPUTS!$C$34,0),0)))</f>
        <v/>
      </c>
      <c r="Z73" s="22" t="str">
        <f>IF(A73="","",IF(AND(INPUTS!$C$27="Yes",INPUTS!$C$28&lt;&gt;"FSA / FCAS",ISNUMBER(INPUTS!$C$37)),MIN(A73*INPUTS!$C$37,INPUTS!$C$30),0))</f>
        <v/>
      </c>
      <c r="AA73" s="21" t="str">
        <f t="shared" si="40"/>
        <v/>
      </c>
      <c r="AB73" s="21" t="str">
        <f t="shared" si="41"/>
        <v/>
      </c>
      <c r="AC73" s="21" t="str">
        <f>IF(A73="","",MIN(AB73,AP73)*'CONSTANTS &amp; REFERENCES'!$A$5+MAX(MIN(AB73,AR73)-AP73,0)*'CONSTANTS &amp; REFERENCES'!$A$6+MAX(MIN(AB73,AT73)-AR73,0)*'CONSTANTS &amp; REFERENCES'!$A$7+MAX(MIN(AB73,AV73)-AT73,0)*'CONSTANTS &amp; REFERENCES'!$A$8+MAX(MIN(AB73,AX73)-AV73,0)*'CONSTANTS &amp; REFERENCES'!$A$9+MAX(MIN(AB73,AZ73)-AX73,0)*'CONSTANTS &amp; REFERENCES'!$A$10+MAX(AB73-AZ73,0)*'CONSTANTS &amp; REFERENCES'!$A$11)</f>
        <v/>
      </c>
      <c r="AD73" s="21" t="str">
        <f>IF(AB73="","",IF(INPUTS!$C$20="Yes",AB73*INPUTS!$C$21,0))</f>
        <v/>
      </c>
      <c r="AE73" s="21" t="str">
        <f>IF(Y73="","",MIN(Y73,BC73)*'CONSTANTS &amp; REFERENCES'!$B$22)</f>
        <v/>
      </c>
      <c r="AF73" s="21" t="str">
        <f>IF(Y73="","",Y73*'CONSTANTS &amp; REFERENCES'!$B$24+MAX(0,Y73-IF(AK73="Married Filing Jointly",'CONSTANTS &amp; REFERENCES'!$C$26,IF(AK73="Married Filing Separately",'CONSTANTS &amp; REFERENCES'!$C$27,IF(AK73="Head of Household",'CONSTANTS &amp; REFERENCES'!$C$28,'CONSTANTS &amp; REFERENCES'!$C$25))))*'CONSTANTS &amp; REFERENCES'!$B$25)</f>
        <v/>
      </c>
      <c r="AG73" s="21" t="str">
        <f t="shared" si="50"/>
        <v/>
      </c>
      <c r="AH73" s="21" t="str">
        <f t="shared" si="51"/>
        <v/>
      </c>
      <c r="AI73" s="21" t="str">
        <f t="shared" si="52"/>
        <v/>
      </c>
      <c r="AJ73" s="21" t="str">
        <f t="shared" si="53"/>
        <v/>
      </c>
      <c r="AK73" s="7" t="str">
        <f>IF(A73="","",IF(AND(INPUTS!$C$43="Yes",A73&gt;=INPUTS!$C$45),INPUTS!$C$44,INPUTS!$C$19))</f>
        <v/>
      </c>
      <c r="AL73" s="23" t="str">
        <f t="shared" si="42"/>
        <v/>
      </c>
      <c r="AM73" s="24" t="str">
        <f>IF(A73="","",(IF(OR(AK73="Single",AK73="Married Filing Separately"),'CONSTANTS &amp; REFERENCES'!$B$13,IF(AK73="Married Filing Jointly",'CONSTANTS &amp; REFERENCES'!$G$13,IF(AK73="Head of Household",'CONSTANTS &amp; REFERENCES'!$L$13,""))))*AL73)</f>
        <v/>
      </c>
      <c r="AN73" s="21" t="str">
        <f>IF(AM73="","",IF(A73=0,IF(OR(AK73="Single",AK73="Married Filing Separately"),'CONSTANTS &amp; REFERENCES'!$B$13,IF(AK73="Married Filing Jointly",'CONSTANTS &amp; REFERENCES'!$G$13,IF(AK73="Head of Household",'CONSTANTS &amp; REFERENCES'!$L$13,""))),_xlfn.FLOOR.MATH(AM73,IF(AK73="Married Filing Separately",Bracket_Round_MFS,Bracket_Round_Standard))))</f>
        <v/>
      </c>
      <c r="AO73" s="24" t="str">
        <f>IF(A73="","",(IF(OR(AK73="Single",AK73="Married Filing Separately"),'CONSTANTS &amp; REFERENCES'!$C$5,IF(AK73="Married Filing Jointly",'CONSTANTS &amp; REFERENCES'!$H$5,IF(AK73="Head of Household",'CONSTANTS &amp; REFERENCES'!$M$5,""))))*AL73)</f>
        <v/>
      </c>
      <c r="AP73" s="21" t="str">
        <f>IF(AO73="","",IF(A73=0,IF(OR(AK73="Single",AK73="Married Filing Separately"),'CONSTANTS &amp; REFERENCES'!$C$5,IF(AK73="Married Filing Jointly",'CONSTANTS &amp; REFERENCES'!$H$5,IF(AK73="Head of Household",'CONSTANTS &amp; REFERENCES'!$M$5,""))),_xlfn.FLOOR.MATH(AO73,IF(AK73="Married Filing Separately",Bracket_Round_MFS,Bracket_Round_Standard))))</f>
        <v/>
      </c>
      <c r="AQ73" s="24" t="str">
        <f>IF(A73="","",(IF(OR(AK73="Single",AK73="Married Filing Separately"),'CONSTANTS &amp; REFERENCES'!$C$6,IF(AK73="Married Filing Jointly",'CONSTANTS &amp; REFERENCES'!$H$6,IF(AK73="Head of Household",'CONSTANTS &amp; REFERENCES'!$M$6,""))))*AL73)</f>
        <v/>
      </c>
      <c r="AR73" s="21" t="str">
        <f>IF(AQ73="","",IF(A73=0,IF(OR(AK73="Single",AK73="Married Filing Separately"),'CONSTANTS &amp; REFERENCES'!$C$6,IF(AK73="Married Filing Jointly",'CONSTANTS &amp; REFERENCES'!$H$6,IF(AK73="Head of Household",'CONSTANTS &amp; REFERENCES'!$M$6,""))),_xlfn.FLOOR.MATH(AQ73,IF(AK73="Married Filing Separately",Bracket_Round_MFS,Bracket_Round_Standard))))</f>
        <v/>
      </c>
      <c r="AS73" s="24" t="str">
        <f>IF(A73="","",(IF(OR(AK73="Single",AK73="Married Filing Separately"),'CONSTANTS &amp; REFERENCES'!$C$7,IF(AK73="Married Filing Jointly",'CONSTANTS &amp; REFERENCES'!$H$7,IF(AK73="Head of Household",'CONSTANTS &amp; REFERENCES'!$M$7,""))))*AL73)</f>
        <v/>
      </c>
      <c r="AT73" s="21" t="str">
        <f>IF(AS73="","",IF(A73=0,IF(OR(AK73="Single",AK73="Married Filing Separately"),'CONSTANTS &amp; REFERENCES'!$C$7,IF(AK73="Married Filing Jointly",'CONSTANTS &amp; REFERENCES'!$H$7,IF(AK73="Head of Household",'CONSTANTS &amp; REFERENCES'!$M$7,""))),_xlfn.FLOOR.MATH(AS73,IF(AK73="Married Filing Separately",Bracket_Round_MFS,Bracket_Round_Standard))))</f>
        <v/>
      </c>
      <c r="AU73" s="24" t="str">
        <f>IF(A73="","",(IF(OR(AK73="Single",AK73="Married Filing Separately"),'CONSTANTS &amp; REFERENCES'!$C$8,IF(AK73="Married Filing Jointly",'CONSTANTS &amp; REFERENCES'!$H$8,IF(AK73="Head of Household",'CONSTANTS &amp; REFERENCES'!$M$8,""))))*AL73)</f>
        <v/>
      </c>
      <c r="AV73" s="21" t="str">
        <f>IF(AU73="","",IF(A73=0,IF(OR(AK73="Single",AK73="Married Filing Separately"),'CONSTANTS &amp; REFERENCES'!$C$8,IF(AK73="Married Filing Jointly",'CONSTANTS &amp; REFERENCES'!$H$8,IF(AK73="Head of Household",'CONSTANTS &amp; REFERENCES'!$M$8,""))),_xlfn.FLOOR.MATH(AU73,IF(AK73="Married Filing Separately",Bracket_Round_MFS,Bracket_Round_Standard))))</f>
        <v/>
      </c>
      <c r="AW73" s="24" t="str">
        <f>IF(A73="","",(IF(OR(AK73="Single",AK73="Married Filing Separately"),'CONSTANTS &amp; REFERENCES'!$C$9,IF(AK73="Married Filing Jointly",'CONSTANTS &amp; REFERENCES'!$H$9,IF(AK73="Head of Household",'CONSTANTS &amp; REFERENCES'!$M$9,""))))*AL73)</f>
        <v/>
      </c>
      <c r="AX73" s="21" t="str">
        <f>IF(AW73="","",IF(A73=0,IF(OR(AK73="Single",AK73="Married Filing Separately"),'CONSTANTS &amp; REFERENCES'!$C$9,IF(AK73="Married Filing Jointly",'CONSTANTS &amp; REFERENCES'!$H$9,IF(AK73="Head of Household",'CONSTANTS &amp; REFERENCES'!$M$9,""))),_xlfn.FLOOR.MATH(AW73,IF(AK73="Married Filing Separately",Bracket_Round_MFS,Bracket_Round_Standard))))</f>
        <v/>
      </c>
      <c r="AY73" s="24" t="str">
        <f>IF(A73="","",(IF(OR(AK73="Single",AK73="Married Filing Separately"),'CONSTANTS &amp; REFERENCES'!$C$10,IF(AK73="Married Filing Jointly",'CONSTANTS &amp; REFERENCES'!$H$10,IF(AK73="Head of Household",'CONSTANTS &amp; REFERENCES'!$M$10,""))))*AL73)</f>
        <v/>
      </c>
      <c r="AZ73" s="21" t="str">
        <f>IF(AY73="","",IF(A73=0,IF(OR(AK73="Single",AK73="Married Filing Separately"),'CONSTANTS &amp; REFERENCES'!$C$10,IF(AK73="Married Filing Jointly",'CONSTANTS &amp; REFERENCES'!$H$10,IF(AK73="Head of Household",'CONSTANTS &amp; REFERENCES'!$M$10,""))),_xlfn.FLOOR.MATH(AY73,IF(AK73="Married Filing Separately",Bracket_Round_MFS,Bracket_Round_Standard))))</f>
        <v/>
      </c>
      <c r="BA73" s="7" t="str">
        <f t="shared" si="43"/>
        <v/>
      </c>
      <c r="BB73" s="7" t="str">
        <f>IF(A73="","",'CONSTANTS &amp; REFERENCES'!$C$22*AL73)</f>
        <v/>
      </c>
      <c r="BC73" s="21" t="str">
        <f t="shared" si="54"/>
        <v/>
      </c>
    </row>
    <row r="74" spans="1:55" ht="18" customHeight="1" x14ac:dyDescent="0.3">
      <c r="A74" s="10" t="str">
        <f>IF(A73&lt;INPUTS!$C$7-INPUTS!$C$6,A73+1,"")</f>
        <v/>
      </c>
      <c r="B74" s="10" t="str">
        <f>IF(A74="","",INPUTS!$C$6+A74)</f>
        <v/>
      </c>
      <c r="C74" s="11" t="str">
        <f t="shared" si="44"/>
        <v/>
      </c>
      <c r="D74" s="11" t="str">
        <f>IF(A74="","",IF(A74&lt;INPUTS!$C$13,0,J74))</f>
        <v/>
      </c>
      <c r="E74" s="12" t="str">
        <f>IF(A74="","",IF(D74=0,"—",IF(Y74&lt;IF(AK74="Married Filing Jointly",'CONSTANTS &amp; REFERENCES'!$B$44,IF(AK74="Married Filing Separately",'CONSTANTS &amp; REFERENCES'!$B$45,'CONSTANTS &amp; REFERENCES'!$B$43)),"Direct","Backdoor")))</f>
        <v/>
      </c>
      <c r="F74" s="13" t="str">
        <f t="shared" si="35"/>
        <v/>
      </c>
      <c r="G74" s="14" t="str">
        <f t="shared" si="36"/>
        <v/>
      </c>
      <c r="H74" s="13" t="str">
        <f t="shared" si="37"/>
        <v/>
      </c>
      <c r="I74" s="14" t="str">
        <f t="shared" si="38"/>
        <v/>
      </c>
      <c r="J74" s="14" t="str">
        <f t="shared" si="39"/>
        <v/>
      </c>
      <c r="K74" s="11" t="str">
        <f>IF(A74="","",IF(INPUTS!$C$12="Beginning",(C74+D74)*INPUTS!$C$10,C74*INPUTS!$C$10))</f>
        <v/>
      </c>
      <c r="L74" s="11" t="str">
        <f>IF(A74="","",IF(INPUTS!$C$12="Beginning",(C74+D74)*(1+INPUTS!$C$10),C74*(1+INPUTS!$C$10)+D74))</f>
        <v/>
      </c>
      <c r="M74" s="15" t="str">
        <f>IF(A74="","",(1+INPUTS!$C$11)^A74)</f>
        <v/>
      </c>
      <c r="N74" s="11" t="str">
        <f t="shared" si="45"/>
        <v/>
      </c>
      <c r="O74" s="11" t="str">
        <f t="shared" si="46"/>
        <v/>
      </c>
      <c r="P74" s="11" t="str">
        <f>IF(A74="","",L74-INPUTS!$C$8-O74)</f>
        <v/>
      </c>
      <c r="Q74" s="16"/>
      <c r="R74" s="16"/>
      <c r="S74" s="16" t="str">
        <f t="shared" si="47"/>
        <v/>
      </c>
      <c r="T74" s="18" t="str">
        <f t="shared" si="48"/>
        <v/>
      </c>
      <c r="U74" s="18" t="str">
        <f t="shared" si="49"/>
        <v/>
      </c>
      <c r="V74" s="19" t="str">
        <f>IF(A74="","",FV(INPUTS!$C$10,INPUTS!$C$7-INPUTS!$C$6-A74+IF(INPUTS!$C$12="Beginning",1,0),0,-D74,0))</f>
        <v/>
      </c>
      <c r="W74" s="7"/>
      <c r="X74" s="7"/>
      <c r="Y74" s="21" t="str">
        <f>IF(A74="","",IF(INPUTS!$C$17="Yes",MIN(Y73*(1+INPUTS!$C$15)+IF(INPUTS!$C$27="Yes",(Z74-Z73)*INPUTS!$C$31+IF(AND(INPUTS!$C$28="Not yet credentialed",A74=INPUTS!$C$33),INPUTS!$C$32,0)+IF(AND(INPUTS!$C$28&lt;&gt;"FSA / FCAS",A74=INPUTS!$C$35),INPUTS!$C$34,0),0),INPUTS!$C$18),Y73*(1+INPUTS!$C$15)+IF(INPUTS!$C$27="Yes",(Z74-Z73)*INPUTS!$C$31+IF(AND(INPUTS!$C$28="Not yet credentialed",A74=INPUTS!$C$33),INPUTS!$C$32,0)+IF(AND(INPUTS!$C$28&lt;&gt;"FSA / FCAS",A74=INPUTS!$C$35),INPUTS!$C$34,0),0)))</f>
        <v/>
      </c>
      <c r="Z74" s="22" t="str">
        <f>IF(A74="","",IF(AND(INPUTS!$C$27="Yes",INPUTS!$C$28&lt;&gt;"FSA / FCAS",ISNUMBER(INPUTS!$C$37)),MIN(A74*INPUTS!$C$37,INPUTS!$C$30),0))</f>
        <v/>
      </c>
      <c r="AA74" s="21" t="str">
        <f t="shared" si="40"/>
        <v/>
      </c>
      <c r="AB74" s="21" t="str">
        <f t="shared" si="41"/>
        <v/>
      </c>
      <c r="AC74" s="21" t="str">
        <f>IF(A74="","",MIN(AB74,AP74)*'CONSTANTS &amp; REFERENCES'!$A$5+MAX(MIN(AB74,AR74)-AP74,0)*'CONSTANTS &amp; REFERENCES'!$A$6+MAX(MIN(AB74,AT74)-AR74,0)*'CONSTANTS &amp; REFERENCES'!$A$7+MAX(MIN(AB74,AV74)-AT74,0)*'CONSTANTS &amp; REFERENCES'!$A$8+MAX(MIN(AB74,AX74)-AV74,0)*'CONSTANTS &amp; REFERENCES'!$A$9+MAX(MIN(AB74,AZ74)-AX74,0)*'CONSTANTS &amp; REFERENCES'!$A$10+MAX(AB74-AZ74,0)*'CONSTANTS &amp; REFERENCES'!$A$11)</f>
        <v/>
      </c>
      <c r="AD74" s="21" t="str">
        <f>IF(AB74="","",IF(INPUTS!$C$20="Yes",AB74*INPUTS!$C$21,0))</f>
        <v/>
      </c>
      <c r="AE74" s="21" t="str">
        <f>IF(Y74="","",MIN(Y74,BC74)*'CONSTANTS &amp; REFERENCES'!$B$22)</f>
        <v/>
      </c>
      <c r="AF74" s="21" t="str">
        <f>IF(Y74="","",Y74*'CONSTANTS &amp; REFERENCES'!$B$24+MAX(0,Y74-IF(AK74="Married Filing Jointly",'CONSTANTS &amp; REFERENCES'!$C$26,IF(AK74="Married Filing Separately",'CONSTANTS &amp; REFERENCES'!$C$27,IF(AK74="Head of Household",'CONSTANTS &amp; REFERENCES'!$C$28,'CONSTANTS &amp; REFERENCES'!$C$25))))*'CONSTANTS &amp; REFERENCES'!$B$25)</f>
        <v/>
      </c>
      <c r="AG74" s="21" t="str">
        <f t="shared" si="50"/>
        <v/>
      </c>
      <c r="AH74" s="21" t="str">
        <f t="shared" si="51"/>
        <v/>
      </c>
      <c r="AI74" s="21" t="str">
        <f t="shared" si="52"/>
        <v/>
      </c>
      <c r="AJ74" s="21" t="str">
        <f t="shared" si="53"/>
        <v/>
      </c>
      <c r="AK74" s="7" t="str">
        <f>IF(A74="","",IF(AND(INPUTS!$C$43="Yes",A74&gt;=INPUTS!$C$45),INPUTS!$C$44,INPUTS!$C$19))</f>
        <v/>
      </c>
      <c r="AL74" s="23" t="str">
        <f t="shared" si="42"/>
        <v/>
      </c>
      <c r="AM74" s="24" t="str">
        <f>IF(A74="","",(IF(OR(AK74="Single",AK74="Married Filing Separately"),'CONSTANTS &amp; REFERENCES'!$B$13,IF(AK74="Married Filing Jointly",'CONSTANTS &amp; REFERENCES'!$G$13,IF(AK74="Head of Household",'CONSTANTS &amp; REFERENCES'!$L$13,""))))*AL74)</f>
        <v/>
      </c>
      <c r="AN74" s="21" t="str">
        <f>IF(AM74="","",IF(A74=0,IF(OR(AK74="Single",AK74="Married Filing Separately"),'CONSTANTS &amp; REFERENCES'!$B$13,IF(AK74="Married Filing Jointly",'CONSTANTS &amp; REFERENCES'!$G$13,IF(AK74="Head of Household",'CONSTANTS &amp; REFERENCES'!$L$13,""))),_xlfn.FLOOR.MATH(AM74,IF(AK74="Married Filing Separately",Bracket_Round_MFS,Bracket_Round_Standard))))</f>
        <v/>
      </c>
      <c r="AO74" s="24" t="str">
        <f>IF(A74="","",(IF(OR(AK74="Single",AK74="Married Filing Separately"),'CONSTANTS &amp; REFERENCES'!$C$5,IF(AK74="Married Filing Jointly",'CONSTANTS &amp; REFERENCES'!$H$5,IF(AK74="Head of Household",'CONSTANTS &amp; REFERENCES'!$M$5,""))))*AL74)</f>
        <v/>
      </c>
      <c r="AP74" s="21" t="str">
        <f>IF(AO74="","",IF(A74=0,IF(OR(AK74="Single",AK74="Married Filing Separately"),'CONSTANTS &amp; REFERENCES'!$C$5,IF(AK74="Married Filing Jointly",'CONSTANTS &amp; REFERENCES'!$H$5,IF(AK74="Head of Household",'CONSTANTS &amp; REFERENCES'!$M$5,""))),_xlfn.FLOOR.MATH(AO74,IF(AK74="Married Filing Separately",Bracket_Round_MFS,Bracket_Round_Standard))))</f>
        <v/>
      </c>
      <c r="AQ74" s="24" t="str">
        <f>IF(A74="","",(IF(OR(AK74="Single",AK74="Married Filing Separately"),'CONSTANTS &amp; REFERENCES'!$C$6,IF(AK74="Married Filing Jointly",'CONSTANTS &amp; REFERENCES'!$H$6,IF(AK74="Head of Household",'CONSTANTS &amp; REFERENCES'!$M$6,""))))*AL74)</f>
        <v/>
      </c>
      <c r="AR74" s="21" t="str">
        <f>IF(AQ74="","",IF(A74=0,IF(OR(AK74="Single",AK74="Married Filing Separately"),'CONSTANTS &amp; REFERENCES'!$C$6,IF(AK74="Married Filing Jointly",'CONSTANTS &amp; REFERENCES'!$H$6,IF(AK74="Head of Household",'CONSTANTS &amp; REFERENCES'!$M$6,""))),_xlfn.FLOOR.MATH(AQ74,IF(AK74="Married Filing Separately",Bracket_Round_MFS,Bracket_Round_Standard))))</f>
        <v/>
      </c>
      <c r="AS74" s="24" t="str">
        <f>IF(A74="","",(IF(OR(AK74="Single",AK74="Married Filing Separately"),'CONSTANTS &amp; REFERENCES'!$C$7,IF(AK74="Married Filing Jointly",'CONSTANTS &amp; REFERENCES'!$H$7,IF(AK74="Head of Household",'CONSTANTS &amp; REFERENCES'!$M$7,""))))*AL74)</f>
        <v/>
      </c>
      <c r="AT74" s="21" t="str">
        <f>IF(AS74="","",IF(A74=0,IF(OR(AK74="Single",AK74="Married Filing Separately"),'CONSTANTS &amp; REFERENCES'!$C$7,IF(AK74="Married Filing Jointly",'CONSTANTS &amp; REFERENCES'!$H$7,IF(AK74="Head of Household",'CONSTANTS &amp; REFERENCES'!$M$7,""))),_xlfn.FLOOR.MATH(AS74,IF(AK74="Married Filing Separately",Bracket_Round_MFS,Bracket_Round_Standard))))</f>
        <v/>
      </c>
      <c r="AU74" s="24" t="str">
        <f>IF(A74="","",(IF(OR(AK74="Single",AK74="Married Filing Separately"),'CONSTANTS &amp; REFERENCES'!$C$8,IF(AK74="Married Filing Jointly",'CONSTANTS &amp; REFERENCES'!$H$8,IF(AK74="Head of Household",'CONSTANTS &amp; REFERENCES'!$M$8,""))))*AL74)</f>
        <v/>
      </c>
      <c r="AV74" s="21" t="str">
        <f>IF(AU74="","",IF(A74=0,IF(OR(AK74="Single",AK74="Married Filing Separately"),'CONSTANTS &amp; REFERENCES'!$C$8,IF(AK74="Married Filing Jointly",'CONSTANTS &amp; REFERENCES'!$H$8,IF(AK74="Head of Household",'CONSTANTS &amp; REFERENCES'!$M$8,""))),_xlfn.FLOOR.MATH(AU74,IF(AK74="Married Filing Separately",Bracket_Round_MFS,Bracket_Round_Standard))))</f>
        <v/>
      </c>
      <c r="AW74" s="24" t="str">
        <f>IF(A74="","",(IF(OR(AK74="Single",AK74="Married Filing Separately"),'CONSTANTS &amp; REFERENCES'!$C$9,IF(AK74="Married Filing Jointly",'CONSTANTS &amp; REFERENCES'!$H$9,IF(AK74="Head of Household",'CONSTANTS &amp; REFERENCES'!$M$9,""))))*AL74)</f>
        <v/>
      </c>
      <c r="AX74" s="21" t="str">
        <f>IF(AW74="","",IF(A74=0,IF(OR(AK74="Single",AK74="Married Filing Separately"),'CONSTANTS &amp; REFERENCES'!$C$9,IF(AK74="Married Filing Jointly",'CONSTANTS &amp; REFERENCES'!$H$9,IF(AK74="Head of Household",'CONSTANTS &amp; REFERENCES'!$M$9,""))),_xlfn.FLOOR.MATH(AW74,IF(AK74="Married Filing Separately",Bracket_Round_MFS,Bracket_Round_Standard))))</f>
        <v/>
      </c>
      <c r="AY74" s="24" t="str">
        <f>IF(A74="","",(IF(OR(AK74="Single",AK74="Married Filing Separately"),'CONSTANTS &amp; REFERENCES'!$C$10,IF(AK74="Married Filing Jointly",'CONSTANTS &amp; REFERENCES'!$H$10,IF(AK74="Head of Household",'CONSTANTS &amp; REFERENCES'!$M$10,""))))*AL74)</f>
        <v/>
      </c>
      <c r="AZ74" s="21" t="str">
        <f>IF(AY74="","",IF(A74=0,IF(OR(AK74="Single",AK74="Married Filing Separately"),'CONSTANTS &amp; REFERENCES'!$C$10,IF(AK74="Married Filing Jointly",'CONSTANTS &amp; REFERENCES'!$H$10,IF(AK74="Head of Household",'CONSTANTS &amp; REFERENCES'!$M$10,""))),_xlfn.FLOOR.MATH(AY74,IF(AK74="Married Filing Separately",Bracket_Round_MFS,Bracket_Round_Standard))))</f>
        <v/>
      </c>
      <c r="BA74" s="7" t="str">
        <f t="shared" si="43"/>
        <v/>
      </c>
      <c r="BB74" s="7" t="str">
        <f>IF(A74="","",'CONSTANTS &amp; REFERENCES'!$C$22*AL74)</f>
        <v/>
      </c>
      <c r="BC74" s="21" t="str">
        <f t="shared" si="54"/>
        <v/>
      </c>
    </row>
    <row r="75" spans="1:55" ht="18" customHeight="1" x14ac:dyDescent="0.3">
      <c r="A75" s="10" t="str">
        <f>IF(A74&lt;INPUTS!$C$7-INPUTS!$C$6,A74+1,"")</f>
        <v/>
      </c>
      <c r="B75" s="10" t="str">
        <f>IF(A75="","",INPUTS!$C$6+A75)</f>
        <v/>
      </c>
      <c r="C75" s="11" t="str">
        <f t="shared" si="44"/>
        <v/>
      </c>
      <c r="D75" s="11" t="str">
        <f>IF(A75="","",IF(A75&lt;INPUTS!$C$13,0,J75))</f>
        <v/>
      </c>
      <c r="E75" s="12" t="str">
        <f>IF(A75="","",IF(D75=0,"—",IF(Y75&lt;IF(AK75="Married Filing Jointly",'CONSTANTS &amp; REFERENCES'!$B$44,IF(AK75="Married Filing Separately",'CONSTANTS &amp; REFERENCES'!$B$45,'CONSTANTS &amp; REFERENCES'!$B$43)),"Direct","Backdoor")))</f>
        <v/>
      </c>
      <c r="F75" s="13" t="str">
        <f t="shared" si="35"/>
        <v/>
      </c>
      <c r="G75" s="14" t="str">
        <f t="shared" si="36"/>
        <v/>
      </c>
      <c r="H75" s="13" t="str">
        <f t="shared" si="37"/>
        <v/>
      </c>
      <c r="I75" s="14" t="str">
        <f t="shared" si="38"/>
        <v/>
      </c>
      <c r="J75" s="14" t="str">
        <f t="shared" si="39"/>
        <v/>
      </c>
      <c r="K75" s="11" t="str">
        <f>IF(A75="","",IF(INPUTS!$C$12="Beginning",(C75+D75)*INPUTS!$C$10,C75*INPUTS!$C$10))</f>
        <v/>
      </c>
      <c r="L75" s="11" t="str">
        <f>IF(A75="","",IF(INPUTS!$C$12="Beginning",(C75+D75)*(1+INPUTS!$C$10),C75*(1+INPUTS!$C$10)+D75))</f>
        <v/>
      </c>
      <c r="M75" s="15" t="str">
        <f>IF(A75="","",(1+INPUTS!$C$11)^A75)</f>
        <v/>
      </c>
      <c r="N75" s="11" t="str">
        <f t="shared" si="45"/>
        <v/>
      </c>
      <c r="O75" s="11" t="str">
        <f t="shared" si="46"/>
        <v/>
      </c>
      <c r="P75" s="11" t="str">
        <f>IF(A75="","",L75-INPUTS!$C$8-O75)</f>
        <v/>
      </c>
      <c r="Q75" s="16"/>
      <c r="R75" s="16"/>
      <c r="S75" s="16" t="str">
        <f t="shared" si="47"/>
        <v/>
      </c>
      <c r="T75" s="18" t="str">
        <f t="shared" si="48"/>
        <v/>
      </c>
      <c r="U75" s="18" t="str">
        <f t="shared" si="49"/>
        <v/>
      </c>
      <c r="V75" s="19" t="str">
        <f>IF(A75="","",FV(INPUTS!$C$10,INPUTS!$C$7-INPUTS!$C$6-A75+IF(INPUTS!$C$12="Beginning",1,0),0,-D75,0))</f>
        <v/>
      </c>
      <c r="W75" s="7"/>
      <c r="X75" s="7"/>
      <c r="Y75" s="21" t="str">
        <f>IF(A75="","",IF(INPUTS!$C$17="Yes",MIN(Y74*(1+INPUTS!$C$15)+IF(INPUTS!$C$27="Yes",(Z75-Z74)*INPUTS!$C$31+IF(AND(INPUTS!$C$28="Not yet credentialed",A75=INPUTS!$C$33),INPUTS!$C$32,0)+IF(AND(INPUTS!$C$28&lt;&gt;"FSA / FCAS",A75=INPUTS!$C$35),INPUTS!$C$34,0),0),INPUTS!$C$18),Y74*(1+INPUTS!$C$15)+IF(INPUTS!$C$27="Yes",(Z75-Z74)*INPUTS!$C$31+IF(AND(INPUTS!$C$28="Not yet credentialed",A75=INPUTS!$C$33),INPUTS!$C$32,0)+IF(AND(INPUTS!$C$28&lt;&gt;"FSA / FCAS",A75=INPUTS!$C$35),INPUTS!$C$34,0),0)))</f>
        <v/>
      </c>
      <c r="Z75" s="22" t="str">
        <f>IF(A75="","",IF(AND(INPUTS!$C$27="Yes",INPUTS!$C$28&lt;&gt;"FSA / FCAS",ISNUMBER(INPUTS!$C$37)),MIN(A75*INPUTS!$C$37,INPUTS!$C$30),0))</f>
        <v/>
      </c>
      <c r="AA75" s="21" t="str">
        <f t="shared" si="40"/>
        <v/>
      </c>
      <c r="AB75" s="21" t="str">
        <f t="shared" si="41"/>
        <v/>
      </c>
      <c r="AC75" s="21" t="str">
        <f>IF(A75="","",MIN(AB75,AP75)*'CONSTANTS &amp; REFERENCES'!$A$5+MAX(MIN(AB75,AR75)-AP75,0)*'CONSTANTS &amp; REFERENCES'!$A$6+MAX(MIN(AB75,AT75)-AR75,0)*'CONSTANTS &amp; REFERENCES'!$A$7+MAX(MIN(AB75,AV75)-AT75,0)*'CONSTANTS &amp; REFERENCES'!$A$8+MAX(MIN(AB75,AX75)-AV75,0)*'CONSTANTS &amp; REFERENCES'!$A$9+MAX(MIN(AB75,AZ75)-AX75,0)*'CONSTANTS &amp; REFERENCES'!$A$10+MAX(AB75-AZ75,0)*'CONSTANTS &amp; REFERENCES'!$A$11)</f>
        <v/>
      </c>
      <c r="AD75" s="21" t="str">
        <f>IF(AB75="","",IF(INPUTS!$C$20="Yes",AB75*INPUTS!$C$21,0))</f>
        <v/>
      </c>
      <c r="AE75" s="21" t="str">
        <f>IF(Y75="","",MIN(Y75,BC75)*'CONSTANTS &amp; REFERENCES'!$B$22)</f>
        <v/>
      </c>
      <c r="AF75" s="21" t="str">
        <f>IF(Y75="","",Y75*'CONSTANTS &amp; REFERENCES'!$B$24+MAX(0,Y75-IF(AK75="Married Filing Jointly",'CONSTANTS &amp; REFERENCES'!$C$26,IF(AK75="Married Filing Separately",'CONSTANTS &amp; REFERENCES'!$C$27,IF(AK75="Head of Household",'CONSTANTS &amp; REFERENCES'!$C$28,'CONSTANTS &amp; REFERENCES'!$C$25))))*'CONSTANTS &amp; REFERENCES'!$B$25)</f>
        <v/>
      </c>
      <c r="AG75" s="21" t="str">
        <f t="shared" si="50"/>
        <v/>
      </c>
      <c r="AH75" s="21" t="str">
        <f t="shared" si="51"/>
        <v/>
      </c>
      <c r="AI75" s="21" t="str">
        <f t="shared" si="52"/>
        <v/>
      </c>
      <c r="AJ75" s="21" t="str">
        <f t="shared" si="53"/>
        <v/>
      </c>
      <c r="AK75" s="7" t="str">
        <f>IF(A75="","",IF(AND(INPUTS!$C$43="Yes",A75&gt;=INPUTS!$C$45),INPUTS!$C$44,INPUTS!$C$19))</f>
        <v/>
      </c>
      <c r="AL75" s="23" t="str">
        <f t="shared" si="42"/>
        <v/>
      </c>
      <c r="AM75" s="24" t="str">
        <f>IF(A75="","",(IF(OR(AK75="Single",AK75="Married Filing Separately"),'CONSTANTS &amp; REFERENCES'!$B$13,IF(AK75="Married Filing Jointly",'CONSTANTS &amp; REFERENCES'!$G$13,IF(AK75="Head of Household",'CONSTANTS &amp; REFERENCES'!$L$13,""))))*AL75)</f>
        <v/>
      </c>
      <c r="AN75" s="21" t="str">
        <f>IF(AM75="","",IF(A75=0,IF(OR(AK75="Single",AK75="Married Filing Separately"),'CONSTANTS &amp; REFERENCES'!$B$13,IF(AK75="Married Filing Jointly",'CONSTANTS &amp; REFERENCES'!$G$13,IF(AK75="Head of Household",'CONSTANTS &amp; REFERENCES'!$L$13,""))),_xlfn.FLOOR.MATH(AM75,IF(AK75="Married Filing Separately",Bracket_Round_MFS,Bracket_Round_Standard))))</f>
        <v/>
      </c>
      <c r="AO75" s="24" t="str">
        <f>IF(A75="","",(IF(OR(AK75="Single",AK75="Married Filing Separately"),'CONSTANTS &amp; REFERENCES'!$C$5,IF(AK75="Married Filing Jointly",'CONSTANTS &amp; REFERENCES'!$H$5,IF(AK75="Head of Household",'CONSTANTS &amp; REFERENCES'!$M$5,""))))*AL75)</f>
        <v/>
      </c>
      <c r="AP75" s="21" t="str">
        <f>IF(AO75="","",IF(A75=0,IF(OR(AK75="Single",AK75="Married Filing Separately"),'CONSTANTS &amp; REFERENCES'!$C$5,IF(AK75="Married Filing Jointly",'CONSTANTS &amp; REFERENCES'!$H$5,IF(AK75="Head of Household",'CONSTANTS &amp; REFERENCES'!$M$5,""))),_xlfn.FLOOR.MATH(AO75,IF(AK75="Married Filing Separately",Bracket_Round_MFS,Bracket_Round_Standard))))</f>
        <v/>
      </c>
      <c r="AQ75" s="24" t="str">
        <f>IF(A75="","",(IF(OR(AK75="Single",AK75="Married Filing Separately"),'CONSTANTS &amp; REFERENCES'!$C$6,IF(AK75="Married Filing Jointly",'CONSTANTS &amp; REFERENCES'!$H$6,IF(AK75="Head of Household",'CONSTANTS &amp; REFERENCES'!$M$6,""))))*AL75)</f>
        <v/>
      </c>
      <c r="AR75" s="21" t="str">
        <f>IF(AQ75="","",IF(A75=0,IF(OR(AK75="Single",AK75="Married Filing Separately"),'CONSTANTS &amp; REFERENCES'!$C$6,IF(AK75="Married Filing Jointly",'CONSTANTS &amp; REFERENCES'!$H$6,IF(AK75="Head of Household",'CONSTANTS &amp; REFERENCES'!$M$6,""))),_xlfn.FLOOR.MATH(AQ75,IF(AK75="Married Filing Separately",Bracket_Round_MFS,Bracket_Round_Standard))))</f>
        <v/>
      </c>
      <c r="AS75" s="24" t="str">
        <f>IF(A75="","",(IF(OR(AK75="Single",AK75="Married Filing Separately"),'CONSTANTS &amp; REFERENCES'!$C$7,IF(AK75="Married Filing Jointly",'CONSTANTS &amp; REFERENCES'!$H$7,IF(AK75="Head of Household",'CONSTANTS &amp; REFERENCES'!$M$7,""))))*AL75)</f>
        <v/>
      </c>
      <c r="AT75" s="21" t="str">
        <f>IF(AS75="","",IF(A75=0,IF(OR(AK75="Single",AK75="Married Filing Separately"),'CONSTANTS &amp; REFERENCES'!$C$7,IF(AK75="Married Filing Jointly",'CONSTANTS &amp; REFERENCES'!$H$7,IF(AK75="Head of Household",'CONSTANTS &amp; REFERENCES'!$M$7,""))),_xlfn.FLOOR.MATH(AS75,IF(AK75="Married Filing Separately",Bracket_Round_MFS,Bracket_Round_Standard))))</f>
        <v/>
      </c>
      <c r="AU75" s="24" t="str">
        <f>IF(A75="","",(IF(OR(AK75="Single",AK75="Married Filing Separately"),'CONSTANTS &amp; REFERENCES'!$C$8,IF(AK75="Married Filing Jointly",'CONSTANTS &amp; REFERENCES'!$H$8,IF(AK75="Head of Household",'CONSTANTS &amp; REFERENCES'!$M$8,""))))*AL75)</f>
        <v/>
      </c>
      <c r="AV75" s="21" t="str">
        <f>IF(AU75="","",IF(A75=0,IF(OR(AK75="Single",AK75="Married Filing Separately"),'CONSTANTS &amp; REFERENCES'!$C$8,IF(AK75="Married Filing Jointly",'CONSTANTS &amp; REFERENCES'!$H$8,IF(AK75="Head of Household",'CONSTANTS &amp; REFERENCES'!$M$8,""))),_xlfn.FLOOR.MATH(AU75,IF(AK75="Married Filing Separately",Bracket_Round_MFS,Bracket_Round_Standard))))</f>
        <v/>
      </c>
      <c r="AW75" s="24" t="str">
        <f>IF(A75="","",(IF(OR(AK75="Single",AK75="Married Filing Separately"),'CONSTANTS &amp; REFERENCES'!$C$9,IF(AK75="Married Filing Jointly",'CONSTANTS &amp; REFERENCES'!$H$9,IF(AK75="Head of Household",'CONSTANTS &amp; REFERENCES'!$M$9,""))))*AL75)</f>
        <v/>
      </c>
      <c r="AX75" s="21" t="str">
        <f>IF(AW75="","",IF(A75=0,IF(OR(AK75="Single",AK75="Married Filing Separately"),'CONSTANTS &amp; REFERENCES'!$C$9,IF(AK75="Married Filing Jointly",'CONSTANTS &amp; REFERENCES'!$H$9,IF(AK75="Head of Household",'CONSTANTS &amp; REFERENCES'!$M$9,""))),_xlfn.FLOOR.MATH(AW75,IF(AK75="Married Filing Separately",Bracket_Round_MFS,Bracket_Round_Standard))))</f>
        <v/>
      </c>
      <c r="AY75" s="24" t="str">
        <f>IF(A75="","",(IF(OR(AK75="Single",AK75="Married Filing Separately"),'CONSTANTS &amp; REFERENCES'!$C$10,IF(AK75="Married Filing Jointly",'CONSTANTS &amp; REFERENCES'!$H$10,IF(AK75="Head of Household",'CONSTANTS &amp; REFERENCES'!$M$10,""))))*AL75)</f>
        <v/>
      </c>
      <c r="AZ75" s="21" t="str">
        <f>IF(AY75="","",IF(A75=0,IF(OR(AK75="Single",AK75="Married Filing Separately"),'CONSTANTS &amp; REFERENCES'!$C$10,IF(AK75="Married Filing Jointly",'CONSTANTS &amp; REFERENCES'!$H$10,IF(AK75="Head of Household",'CONSTANTS &amp; REFERENCES'!$M$10,""))),_xlfn.FLOOR.MATH(AY75,IF(AK75="Married Filing Separately",Bracket_Round_MFS,Bracket_Round_Standard))))</f>
        <v/>
      </c>
      <c r="BA75" s="7" t="str">
        <f t="shared" si="43"/>
        <v/>
      </c>
      <c r="BB75" s="7" t="str">
        <f>IF(A75="","",'CONSTANTS &amp; REFERENCES'!$C$22*AL75)</f>
        <v/>
      </c>
      <c r="BC75" s="21" t="str">
        <f t="shared" si="54"/>
        <v/>
      </c>
    </row>
    <row r="76" spans="1:55" ht="18" customHeight="1" x14ac:dyDescent="0.3">
      <c r="A76" s="10" t="str">
        <f>IF(A75&lt;INPUTS!$C$7-INPUTS!$C$6,A75+1,"")</f>
        <v/>
      </c>
      <c r="B76" s="10" t="str">
        <f>IF(A76="","",INPUTS!$C$6+A76)</f>
        <v/>
      </c>
      <c r="C76" s="11" t="str">
        <f t="shared" si="44"/>
        <v/>
      </c>
      <c r="D76" s="11" t="str">
        <f>IF(A76="","",IF(A76&lt;INPUTS!$C$13,0,J76))</f>
        <v/>
      </c>
      <c r="E76" s="12" t="str">
        <f>IF(A76="","",IF(D76=0,"—",IF(Y76&lt;IF(AK76="Married Filing Jointly",'CONSTANTS &amp; REFERENCES'!$B$44,IF(AK76="Married Filing Separately",'CONSTANTS &amp; REFERENCES'!$B$45,'CONSTANTS &amp; REFERENCES'!$B$43)),"Direct","Backdoor")))</f>
        <v/>
      </c>
      <c r="F76" s="13" t="str">
        <f t="shared" si="35"/>
        <v/>
      </c>
      <c r="G76" s="14" t="str">
        <f t="shared" si="36"/>
        <v/>
      </c>
      <c r="H76" s="13" t="str">
        <f t="shared" si="37"/>
        <v/>
      </c>
      <c r="I76" s="14" t="str">
        <f t="shared" si="38"/>
        <v/>
      </c>
      <c r="J76" s="14" t="str">
        <f t="shared" si="39"/>
        <v/>
      </c>
      <c r="K76" s="11" t="str">
        <f>IF(A76="","",IF(INPUTS!$C$12="Beginning",(C76+D76)*INPUTS!$C$10,C76*INPUTS!$C$10))</f>
        <v/>
      </c>
      <c r="L76" s="11" t="str">
        <f>IF(A76="","",IF(INPUTS!$C$12="Beginning",(C76+D76)*(1+INPUTS!$C$10),C76*(1+INPUTS!$C$10)+D76))</f>
        <v/>
      </c>
      <c r="M76" s="15" t="str">
        <f>IF(A76="","",(1+INPUTS!$C$11)^A76)</f>
        <v/>
      </c>
      <c r="N76" s="11" t="str">
        <f t="shared" si="45"/>
        <v/>
      </c>
      <c r="O76" s="11" t="str">
        <f t="shared" si="46"/>
        <v/>
      </c>
      <c r="P76" s="11" t="str">
        <f>IF(A76="","",L76-INPUTS!$C$8-O76)</f>
        <v/>
      </c>
      <c r="Q76" s="16"/>
      <c r="R76" s="16"/>
      <c r="S76" s="16" t="str">
        <f t="shared" si="47"/>
        <v/>
      </c>
      <c r="T76" s="18" t="str">
        <f t="shared" si="48"/>
        <v/>
      </c>
      <c r="U76" s="18" t="str">
        <f t="shared" si="49"/>
        <v/>
      </c>
      <c r="V76" s="19" t="str">
        <f>IF(A76="","",FV(INPUTS!$C$10,INPUTS!$C$7-INPUTS!$C$6-A76+IF(INPUTS!$C$12="Beginning",1,0),0,-D76,0))</f>
        <v/>
      </c>
      <c r="W76" s="7"/>
      <c r="X76" s="7"/>
      <c r="Y76" s="21" t="str">
        <f>IF(A76="","",IF(INPUTS!$C$17="Yes",MIN(Y75*(1+INPUTS!$C$15)+IF(INPUTS!$C$27="Yes",(Z76-Z75)*INPUTS!$C$31+IF(AND(INPUTS!$C$28="Not yet credentialed",A76=INPUTS!$C$33),INPUTS!$C$32,0)+IF(AND(INPUTS!$C$28&lt;&gt;"FSA / FCAS",A76=INPUTS!$C$35),INPUTS!$C$34,0),0),INPUTS!$C$18),Y75*(1+INPUTS!$C$15)+IF(INPUTS!$C$27="Yes",(Z76-Z75)*INPUTS!$C$31+IF(AND(INPUTS!$C$28="Not yet credentialed",A76=INPUTS!$C$33),INPUTS!$C$32,0)+IF(AND(INPUTS!$C$28&lt;&gt;"FSA / FCAS",A76=INPUTS!$C$35),INPUTS!$C$34,0),0)))</f>
        <v/>
      </c>
      <c r="Z76" s="22" t="str">
        <f>IF(A76="","",IF(AND(INPUTS!$C$27="Yes",INPUTS!$C$28&lt;&gt;"FSA / FCAS",ISNUMBER(INPUTS!$C$37)),MIN(A76*INPUTS!$C$37,INPUTS!$C$30),0))</f>
        <v/>
      </c>
      <c r="AA76" s="21" t="str">
        <f t="shared" si="40"/>
        <v/>
      </c>
      <c r="AB76" s="21" t="str">
        <f t="shared" si="41"/>
        <v/>
      </c>
      <c r="AC76" s="21" t="str">
        <f>IF(A76="","",MIN(AB76,AP76)*'CONSTANTS &amp; REFERENCES'!$A$5+MAX(MIN(AB76,AR76)-AP76,0)*'CONSTANTS &amp; REFERENCES'!$A$6+MAX(MIN(AB76,AT76)-AR76,0)*'CONSTANTS &amp; REFERENCES'!$A$7+MAX(MIN(AB76,AV76)-AT76,0)*'CONSTANTS &amp; REFERENCES'!$A$8+MAX(MIN(AB76,AX76)-AV76,0)*'CONSTANTS &amp; REFERENCES'!$A$9+MAX(MIN(AB76,AZ76)-AX76,0)*'CONSTANTS &amp; REFERENCES'!$A$10+MAX(AB76-AZ76,0)*'CONSTANTS &amp; REFERENCES'!$A$11)</f>
        <v/>
      </c>
      <c r="AD76" s="21" t="str">
        <f>IF(AB76="","",IF(INPUTS!$C$20="Yes",AB76*INPUTS!$C$21,0))</f>
        <v/>
      </c>
      <c r="AE76" s="21" t="str">
        <f>IF(Y76="","",MIN(Y76,BC76)*'CONSTANTS &amp; REFERENCES'!$B$22)</f>
        <v/>
      </c>
      <c r="AF76" s="21" t="str">
        <f>IF(Y76="","",Y76*'CONSTANTS &amp; REFERENCES'!$B$24+MAX(0,Y76-IF(AK76="Married Filing Jointly",'CONSTANTS &amp; REFERENCES'!$C$26,IF(AK76="Married Filing Separately",'CONSTANTS &amp; REFERENCES'!$C$27,IF(AK76="Head of Household",'CONSTANTS &amp; REFERENCES'!$C$28,'CONSTANTS &amp; REFERENCES'!$C$25))))*'CONSTANTS &amp; REFERENCES'!$B$25)</f>
        <v/>
      </c>
      <c r="AG76" s="21" t="str">
        <f t="shared" si="50"/>
        <v/>
      </c>
      <c r="AH76" s="21" t="str">
        <f t="shared" si="51"/>
        <v/>
      </c>
      <c r="AI76" s="21" t="str">
        <f t="shared" si="52"/>
        <v/>
      </c>
      <c r="AJ76" s="21" t="str">
        <f t="shared" si="53"/>
        <v/>
      </c>
      <c r="AK76" s="7" t="str">
        <f>IF(A76="","",IF(AND(INPUTS!$C$43="Yes",A76&gt;=INPUTS!$C$45),INPUTS!$C$44,INPUTS!$C$19))</f>
        <v/>
      </c>
      <c r="AL76" s="23" t="str">
        <f t="shared" si="42"/>
        <v/>
      </c>
      <c r="AM76" s="24" t="str">
        <f>IF(A76="","",(IF(OR(AK76="Single",AK76="Married Filing Separately"),'CONSTANTS &amp; REFERENCES'!$B$13,IF(AK76="Married Filing Jointly",'CONSTANTS &amp; REFERENCES'!$G$13,IF(AK76="Head of Household",'CONSTANTS &amp; REFERENCES'!$L$13,""))))*AL76)</f>
        <v/>
      </c>
      <c r="AN76" s="21" t="str">
        <f>IF(AM76="","",IF(A76=0,IF(OR(AK76="Single",AK76="Married Filing Separately"),'CONSTANTS &amp; REFERENCES'!$B$13,IF(AK76="Married Filing Jointly",'CONSTANTS &amp; REFERENCES'!$G$13,IF(AK76="Head of Household",'CONSTANTS &amp; REFERENCES'!$L$13,""))),_xlfn.FLOOR.MATH(AM76,IF(AK76="Married Filing Separately",Bracket_Round_MFS,Bracket_Round_Standard))))</f>
        <v/>
      </c>
      <c r="AO76" s="24" t="str">
        <f>IF(A76="","",(IF(OR(AK76="Single",AK76="Married Filing Separately"),'CONSTANTS &amp; REFERENCES'!$C$5,IF(AK76="Married Filing Jointly",'CONSTANTS &amp; REFERENCES'!$H$5,IF(AK76="Head of Household",'CONSTANTS &amp; REFERENCES'!$M$5,""))))*AL76)</f>
        <v/>
      </c>
      <c r="AP76" s="21" t="str">
        <f>IF(AO76="","",IF(A76=0,IF(OR(AK76="Single",AK76="Married Filing Separately"),'CONSTANTS &amp; REFERENCES'!$C$5,IF(AK76="Married Filing Jointly",'CONSTANTS &amp; REFERENCES'!$H$5,IF(AK76="Head of Household",'CONSTANTS &amp; REFERENCES'!$M$5,""))),_xlfn.FLOOR.MATH(AO76,IF(AK76="Married Filing Separately",Bracket_Round_MFS,Bracket_Round_Standard))))</f>
        <v/>
      </c>
      <c r="AQ76" s="24" t="str">
        <f>IF(A76="","",(IF(OR(AK76="Single",AK76="Married Filing Separately"),'CONSTANTS &amp; REFERENCES'!$C$6,IF(AK76="Married Filing Jointly",'CONSTANTS &amp; REFERENCES'!$H$6,IF(AK76="Head of Household",'CONSTANTS &amp; REFERENCES'!$M$6,""))))*AL76)</f>
        <v/>
      </c>
      <c r="AR76" s="21" t="str">
        <f>IF(AQ76="","",IF(A76=0,IF(OR(AK76="Single",AK76="Married Filing Separately"),'CONSTANTS &amp; REFERENCES'!$C$6,IF(AK76="Married Filing Jointly",'CONSTANTS &amp; REFERENCES'!$H$6,IF(AK76="Head of Household",'CONSTANTS &amp; REFERENCES'!$M$6,""))),_xlfn.FLOOR.MATH(AQ76,IF(AK76="Married Filing Separately",Bracket_Round_MFS,Bracket_Round_Standard))))</f>
        <v/>
      </c>
      <c r="AS76" s="24" t="str">
        <f>IF(A76="","",(IF(OR(AK76="Single",AK76="Married Filing Separately"),'CONSTANTS &amp; REFERENCES'!$C$7,IF(AK76="Married Filing Jointly",'CONSTANTS &amp; REFERENCES'!$H$7,IF(AK76="Head of Household",'CONSTANTS &amp; REFERENCES'!$M$7,""))))*AL76)</f>
        <v/>
      </c>
      <c r="AT76" s="21" t="str">
        <f>IF(AS76="","",IF(A76=0,IF(OR(AK76="Single",AK76="Married Filing Separately"),'CONSTANTS &amp; REFERENCES'!$C$7,IF(AK76="Married Filing Jointly",'CONSTANTS &amp; REFERENCES'!$H$7,IF(AK76="Head of Household",'CONSTANTS &amp; REFERENCES'!$M$7,""))),_xlfn.FLOOR.MATH(AS76,IF(AK76="Married Filing Separately",Bracket_Round_MFS,Bracket_Round_Standard))))</f>
        <v/>
      </c>
      <c r="AU76" s="24" t="str">
        <f>IF(A76="","",(IF(OR(AK76="Single",AK76="Married Filing Separately"),'CONSTANTS &amp; REFERENCES'!$C$8,IF(AK76="Married Filing Jointly",'CONSTANTS &amp; REFERENCES'!$H$8,IF(AK76="Head of Household",'CONSTANTS &amp; REFERENCES'!$M$8,""))))*AL76)</f>
        <v/>
      </c>
      <c r="AV76" s="21" t="str">
        <f>IF(AU76="","",IF(A76=0,IF(OR(AK76="Single",AK76="Married Filing Separately"),'CONSTANTS &amp; REFERENCES'!$C$8,IF(AK76="Married Filing Jointly",'CONSTANTS &amp; REFERENCES'!$H$8,IF(AK76="Head of Household",'CONSTANTS &amp; REFERENCES'!$M$8,""))),_xlfn.FLOOR.MATH(AU76,IF(AK76="Married Filing Separately",Bracket_Round_MFS,Bracket_Round_Standard))))</f>
        <v/>
      </c>
      <c r="AW76" s="24" t="str">
        <f>IF(A76="","",(IF(OR(AK76="Single",AK76="Married Filing Separately"),'CONSTANTS &amp; REFERENCES'!$C$9,IF(AK76="Married Filing Jointly",'CONSTANTS &amp; REFERENCES'!$H$9,IF(AK76="Head of Household",'CONSTANTS &amp; REFERENCES'!$M$9,""))))*AL76)</f>
        <v/>
      </c>
      <c r="AX76" s="21" t="str">
        <f>IF(AW76="","",IF(A76=0,IF(OR(AK76="Single",AK76="Married Filing Separately"),'CONSTANTS &amp; REFERENCES'!$C$9,IF(AK76="Married Filing Jointly",'CONSTANTS &amp; REFERENCES'!$H$9,IF(AK76="Head of Household",'CONSTANTS &amp; REFERENCES'!$M$9,""))),_xlfn.FLOOR.MATH(AW76,IF(AK76="Married Filing Separately",Bracket_Round_MFS,Bracket_Round_Standard))))</f>
        <v/>
      </c>
      <c r="AY76" s="24" t="str">
        <f>IF(A76="","",(IF(OR(AK76="Single",AK76="Married Filing Separately"),'CONSTANTS &amp; REFERENCES'!$C$10,IF(AK76="Married Filing Jointly",'CONSTANTS &amp; REFERENCES'!$H$10,IF(AK76="Head of Household",'CONSTANTS &amp; REFERENCES'!$M$10,""))))*AL76)</f>
        <v/>
      </c>
      <c r="AZ76" s="21" t="str">
        <f>IF(AY76="","",IF(A76=0,IF(OR(AK76="Single",AK76="Married Filing Separately"),'CONSTANTS &amp; REFERENCES'!$C$10,IF(AK76="Married Filing Jointly",'CONSTANTS &amp; REFERENCES'!$H$10,IF(AK76="Head of Household",'CONSTANTS &amp; REFERENCES'!$M$10,""))),_xlfn.FLOOR.MATH(AY76,IF(AK76="Married Filing Separately",Bracket_Round_MFS,Bracket_Round_Standard))))</f>
        <v/>
      </c>
      <c r="BA76" s="7" t="str">
        <f t="shared" si="43"/>
        <v/>
      </c>
      <c r="BB76" s="7" t="str">
        <f>IF(A76="","",'CONSTANTS &amp; REFERENCES'!$C$22*AL76)</f>
        <v/>
      </c>
      <c r="BC76" s="21" t="str">
        <f t="shared" si="54"/>
        <v/>
      </c>
    </row>
    <row r="77" spans="1:55" ht="18" customHeight="1" x14ac:dyDescent="0.3">
      <c r="A77" s="10" t="str">
        <f>IF(A76&lt;INPUTS!$C$7-INPUTS!$C$6,A76+1,"")</f>
        <v/>
      </c>
      <c r="B77" s="10" t="str">
        <f>IF(A77="","",INPUTS!$C$6+A77)</f>
        <v/>
      </c>
      <c r="C77" s="11" t="str">
        <f t="shared" si="44"/>
        <v/>
      </c>
      <c r="D77" s="11" t="str">
        <f>IF(A77="","",IF(A77&lt;INPUTS!$C$13,0,J77))</f>
        <v/>
      </c>
      <c r="E77" s="12" t="str">
        <f>IF(A77="","",IF(D77=0,"—",IF(Y77&lt;IF(AK77="Married Filing Jointly",'CONSTANTS &amp; REFERENCES'!$B$44,IF(AK77="Married Filing Separately",'CONSTANTS &amp; REFERENCES'!$B$45,'CONSTANTS &amp; REFERENCES'!$B$43)),"Direct","Backdoor")))</f>
        <v/>
      </c>
      <c r="F77" s="13" t="str">
        <f t="shared" si="35"/>
        <v/>
      </c>
      <c r="G77" s="14" t="str">
        <f t="shared" si="36"/>
        <v/>
      </c>
      <c r="H77" s="13" t="str">
        <f t="shared" si="37"/>
        <v/>
      </c>
      <c r="I77" s="14" t="str">
        <f t="shared" si="38"/>
        <v/>
      </c>
      <c r="J77" s="14" t="str">
        <f t="shared" si="39"/>
        <v/>
      </c>
      <c r="K77" s="11" t="str">
        <f>IF(A77="","",IF(INPUTS!$C$12="Beginning",(C77+D77)*INPUTS!$C$10,C77*INPUTS!$C$10))</f>
        <v/>
      </c>
      <c r="L77" s="11" t="str">
        <f>IF(A77="","",IF(INPUTS!$C$12="Beginning",(C77+D77)*(1+INPUTS!$C$10),C77*(1+INPUTS!$C$10)+D77))</f>
        <v/>
      </c>
      <c r="M77" s="15" t="str">
        <f>IF(A77="","",(1+INPUTS!$C$11)^A77)</f>
        <v/>
      </c>
      <c r="N77" s="11" t="str">
        <f t="shared" si="45"/>
        <v/>
      </c>
      <c r="O77" s="11" t="str">
        <f t="shared" si="46"/>
        <v/>
      </c>
      <c r="P77" s="11" t="str">
        <f>IF(A77="","",L77-INPUTS!$C$8-O77)</f>
        <v/>
      </c>
      <c r="Q77" s="16"/>
      <c r="R77" s="16"/>
      <c r="S77" s="16" t="str">
        <f t="shared" si="47"/>
        <v/>
      </c>
      <c r="T77" s="18" t="str">
        <f t="shared" si="48"/>
        <v/>
      </c>
      <c r="U77" s="18" t="str">
        <f t="shared" si="49"/>
        <v/>
      </c>
      <c r="V77" s="19" t="str">
        <f>IF(A77="","",FV(INPUTS!$C$10,INPUTS!$C$7-INPUTS!$C$6-A77+IF(INPUTS!$C$12="Beginning",1,0),0,-D77,0))</f>
        <v/>
      </c>
      <c r="W77" s="7"/>
      <c r="X77" s="7"/>
      <c r="Y77" s="21" t="str">
        <f>IF(A77="","",IF(INPUTS!$C$17="Yes",MIN(Y76*(1+INPUTS!$C$15)+IF(INPUTS!$C$27="Yes",(Z77-Z76)*INPUTS!$C$31+IF(AND(INPUTS!$C$28="Not yet credentialed",A77=INPUTS!$C$33),INPUTS!$C$32,0)+IF(AND(INPUTS!$C$28&lt;&gt;"FSA / FCAS",A77=INPUTS!$C$35),INPUTS!$C$34,0),0),INPUTS!$C$18),Y76*(1+INPUTS!$C$15)+IF(INPUTS!$C$27="Yes",(Z77-Z76)*INPUTS!$C$31+IF(AND(INPUTS!$C$28="Not yet credentialed",A77=INPUTS!$C$33),INPUTS!$C$32,0)+IF(AND(INPUTS!$C$28&lt;&gt;"FSA / FCAS",A77=INPUTS!$C$35),INPUTS!$C$34,0),0)))</f>
        <v/>
      </c>
      <c r="Z77" s="22" t="str">
        <f>IF(A77="","",IF(AND(INPUTS!$C$27="Yes",INPUTS!$C$28&lt;&gt;"FSA / FCAS",ISNUMBER(INPUTS!$C$37)),MIN(A77*INPUTS!$C$37,INPUTS!$C$30),0))</f>
        <v/>
      </c>
      <c r="AA77" s="21" t="str">
        <f t="shared" si="40"/>
        <v/>
      </c>
      <c r="AB77" s="21" t="str">
        <f t="shared" si="41"/>
        <v/>
      </c>
      <c r="AC77" s="21" t="str">
        <f>IF(A77="","",MIN(AB77,AP77)*'CONSTANTS &amp; REFERENCES'!$A$5+MAX(MIN(AB77,AR77)-AP77,0)*'CONSTANTS &amp; REFERENCES'!$A$6+MAX(MIN(AB77,AT77)-AR77,0)*'CONSTANTS &amp; REFERENCES'!$A$7+MAX(MIN(AB77,AV77)-AT77,0)*'CONSTANTS &amp; REFERENCES'!$A$8+MAX(MIN(AB77,AX77)-AV77,0)*'CONSTANTS &amp; REFERENCES'!$A$9+MAX(MIN(AB77,AZ77)-AX77,0)*'CONSTANTS &amp; REFERENCES'!$A$10+MAX(AB77-AZ77,0)*'CONSTANTS &amp; REFERENCES'!$A$11)</f>
        <v/>
      </c>
      <c r="AD77" s="21" t="str">
        <f>IF(AB77="","",IF(INPUTS!$C$20="Yes",AB77*INPUTS!$C$21,0))</f>
        <v/>
      </c>
      <c r="AE77" s="21" t="str">
        <f>IF(Y77="","",MIN(Y77,BC77)*'CONSTANTS &amp; REFERENCES'!$B$22)</f>
        <v/>
      </c>
      <c r="AF77" s="21" t="str">
        <f>IF(Y77="","",Y77*'CONSTANTS &amp; REFERENCES'!$B$24+MAX(0,Y77-IF(AK77="Married Filing Jointly",'CONSTANTS &amp; REFERENCES'!$C$26,IF(AK77="Married Filing Separately",'CONSTANTS &amp; REFERENCES'!$C$27,IF(AK77="Head of Household",'CONSTANTS &amp; REFERENCES'!$C$28,'CONSTANTS &amp; REFERENCES'!$C$25))))*'CONSTANTS &amp; REFERENCES'!$B$25)</f>
        <v/>
      </c>
      <c r="AG77" s="21" t="str">
        <f t="shared" si="50"/>
        <v/>
      </c>
      <c r="AH77" s="21" t="str">
        <f t="shared" si="51"/>
        <v/>
      </c>
      <c r="AI77" s="21" t="str">
        <f t="shared" si="52"/>
        <v/>
      </c>
      <c r="AJ77" s="21" t="str">
        <f t="shared" si="53"/>
        <v/>
      </c>
      <c r="AK77" s="7" t="str">
        <f>IF(A77="","",IF(AND(INPUTS!$C$43="Yes",A77&gt;=INPUTS!$C$45),INPUTS!$C$44,INPUTS!$C$19))</f>
        <v/>
      </c>
      <c r="AL77" s="23" t="str">
        <f t="shared" si="42"/>
        <v/>
      </c>
      <c r="AM77" s="24" t="str">
        <f>IF(A77="","",(IF(OR(AK77="Single",AK77="Married Filing Separately"),'CONSTANTS &amp; REFERENCES'!$B$13,IF(AK77="Married Filing Jointly",'CONSTANTS &amp; REFERENCES'!$G$13,IF(AK77="Head of Household",'CONSTANTS &amp; REFERENCES'!$L$13,""))))*AL77)</f>
        <v/>
      </c>
      <c r="AN77" s="21" t="str">
        <f>IF(AM77="","",IF(A77=0,IF(OR(AK77="Single",AK77="Married Filing Separately"),'CONSTANTS &amp; REFERENCES'!$B$13,IF(AK77="Married Filing Jointly",'CONSTANTS &amp; REFERENCES'!$G$13,IF(AK77="Head of Household",'CONSTANTS &amp; REFERENCES'!$L$13,""))),_xlfn.FLOOR.MATH(AM77,IF(AK77="Married Filing Separately",Bracket_Round_MFS,Bracket_Round_Standard))))</f>
        <v/>
      </c>
      <c r="AO77" s="24" t="str">
        <f>IF(A77="","",(IF(OR(AK77="Single",AK77="Married Filing Separately"),'CONSTANTS &amp; REFERENCES'!$C$5,IF(AK77="Married Filing Jointly",'CONSTANTS &amp; REFERENCES'!$H$5,IF(AK77="Head of Household",'CONSTANTS &amp; REFERENCES'!$M$5,""))))*AL77)</f>
        <v/>
      </c>
      <c r="AP77" s="21" t="str">
        <f>IF(AO77="","",IF(A77=0,IF(OR(AK77="Single",AK77="Married Filing Separately"),'CONSTANTS &amp; REFERENCES'!$C$5,IF(AK77="Married Filing Jointly",'CONSTANTS &amp; REFERENCES'!$H$5,IF(AK77="Head of Household",'CONSTANTS &amp; REFERENCES'!$M$5,""))),_xlfn.FLOOR.MATH(AO77,IF(AK77="Married Filing Separately",Bracket_Round_MFS,Bracket_Round_Standard))))</f>
        <v/>
      </c>
      <c r="AQ77" s="24" t="str">
        <f>IF(A77="","",(IF(OR(AK77="Single",AK77="Married Filing Separately"),'CONSTANTS &amp; REFERENCES'!$C$6,IF(AK77="Married Filing Jointly",'CONSTANTS &amp; REFERENCES'!$H$6,IF(AK77="Head of Household",'CONSTANTS &amp; REFERENCES'!$M$6,""))))*AL77)</f>
        <v/>
      </c>
      <c r="AR77" s="21" t="str">
        <f>IF(AQ77="","",IF(A77=0,IF(OR(AK77="Single",AK77="Married Filing Separately"),'CONSTANTS &amp; REFERENCES'!$C$6,IF(AK77="Married Filing Jointly",'CONSTANTS &amp; REFERENCES'!$H$6,IF(AK77="Head of Household",'CONSTANTS &amp; REFERENCES'!$M$6,""))),_xlfn.FLOOR.MATH(AQ77,IF(AK77="Married Filing Separately",Bracket_Round_MFS,Bracket_Round_Standard))))</f>
        <v/>
      </c>
      <c r="AS77" s="24" t="str">
        <f>IF(A77="","",(IF(OR(AK77="Single",AK77="Married Filing Separately"),'CONSTANTS &amp; REFERENCES'!$C$7,IF(AK77="Married Filing Jointly",'CONSTANTS &amp; REFERENCES'!$H$7,IF(AK77="Head of Household",'CONSTANTS &amp; REFERENCES'!$M$7,""))))*AL77)</f>
        <v/>
      </c>
      <c r="AT77" s="21" t="str">
        <f>IF(AS77="","",IF(A77=0,IF(OR(AK77="Single",AK77="Married Filing Separately"),'CONSTANTS &amp; REFERENCES'!$C$7,IF(AK77="Married Filing Jointly",'CONSTANTS &amp; REFERENCES'!$H$7,IF(AK77="Head of Household",'CONSTANTS &amp; REFERENCES'!$M$7,""))),_xlfn.FLOOR.MATH(AS77,IF(AK77="Married Filing Separately",Bracket_Round_MFS,Bracket_Round_Standard))))</f>
        <v/>
      </c>
      <c r="AU77" s="24" t="str">
        <f>IF(A77="","",(IF(OR(AK77="Single",AK77="Married Filing Separately"),'CONSTANTS &amp; REFERENCES'!$C$8,IF(AK77="Married Filing Jointly",'CONSTANTS &amp; REFERENCES'!$H$8,IF(AK77="Head of Household",'CONSTANTS &amp; REFERENCES'!$M$8,""))))*AL77)</f>
        <v/>
      </c>
      <c r="AV77" s="21" t="str">
        <f>IF(AU77="","",IF(A77=0,IF(OR(AK77="Single",AK77="Married Filing Separately"),'CONSTANTS &amp; REFERENCES'!$C$8,IF(AK77="Married Filing Jointly",'CONSTANTS &amp; REFERENCES'!$H$8,IF(AK77="Head of Household",'CONSTANTS &amp; REFERENCES'!$M$8,""))),_xlfn.FLOOR.MATH(AU77,IF(AK77="Married Filing Separately",Bracket_Round_MFS,Bracket_Round_Standard))))</f>
        <v/>
      </c>
      <c r="AW77" s="24" t="str">
        <f>IF(A77="","",(IF(OR(AK77="Single",AK77="Married Filing Separately"),'CONSTANTS &amp; REFERENCES'!$C$9,IF(AK77="Married Filing Jointly",'CONSTANTS &amp; REFERENCES'!$H$9,IF(AK77="Head of Household",'CONSTANTS &amp; REFERENCES'!$M$9,""))))*AL77)</f>
        <v/>
      </c>
      <c r="AX77" s="21" t="str">
        <f>IF(AW77="","",IF(A77=0,IF(OR(AK77="Single",AK77="Married Filing Separately"),'CONSTANTS &amp; REFERENCES'!$C$9,IF(AK77="Married Filing Jointly",'CONSTANTS &amp; REFERENCES'!$H$9,IF(AK77="Head of Household",'CONSTANTS &amp; REFERENCES'!$M$9,""))),_xlfn.FLOOR.MATH(AW77,IF(AK77="Married Filing Separately",Bracket_Round_MFS,Bracket_Round_Standard))))</f>
        <v/>
      </c>
      <c r="AY77" s="24" t="str">
        <f>IF(A77="","",(IF(OR(AK77="Single",AK77="Married Filing Separately"),'CONSTANTS &amp; REFERENCES'!$C$10,IF(AK77="Married Filing Jointly",'CONSTANTS &amp; REFERENCES'!$H$10,IF(AK77="Head of Household",'CONSTANTS &amp; REFERENCES'!$M$10,""))))*AL77)</f>
        <v/>
      </c>
      <c r="AZ77" s="21" t="str">
        <f>IF(AY77="","",IF(A77=0,IF(OR(AK77="Single",AK77="Married Filing Separately"),'CONSTANTS &amp; REFERENCES'!$C$10,IF(AK77="Married Filing Jointly",'CONSTANTS &amp; REFERENCES'!$H$10,IF(AK77="Head of Household",'CONSTANTS &amp; REFERENCES'!$M$10,""))),_xlfn.FLOOR.MATH(AY77,IF(AK77="Married Filing Separately",Bracket_Round_MFS,Bracket_Round_Standard))))</f>
        <v/>
      </c>
      <c r="BA77" s="7" t="str">
        <f t="shared" si="43"/>
        <v/>
      </c>
      <c r="BB77" s="7" t="str">
        <f>IF(A77="","",'CONSTANTS &amp; REFERENCES'!$C$22*AL77)</f>
        <v/>
      </c>
      <c r="BC77" s="21" t="str">
        <f t="shared" si="54"/>
        <v/>
      </c>
    </row>
    <row r="78" spans="1:55" ht="18" customHeight="1" x14ac:dyDescent="0.3">
      <c r="A78" s="10" t="str">
        <f>IF(A77&lt;INPUTS!$C$7-INPUTS!$C$6,A77+1,"")</f>
        <v/>
      </c>
      <c r="B78" s="10" t="str">
        <f>IF(A78="","",INPUTS!$C$6+A78)</f>
        <v/>
      </c>
      <c r="C78" s="11" t="str">
        <f t="shared" si="44"/>
        <v/>
      </c>
      <c r="D78" s="11" t="str">
        <f>IF(A78="","",IF(A78&lt;INPUTS!$C$13,0,J78))</f>
        <v/>
      </c>
      <c r="E78" s="12" t="str">
        <f>IF(A78="","",IF(D78=0,"—",IF(Y78&lt;IF(AK78="Married Filing Jointly",'CONSTANTS &amp; REFERENCES'!$B$44,IF(AK78="Married Filing Separately",'CONSTANTS &amp; REFERENCES'!$B$45,'CONSTANTS &amp; REFERENCES'!$B$43)),"Direct","Backdoor")))</f>
        <v/>
      </c>
      <c r="F78" s="13" t="str">
        <f t="shared" si="35"/>
        <v/>
      </c>
      <c r="G78" s="14" t="str">
        <f t="shared" si="36"/>
        <v/>
      </c>
      <c r="H78" s="13" t="str">
        <f t="shared" si="37"/>
        <v/>
      </c>
      <c r="I78" s="14" t="str">
        <f t="shared" si="38"/>
        <v/>
      </c>
      <c r="J78" s="14" t="str">
        <f t="shared" si="39"/>
        <v/>
      </c>
      <c r="K78" s="11" t="str">
        <f>IF(A78="","",IF(INPUTS!$C$12="Beginning",(C78+D78)*INPUTS!$C$10,C78*INPUTS!$C$10))</f>
        <v/>
      </c>
      <c r="L78" s="11" t="str">
        <f>IF(A78="","",IF(INPUTS!$C$12="Beginning",(C78+D78)*(1+INPUTS!$C$10),C78*(1+INPUTS!$C$10)+D78))</f>
        <v/>
      </c>
      <c r="M78" s="15" t="str">
        <f>IF(A78="","",(1+INPUTS!$C$11)^A78)</f>
        <v/>
      </c>
      <c r="N78" s="11" t="str">
        <f t="shared" si="45"/>
        <v/>
      </c>
      <c r="O78" s="11" t="str">
        <f t="shared" si="46"/>
        <v/>
      </c>
      <c r="P78" s="11" t="str">
        <f>IF(A78="","",L78-INPUTS!$C$8-O78)</f>
        <v/>
      </c>
      <c r="Q78" s="16"/>
      <c r="R78" s="16"/>
      <c r="S78" s="16" t="str">
        <f t="shared" si="47"/>
        <v/>
      </c>
      <c r="T78" s="18" t="str">
        <f t="shared" si="48"/>
        <v/>
      </c>
      <c r="U78" s="18" t="str">
        <f t="shared" si="49"/>
        <v/>
      </c>
      <c r="V78" s="19" t="str">
        <f>IF(A78="","",FV(INPUTS!$C$10,INPUTS!$C$7-INPUTS!$C$6-A78+IF(INPUTS!$C$12="Beginning",1,0),0,-D78,0))</f>
        <v/>
      </c>
      <c r="W78" s="7"/>
      <c r="X78" s="7"/>
      <c r="Y78" s="21" t="str">
        <f>IF(A78="","",IF(INPUTS!$C$17="Yes",MIN(Y77*(1+INPUTS!$C$15)+IF(INPUTS!$C$27="Yes",(Z78-Z77)*INPUTS!$C$31+IF(AND(INPUTS!$C$28="Not yet credentialed",A78=INPUTS!$C$33),INPUTS!$C$32,0)+IF(AND(INPUTS!$C$28&lt;&gt;"FSA / FCAS",A78=INPUTS!$C$35),INPUTS!$C$34,0),0),INPUTS!$C$18),Y77*(1+INPUTS!$C$15)+IF(INPUTS!$C$27="Yes",(Z78-Z77)*INPUTS!$C$31+IF(AND(INPUTS!$C$28="Not yet credentialed",A78=INPUTS!$C$33),INPUTS!$C$32,0)+IF(AND(INPUTS!$C$28&lt;&gt;"FSA / FCAS",A78=INPUTS!$C$35),INPUTS!$C$34,0),0)))</f>
        <v/>
      </c>
      <c r="Z78" s="22" t="str">
        <f>IF(A78="","",IF(AND(INPUTS!$C$27="Yes",INPUTS!$C$28&lt;&gt;"FSA / FCAS",ISNUMBER(INPUTS!$C$37)),MIN(A78*INPUTS!$C$37,INPUTS!$C$30),0))</f>
        <v/>
      </c>
      <c r="AA78" s="21" t="str">
        <f t="shared" si="40"/>
        <v/>
      </c>
      <c r="AB78" s="21" t="str">
        <f t="shared" si="41"/>
        <v/>
      </c>
      <c r="AC78" s="21" t="str">
        <f>IF(A78="","",MIN(AB78,AP78)*'CONSTANTS &amp; REFERENCES'!$A$5+MAX(MIN(AB78,AR78)-AP78,0)*'CONSTANTS &amp; REFERENCES'!$A$6+MAX(MIN(AB78,AT78)-AR78,0)*'CONSTANTS &amp; REFERENCES'!$A$7+MAX(MIN(AB78,AV78)-AT78,0)*'CONSTANTS &amp; REFERENCES'!$A$8+MAX(MIN(AB78,AX78)-AV78,0)*'CONSTANTS &amp; REFERENCES'!$A$9+MAX(MIN(AB78,AZ78)-AX78,0)*'CONSTANTS &amp; REFERENCES'!$A$10+MAX(AB78-AZ78,0)*'CONSTANTS &amp; REFERENCES'!$A$11)</f>
        <v/>
      </c>
      <c r="AD78" s="21" t="str">
        <f>IF(AB78="","",IF(INPUTS!$C$20="Yes",AB78*INPUTS!$C$21,0))</f>
        <v/>
      </c>
      <c r="AE78" s="21" t="str">
        <f>IF(Y78="","",MIN(Y78,BC78)*'CONSTANTS &amp; REFERENCES'!$B$22)</f>
        <v/>
      </c>
      <c r="AF78" s="21" t="str">
        <f>IF(Y78="","",Y78*'CONSTANTS &amp; REFERENCES'!$B$24+MAX(0,Y78-IF(AK78="Married Filing Jointly",'CONSTANTS &amp; REFERENCES'!$C$26,IF(AK78="Married Filing Separately",'CONSTANTS &amp; REFERENCES'!$C$27,IF(AK78="Head of Household",'CONSTANTS &amp; REFERENCES'!$C$28,'CONSTANTS &amp; REFERENCES'!$C$25))))*'CONSTANTS &amp; REFERENCES'!$B$25)</f>
        <v/>
      </c>
      <c r="AG78" s="21" t="str">
        <f t="shared" si="50"/>
        <v/>
      </c>
      <c r="AH78" s="21" t="str">
        <f t="shared" si="51"/>
        <v/>
      </c>
      <c r="AI78" s="21" t="str">
        <f t="shared" si="52"/>
        <v/>
      </c>
      <c r="AJ78" s="21" t="str">
        <f t="shared" si="53"/>
        <v/>
      </c>
      <c r="AK78" s="7" t="str">
        <f>IF(A78="","",IF(AND(INPUTS!$C$43="Yes",A78&gt;=INPUTS!$C$45),INPUTS!$C$44,INPUTS!$C$19))</f>
        <v/>
      </c>
      <c r="AL78" s="23" t="str">
        <f t="shared" si="42"/>
        <v/>
      </c>
      <c r="AM78" s="24" t="str">
        <f>IF(A78="","",(IF(OR(AK78="Single",AK78="Married Filing Separately"),'CONSTANTS &amp; REFERENCES'!$B$13,IF(AK78="Married Filing Jointly",'CONSTANTS &amp; REFERENCES'!$G$13,IF(AK78="Head of Household",'CONSTANTS &amp; REFERENCES'!$L$13,""))))*AL78)</f>
        <v/>
      </c>
      <c r="AN78" s="21" t="str">
        <f>IF(AM78="","",IF(A78=0,IF(OR(AK78="Single",AK78="Married Filing Separately"),'CONSTANTS &amp; REFERENCES'!$B$13,IF(AK78="Married Filing Jointly",'CONSTANTS &amp; REFERENCES'!$G$13,IF(AK78="Head of Household",'CONSTANTS &amp; REFERENCES'!$L$13,""))),_xlfn.FLOOR.MATH(AM78,IF(AK78="Married Filing Separately",Bracket_Round_MFS,Bracket_Round_Standard))))</f>
        <v/>
      </c>
      <c r="AO78" s="24" t="str">
        <f>IF(A78="","",(IF(OR(AK78="Single",AK78="Married Filing Separately"),'CONSTANTS &amp; REFERENCES'!$C$5,IF(AK78="Married Filing Jointly",'CONSTANTS &amp; REFERENCES'!$H$5,IF(AK78="Head of Household",'CONSTANTS &amp; REFERENCES'!$M$5,""))))*AL78)</f>
        <v/>
      </c>
      <c r="AP78" s="21" t="str">
        <f>IF(AO78="","",IF(A78=0,IF(OR(AK78="Single",AK78="Married Filing Separately"),'CONSTANTS &amp; REFERENCES'!$C$5,IF(AK78="Married Filing Jointly",'CONSTANTS &amp; REFERENCES'!$H$5,IF(AK78="Head of Household",'CONSTANTS &amp; REFERENCES'!$M$5,""))),_xlfn.FLOOR.MATH(AO78,IF(AK78="Married Filing Separately",Bracket_Round_MFS,Bracket_Round_Standard))))</f>
        <v/>
      </c>
      <c r="AQ78" s="24" t="str">
        <f>IF(A78="","",(IF(OR(AK78="Single",AK78="Married Filing Separately"),'CONSTANTS &amp; REFERENCES'!$C$6,IF(AK78="Married Filing Jointly",'CONSTANTS &amp; REFERENCES'!$H$6,IF(AK78="Head of Household",'CONSTANTS &amp; REFERENCES'!$M$6,""))))*AL78)</f>
        <v/>
      </c>
      <c r="AR78" s="21" t="str">
        <f>IF(AQ78="","",IF(A78=0,IF(OR(AK78="Single",AK78="Married Filing Separately"),'CONSTANTS &amp; REFERENCES'!$C$6,IF(AK78="Married Filing Jointly",'CONSTANTS &amp; REFERENCES'!$H$6,IF(AK78="Head of Household",'CONSTANTS &amp; REFERENCES'!$M$6,""))),_xlfn.FLOOR.MATH(AQ78,IF(AK78="Married Filing Separately",Bracket_Round_MFS,Bracket_Round_Standard))))</f>
        <v/>
      </c>
      <c r="AS78" s="24" t="str">
        <f>IF(A78="","",(IF(OR(AK78="Single",AK78="Married Filing Separately"),'CONSTANTS &amp; REFERENCES'!$C$7,IF(AK78="Married Filing Jointly",'CONSTANTS &amp; REFERENCES'!$H$7,IF(AK78="Head of Household",'CONSTANTS &amp; REFERENCES'!$M$7,""))))*AL78)</f>
        <v/>
      </c>
      <c r="AT78" s="21" t="str">
        <f>IF(AS78="","",IF(A78=0,IF(OR(AK78="Single",AK78="Married Filing Separately"),'CONSTANTS &amp; REFERENCES'!$C$7,IF(AK78="Married Filing Jointly",'CONSTANTS &amp; REFERENCES'!$H$7,IF(AK78="Head of Household",'CONSTANTS &amp; REFERENCES'!$M$7,""))),_xlfn.FLOOR.MATH(AS78,IF(AK78="Married Filing Separately",Bracket_Round_MFS,Bracket_Round_Standard))))</f>
        <v/>
      </c>
      <c r="AU78" s="24" t="str">
        <f>IF(A78="","",(IF(OR(AK78="Single",AK78="Married Filing Separately"),'CONSTANTS &amp; REFERENCES'!$C$8,IF(AK78="Married Filing Jointly",'CONSTANTS &amp; REFERENCES'!$H$8,IF(AK78="Head of Household",'CONSTANTS &amp; REFERENCES'!$M$8,""))))*AL78)</f>
        <v/>
      </c>
      <c r="AV78" s="21" t="str">
        <f>IF(AU78="","",IF(A78=0,IF(OR(AK78="Single",AK78="Married Filing Separately"),'CONSTANTS &amp; REFERENCES'!$C$8,IF(AK78="Married Filing Jointly",'CONSTANTS &amp; REFERENCES'!$H$8,IF(AK78="Head of Household",'CONSTANTS &amp; REFERENCES'!$M$8,""))),_xlfn.FLOOR.MATH(AU78,IF(AK78="Married Filing Separately",Bracket_Round_MFS,Bracket_Round_Standard))))</f>
        <v/>
      </c>
      <c r="AW78" s="24" t="str">
        <f>IF(A78="","",(IF(OR(AK78="Single",AK78="Married Filing Separately"),'CONSTANTS &amp; REFERENCES'!$C$9,IF(AK78="Married Filing Jointly",'CONSTANTS &amp; REFERENCES'!$H$9,IF(AK78="Head of Household",'CONSTANTS &amp; REFERENCES'!$M$9,""))))*AL78)</f>
        <v/>
      </c>
      <c r="AX78" s="21" t="str">
        <f>IF(AW78="","",IF(A78=0,IF(OR(AK78="Single",AK78="Married Filing Separately"),'CONSTANTS &amp; REFERENCES'!$C$9,IF(AK78="Married Filing Jointly",'CONSTANTS &amp; REFERENCES'!$H$9,IF(AK78="Head of Household",'CONSTANTS &amp; REFERENCES'!$M$9,""))),_xlfn.FLOOR.MATH(AW78,IF(AK78="Married Filing Separately",Bracket_Round_MFS,Bracket_Round_Standard))))</f>
        <v/>
      </c>
      <c r="AY78" s="24" t="str">
        <f>IF(A78="","",(IF(OR(AK78="Single",AK78="Married Filing Separately"),'CONSTANTS &amp; REFERENCES'!$C$10,IF(AK78="Married Filing Jointly",'CONSTANTS &amp; REFERENCES'!$H$10,IF(AK78="Head of Household",'CONSTANTS &amp; REFERENCES'!$M$10,""))))*AL78)</f>
        <v/>
      </c>
      <c r="AZ78" s="21" t="str">
        <f>IF(AY78="","",IF(A78=0,IF(OR(AK78="Single",AK78="Married Filing Separately"),'CONSTANTS &amp; REFERENCES'!$C$10,IF(AK78="Married Filing Jointly",'CONSTANTS &amp; REFERENCES'!$H$10,IF(AK78="Head of Household",'CONSTANTS &amp; REFERENCES'!$M$10,""))),_xlfn.FLOOR.MATH(AY78,IF(AK78="Married Filing Separately",Bracket_Round_MFS,Bracket_Round_Standard))))</f>
        <v/>
      </c>
      <c r="BA78" s="7" t="str">
        <f t="shared" si="43"/>
        <v/>
      </c>
      <c r="BB78" s="7" t="str">
        <f>IF(A78="","",'CONSTANTS &amp; REFERENCES'!$C$22*AL78)</f>
        <v/>
      </c>
      <c r="BC78" s="21" t="str">
        <f t="shared" si="54"/>
        <v/>
      </c>
    </row>
    <row r="79" spans="1:55" ht="18" customHeight="1" x14ac:dyDescent="0.3">
      <c r="A79" s="10" t="str">
        <f>IF(A78&lt;INPUTS!$C$7-INPUTS!$C$6,A78+1,"")</f>
        <v/>
      </c>
      <c r="B79" s="10" t="str">
        <f>IF(A79="","",INPUTS!$C$6+A79)</f>
        <v/>
      </c>
      <c r="C79" s="11" t="str">
        <f t="shared" si="44"/>
        <v/>
      </c>
      <c r="D79" s="11" t="str">
        <f>IF(A79="","",IF(A79&lt;INPUTS!$C$13,0,J79))</f>
        <v/>
      </c>
      <c r="E79" s="12" t="str">
        <f>IF(A79="","",IF(D79=0,"—",IF(Y79&lt;IF(AK79="Married Filing Jointly",'CONSTANTS &amp; REFERENCES'!$B$44,IF(AK79="Married Filing Separately",'CONSTANTS &amp; REFERENCES'!$B$45,'CONSTANTS &amp; REFERENCES'!$B$43)),"Direct","Backdoor")))</f>
        <v/>
      </c>
      <c r="F79" s="13" t="str">
        <f t="shared" si="35"/>
        <v/>
      </c>
      <c r="G79" s="14" t="str">
        <f t="shared" si="36"/>
        <v/>
      </c>
      <c r="H79" s="13" t="str">
        <f t="shared" si="37"/>
        <v/>
      </c>
      <c r="I79" s="14" t="str">
        <f t="shared" si="38"/>
        <v/>
      </c>
      <c r="J79" s="14" t="str">
        <f t="shared" si="39"/>
        <v/>
      </c>
      <c r="K79" s="11" t="str">
        <f>IF(A79="","",IF(INPUTS!$C$12="Beginning",(C79+D79)*INPUTS!$C$10,C79*INPUTS!$C$10))</f>
        <v/>
      </c>
      <c r="L79" s="11" t="str">
        <f>IF(A79="","",IF(INPUTS!$C$12="Beginning",(C79+D79)*(1+INPUTS!$C$10),C79*(1+INPUTS!$C$10)+D79))</f>
        <v/>
      </c>
      <c r="M79" s="15" t="str">
        <f>IF(A79="","",(1+INPUTS!$C$11)^A79)</f>
        <v/>
      </c>
      <c r="N79" s="11" t="str">
        <f t="shared" si="45"/>
        <v/>
      </c>
      <c r="O79" s="11" t="str">
        <f t="shared" si="46"/>
        <v/>
      </c>
      <c r="P79" s="11" t="str">
        <f>IF(A79="","",L79-INPUTS!$C$8-O79)</f>
        <v/>
      </c>
      <c r="Q79" s="16"/>
      <c r="R79" s="16"/>
      <c r="S79" s="16" t="str">
        <f t="shared" si="47"/>
        <v/>
      </c>
      <c r="T79" s="18" t="str">
        <f t="shared" si="48"/>
        <v/>
      </c>
      <c r="U79" s="18" t="str">
        <f t="shared" si="49"/>
        <v/>
      </c>
      <c r="V79" s="19" t="str">
        <f>IF(A79="","",FV(INPUTS!$C$10,INPUTS!$C$7-INPUTS!$C$6-A79+IF(INPUTS!$C$12="Beginning",1,0),0,-D79,0))</f>
        <v/>
      </c>
      <c r="W79" s="7"/>
      <c r="X79" s="7"/>
      <c r="Y79" s="21" t="str">
        <f>IF(A79="","",IF(INPUTS!$C$17="Yes",MIN(Y78*(1+INPUTS!$C$15)+IF(INPUTS!$C$27="Yes",(Z79-Z78)*INPUTS!$C$31+IF(AND(INPUTS!$C$28="Not yet credentialed",A79=INPUTS!$C$33),INPUTS!$C$32,0)+IF(AND(INPUTS!$C$28&lt;&gt;"FSA / FCAS",A79=INPUTS!$C$35),INPUTS!$C$34,0),0),INPUTS!$C$18),Y78*(1+INPUTS!$C$15)+IF(INPUTS!$C$27="Yes",(Z79-Z78)*INPUTS!$C$31+IF(AND(INPUTS!$C$28="Not yet credentialed",A79=INPUTS!$C$33),INPUTS!$C$32,0)+IF(AND(INPUTS!$C$28&lt;&gt;"FSA / FCAS",A79=INPUTS!$C$35),INPUTS!$C$34,0),0)))</f>
        <v/>
      </c>
      <c r="Z79" s="22" t="str">
        <f>IF(A79="","",IF(AND(INPUTS!$C$27="Yes",INPUTS!$C$28&lt;&gt;"FSA / FCAS",ISNUMBER(INPUTS!$C$37)),MIN(A79*INPUTS!$C$37,INPUTS!$C$30),0))</f>
        <v/>
      </c>
      <c r="AA79" s="21" t="str">
        <f t="shared" si="40"/>
        <v/>
      </c>
      <c r="AB79" s="21" t="str">
        <f t="shared" si="41"/>
        <v/>
      </c>
      <c r="AC79" s="21" t="str">
        <f>IF(A79="","",MIN(AB79,AP79)*'CONSTANTS &amp; REFERENCES'!$A$5+MAX(MIN(AB79,AR79)-AP79,0)*'CONSTANTS &amp; REFERENCES'!$A$6+MAX(MIN(AB79,AT79)-AR79,0)*'CONSTANTS &amp; REFERENCES'!$A$7+MAX(MIN(AB79,AV79)-AT79,0)*'CONSTANTS &amp; REFERENCES'!$A$8+MAX(MIN(AB79,AX79)-AV79,0)*'CONSTANTS &amp; REFERENCES'!$A$9+MAX(MIN(AB79,AZ79)-AX79,0)*'CONSTANTS &amp; REFERENCES'!$A$10+MAX(AB79-AZ79,0)*'CONSTANTS &amp; REFERENCES'!$A$11)</f>
        <v/>
      </c>
      <c r="AD79" s="21" t="str">
        <f>IF(AB79="","",IF(INPUTS!$C$20="Yes",AB79*INPUTS!$C$21,0))</f>
        <v/>
      </c>
      <c r="AE79" s="21" t="str">
        <f>IF(Y79="","",MIN(Y79,BC79)*'CONSTANTS &amp; REFERENCES'!$B$22)</f>
        <v/>
      </c>
      <c r="AF79" s="21" t="str">
        <f>IF(Y79="","",Y79*'CONSTANTS &amp; REFERENCES'!$B$24+MAX(0,Y79-IF(AK79="Married Filing Jointly",'CONSTANTS &amp; REFERENCES'!$C$26,IF(AK79="Married Filing Separately",'CONSTANTS &amp; REFERENCES'!$C$27,IF(AK79="Head of Household",'CONSTANTS &amp; REFERENCES'!$C$28,'CONSTANTS &amp; REFERENCES'!$C$25))))*'CONSTANTS &amp; REFERENCES'!$B$25)</f>
        <v/>
      </c>
      <c r="AG79" s="21" t="str">
        <f t="shared" si="50"/>
        <v/>
      </c>
      <c r="AH79" s="21" t="str">
        <f t="shared" si="51"/>
        <v/>
      </c>
      <c r="AI79" s="21" t="str">
        <f t="shared" si="52"/>
        <v/>
      </c>
      <c r="AJ79" s="21" t="str">
        <f t="shared" si="53"/>
        <v/>
      </c>
      <c r="AK79" s="7" t="str">
        <f>IF(A79="","",IF(AND(INPUTS!$C$43="Yes",A79&gt;=INPUTS!$C$45),INPUTS!$C$44,INPUTS!$C$19))</f>
        <v/>
      </c>
      <c r="AL79" s="23" t="str">
        <f t="shared" si="42"/>
        <v/>
      </c>
      <c r="AM79" s="24" t="str">
        <f>IF(A79="","",(IF(OR(AK79="Single",AK79="Married Filing Separately"),'CONSTANTS &amp; REFERENCES'!$B$13,IF(AK79="Married Filing Jointly",'CONSTANTS &amp; REFERENCES'!$G$13,IF(AK79="Head of Household",'CONSTANTS &amp; REFERENCES'!$L$13,""))))*AL79)</f>
        <v/>
      </c>
      <c r="AN79" s="21" t="str">
        <f>IF(AM79="","",IF(A79=0,IF(OR(AK79="Single",AK79="Married Filing Separately"),'CONSTANTS &amp; REFERENCES'!$B$13,IF(AK79="Married Filing Jointly",'CONSTANTS &amp; REFERENCES'!$G$13,IF(AK79="Head of Household",'CONSTANTS &amp; REFERENCES'!$L$13,""))),_xlfn.FLOOR.MATH(AM79,IF(AK79="Married Filing Separately",Bracket_Round_MFS,Bracket_Round_Standard))))</f>
        <v/>
      </c>
      <c r="AO79" s="24" t="str">
        <f>IF(A79="","",(IF(OR(AK79="Single",AK79="Married Filing Separately"),'CONSTANTS &amp; REFERENCES'!$C$5,IF(AK79="Married Filing Jointly",'CONSTANTS &amp; REFERENCES'!$H$5,IF(AK79="Head of Household",'CONSTANTS &amp; REFERENCES'!$M$5,""))))*AL79)</f>
        <v/>
      </c>
      <c r="AP79" s="21" t="str">
        <f>IF(AO79="","",IF(A79=0,IF(OR(AK79="Single",AK79="Married Filing Separately"),'CONSTANTS &amp; REFERENCES'!$C$5,IF(AK79="Married Filing Jointly",'CONSTANTS &amp; REFERENCES'!$H$5,IF(AK79="Head of Household",'CONSTANTS &amp; REFERENCES'!$M$5,""))),_xlfn.FLOOR.MATH(AO79,IF(AK79="Married Filing Separately",Bracket_Round_MFS,Bracket_Round_Standard))))</f>
        <v/>
      </c>
      <c r="AQ79" s="24" t="str">
        <f>IF(A79="","",(IF(OR(AK79="Single",AK79="Married Filing Separately"),'CONSTANTS &amp; REFERENCES'!$C$6,IF(AK79="Married Filing Jointly",'CONSTANTS &amp; REFERENCES'!$H$6,IF(AK79="Head of Household",'CONSTANTS &amp; REFERENCES'!$M$6,""))))*AL79)</f>
        <v/>
      </c>
      <c r="AR79" s="21" t="str">
        <f>IF(AQ79="","",IF(A79=0,IF(OR(AK79="Single",AK79="Married Filing Separately"),'CONSTANTS &amp; REFERENCES'!$C$6,IF(AK79="Married Filing Jointly",'CONSTANTS &amp; REFERENCES'!$H$6,IF(AK79="Head of Household",'CONSTANTS &amp; REFERENCES'!$M$6,""))),_xlfn.FLOOR.MATH(AQ79,IF(AK79="Married Filing Separately",Bracket_Round_MFS,Bracket_Round_Standard))))</f>
        <v/>
      </c>
      <c r="AS79" s="24" t="str">
        <f>IF(A79="","",(IF(OR(AK79="Single",AK79="Married Filing Separately"),'CONSTANTS &amp; REFERENCES'!$C$7,IF(AK79="Married Filing Jointly",'CONSTANTS &amp; REFERENCES'!$H$7,IF(AK79="Head of Household",'CONSTANTS &amp; REFERENCES'!$M$7,""))))*AL79)</f>
        <v/>
      </c>
      <c r="AT79" s="21" t="str">
        <f>IF(AS79="","",IF(A79=0,IF(OR(AK79="Single",AK79="Married Filing Separately"),'CONSTANTS &amp; REFERENCES'!$C$7,IF(AK79="Married Filing Jointly",'CONSTANTS &amp; REFERENCES'!$H$7,IF(AK79="Head of Household",'CONSTANTS &amp; REFERENCES'!$M$7,""))),_xlfn.FLOOR.MATH(AS79,IF(AK79="Married Filing Separately",Bracket_Round_MFS,Bracket_Round_Standard))))</f>
        <v/>
      </c>
      <c r="AU79" s="24" t="str">
        <f>IF(A79="","",(IF(OR(AK79="Single",AK79="Married Filing Separately"),'CONSTANTS &amp; REFERENCES'!$C$8,IF(AK79="Married Filing Jointly",'CONSTANTS &amp; REFERENCES'!$H$8,IF(AK79="Head of Household",'CONSTANTS &amp; REFERENCES'!$M$8,""))))*AL79)</f>
        <v/>
      </c>
      <c r="AV79" s="21" t="str">
        <f>IF(AU79="","",IF(A79=0,IF(OR(AK79="Single",AK79="Married Filing Separately"),'CONSTANTS &amp; REFERENCES'!$C$8,IF(AK79="Married Filing Jointly",'CONSTANTS &amp; REFERENCES'!$H$8,IF(AK79="Head of Household",'CONSTANTS &amp; REFERENCES'!$M$8,""))),_xlfn.FLOOR.MATH(AU79,IF(AK79="Married Filing Separately",Bracket_Round_MFS,Bracket_Round_Standard))))</f>
        <v/>
      </c>
      <c r="AW79" s="24" t="str">
        <f>IF(A79="","",(IF(OR(AK79="Single",AK79="Married Filing Separately"),'CONSTANTS &amp; REFERENCES'!$C$9,IF(AK79="Married Filing Jointly",'CONSTANTS &amp; REFERENCES'!$H$9,IF(AK79="Head of Household",'CONSTANTS &amp; REFERENCES'!$M$9,""))))*AL79)</f>
        <v/>
      </c>
      <c r="AX79" s="21" t="str">
        <f>IF(AW79="","",IF(A79=0,IF(OR(AK79="Single",AK79="Married Filing Separately"),'CONSTANTS &amp; REFERENCES'!$C$9,IF(AK79="Married Filing Jointly",'CONSTANTS &amp; REFERENCES'!$H$9,IF(AK79="Head of Household",'CONSTANTS &amp; REFERENCES'!$M$9,""))),_xlfn.FLOOR.MATH(AW79,IF(AK79="Married Filing Separately",Bracket_Round_MFS,Bracket_Round_Standard))))</f>
        <v/>
      </c>
      <c r="AY79" s="24" t="str">
        <f>IF(A79="","",(IF(OR(AK79="Single",AK79="Married Filing Separately"),'CONSTANTS &amp; REFERENCES'!$C$10,IF(AK79="Married Filing Jointly",'CONSTANTS &amp; REFERENCES'!$H$10,IF(AK79="Head of Household",'CONSTANTS &amp; REFERENCES'!$M$10,""))))*AL79)</f>
        <v/>
      </c>
      <c r="AZ79" s="21" t="str">
        <f>IF(AY79="","",IF(A79=0,IF(OR(AK79="Single",AK79="Married Filing Separately"),'CONSTANTS &amp; REFERENCES'!$C$10,IF(AK79="Married Filing Jointly",'CONSTANTS &amp; REFERENCES'!$H$10,IF(AK79="Head of Household",'CONSTANTS &amp; REFERENCES'!$M$10,""))),_xlfn.FLOOR.MATH(AY79,IF(AK79="Married Filing Separately",Bracket_Round_MFS,Bracket_Round_Standard))))</f>
        <v/>
      </c>
      <c r="BA79" s="7" t="str">
        <f t="shared" si="43"/>
        <v/>
      </c>
      <c r="BB79" s="7" t="str">
        <f>IF(A79="","",'CONSTANTS &amp; REFERENCES'!$C$22*AL79)</f>
        <v/>
      </c>
      <c r="BC79" s="21" t="str">
        <f t="shared" si="54"/>
        <v/>
      </c>
    </row>
    <row r="80" spans="1:55" ht="18" customHeight="1" x14ac:dyDescent="0.3">
      <c r="A80" s="10" t="str">
        <f>IF(A79&lt;INPUTS!$C$7-INPUTS!$C$6,A79+1,"")</f>
        <v/>
      </c>
      <c r="B80" s="10" t="str">
        <f>IF(A80="","",INPUTS!$C$6+A80)</f>
        <v/>
      </c>
      <c r="C80" s="11" t="str">
        <f t="shared" si="44"/>
        <v/>
      </c>
      <c r="D80" s="11" t="str">
        <f>IF(A80="","",IF(A80&lt;INPUTS!$C$13,0,J80))</f>
        <v/>
      </c>
      <c r="E80" s="12" t="str">
        <f>IF(A80="","",IF(D80=0,"—",IF(Y80&lt;IF(AK80="Married Filing Jointly",'CONSTANTS &amp; REFERENCES'!$B$44,IF(AK80="Married Filing Separately",'CONSTANTS &amp; REFERENCES'!$B$45,'CONSTANTS &amp; REFERENCES'!$B$43)),"Direct","Backdoor")))</f>
        <v/>
      </c>
      <c r="F80" s="13" t="str">
        <f t="shared" si="35"/>
        <v/>
      </c>
      <c r="G80" s="14" t="str">
        <f t="shared" si="36"/>
        <v/>
      </c>
      <c r="H80" s="13" t="str">
        <f t="shared" si="37"/>
        <v/>
      </c>
      <c r="I80" s="14" t="str">
        <f t="shared" si="38"/>
        <v/>
      </c>
      <c r="J80" s="14" t="str">
        <f t="shared" si="39"/>
        <v/>
      </c>
      <c r="K80" s="11" t="str">
        <f>IF(A80="","",IF(INPUTS!$C$12="Beginning",(C80+D80)*INPUTS!$C$10,C80*INPUTS!$C$10))</f>
        <v/>
      </c>
      <c r="L80" s="11" t="str">
        <f>IF(A80="","",IF(INPUTS!$C$12="Beginning",(C80+D80)*(1+INPUTS!$C$10),C80*(1+INPUTS!$C$10)+D80))</f>
        <v/>
      </c>
      <c r="M80" s="15" t="str">
        <f>IF(A80="","",(1+INPUTS!$C$11)^A80)</f>
        <v/>
      </c>
      <c r="N80" s="11" t="str">
        <f t="shared" si="45"/>
        <v/>
      </c>
      <c r="O80" s="11" t="str">
        <f t="shared" si="46"/>
        <v/>
      </c>
      <c r="P80" s="11" t="str">
        <f>IF(A80="","",L80-INPUTS!$C$8-O80)</f>
        <v/>
      </c>
      <c r="Q80" s="16"/>
      <c r="R80" s="16"/>
      <c r="S80" s="16" t="str">
        <f t="shared" si="47"/>
        <v/>
      </c>
      <c r="T80" s="18" t="str">
        <f t="shared" si="48"/>
        <v/>
      </c>
      <c r="U80" s="18" t="str">
        <f t="shared" si="49"/>
        <v/>
      </c>
      <c r="V80" s="19" t="str">
        <f>IF(A80="","",FV(INPUTS!$C$10,INPUTS!$C$7-INPUTS!$C$6-A80+IF(INPUTS!$C$12="Beginning",1,0),0,-D80,0))</f>
        <v/>
      </c>
      <c r="W80" s="7"/>
      <c r="X80" s="7"/>
      <c r="Y80" s="21" t="str">
        <f>IF(A80="","",IF(INPUTS!$C$17="Yes",MIN(Y79*(1+INPUTS!$C$15)+IF(INPUTS!$C$27="Yes",(Z80-Z79)*INPUTS!$C$31+IF(AND(INPUTS!$C$28="Not yet credentialed",A80=INPUTS!$C$33),INPUTS!$C$32,0)+IF(AND(INPUTS!$C$28&lt;&gt;"FSA / FCAS",A80=INPUTS!$C$35),INPUTS!$C$34,0),0),INPUTS!$C$18),Y79*(1+INPUTS!$C$15)+IF(INPUTS!$C$27="Yes",(Z80-Z79)*INPUTS!$C$31+IF(AND(INPUTS!$C$28="Not yet credentialed",A80=INPUTS!$C$33),INPUTS!$C$32,0)+IF(AND(INPUTS!$C$28&lt;&gt;"FSA / FCAS",A80=INPUTS!$C$35),INPUTS!$C$34,0),0)))</f>
        <v/>
      </c>
      <c r="Z80" s="22" t="str">
        <f>IF(A80="","",IF(AND(INPUTS!$C$27="Yes",INPUTS!$C$28&lt;&gt;"FSA / FCAS",ISNUMBER(INPUTS!$C$37)),MIN(A80*INPUTS!$C$37,INPUTS!$C$30),0))</f>
        <v/>
      </c>
      <c r="AA80" s="21" t="str">
        <f t="shared" si="40"/>
        <v/>
      </c>
      <c r="AB80" s="21" t="str">
        <f t="shared" si="41"/>
        <v/>
      </c>
      <c r="AC80" s="21" t="str">
        <f>IF(A80="","",MIN(AB80,AP80)*'CONSTANTS &amp; REFERENCES'!$A$5+MAX(MIN(AB80,AR80)-AP80,0)*'CONSTANTS &amp; REFERENCES'!$A$6+MAX(MIN(AB80,AT80)-AR80,0)*'CONSTANTS &amp; REFERENCES'!$A$7+MAX(MIN(AB80,AV80)-AT80,0)*'CONSTANTS &amp; REFERENCES'!$A$8+MAX(MIN(AB80,AX80)-AV80,0)*'CONSTANTS &amp; REFERENCES'!$A$9+MAX(MIN(AB80,AZ80)-AX80,0)*'CONSTANTS &amp; REFERENCES'!$A$10+MAX(AB80-AZ80,0)*'CONSTANTS &amp; REFERENCES'!$A$11)</f>
        <v/>
      </c>
      <c r="AD80" s="21" t="str">
        <f>IF(AB80="","",IF(INPUTS!$C$20="Yes",AB80*INPUTS!$C$21,0))</f>
        <v/>
      </c>
      <c r="AE80" s="21" t="str">
        <f>IF(Y80="","",MIN(Y80,BC80)*'CONSTANTS &amp; REFERENCES'!$B$22)</f>
        <v/>
      </c>
      <c r="AF80" s="21" t="str">
        <f>IF(Y80="","",Y80*'CONSTANTS &amp; REFERENCES'!$B$24+MAX(0,Y80-IF(AK80="Married Filing Jointly",'CONSTANTS &amp; REFERENCES'!$C$26,IF(AK80="Married Filing Separately",'CONSTANTS &amp; REFERENCES'!$C$27,IF(AK80="Head of Household",'CONSTANTS &amp; REFERENCES'!$C$28,'CONSTANTS &amp; REFERENCES'!$C$25))))*'CONSTANTS &amp; REFERENCES'!$B$25)</f>
        <v/>
      </c>
      <c r="AG80" s="21" t="str">
        <f t="shared" si="50"/>
        <v/>
      </c>
      <c r="AH80" s="21" t="str">
        <f t="shared" si="51"/>
        <v/>
      </c>
      <c r="AI80" s="21" t="str">
        <f t="shared" si="52"/>
        <v/>
      </c>
      <c r="AJ80" s="21" t="str">
        <f t="shared" si="53"/>
        <v/>
      </c>
      <c r="AK80" s="7" t="str">
        <f>IF(A80="","",IF(AND(INPUTS!$C$43="Yes",A80&gt;=INPUTS!$C$45),INPUTS!$C$44,INPUTS!$C$19))</f>
        <v/>
      </c>
      <c r="AL80" s="23" t="str">
        <f t="shared" si="42"/>
        <v/>
      </c>
      <c r="AM80" s="24" t="str">
        <f>IF(A80="","",(IF(OR(AK80="Single",AK80="Married Filing Separately"),'CONSTANTS &amp; REFERENCES'!$B$13,IF(AK80="Married Filing Jointly",'CONSTANTS &amp; REFERENCES'!$G$13,IF(AK80="Head of Household",'CONSTANTS &amp; REFERENCES'!$L$13,""))))*AL80)</f>
        <v/>
      </c>
      <c r="AN80" s="21" t="str">
        <f>IF(AM80="","",IF(A80=0,IF(OR(AK80="Single",AK80="Married Filing Separately"),'CONSTANTS &amp; REFERENCES'!$B$13,IF(AK80="Married Filing Jointly",'CONSTANTS &amp; REFERENCES'!$G$13,IF(AK80="Head of Household",'CONSTANTS &amp; REFERENCES'!$L$13,""))),_xlfn.FLOOR.MATH(AM80,IF(AK80="Married Filing Separately",Bracket_Round_MFS,Bracket_Round_Standard))))</f>
        <v/>
      </c>
      <c r="AO80" s="24" t="str">
        <f>IF(A80="","",(IF(OR(AK80="Single",AK80="Married Filing Separately"),'CONSTANTS &amp; REFERENCES'!$C$5,IF(AK80="Married Filing Jointly",'CONSTANTS &amp; REFERENCES'!$H$5,IF(AK80="Head of Household",'CONSTANTS &amp; REFERENCES'!$M$5,""))))*AL80)</f>
        <v/>
      </c>
      <c r="AP80" s="21" t="str">
        <f>IF(AO80="","",IF(A80=0,IF(OR(AK80="Single",AK80="Married Filing Separately"),'CONSTANTS &amp; REFERENCES'!$C$5,IF(AK80="Married Filing Jointly",'CONSTANTS &amp; REFERENCES'!$H$5,IF(AK80="Head of Household",'CONSTANTS &amp; REFERENCES'!$M$5,""))),_xlfn.FLOOR.MATH(AO80,IF(AK80="Married Filing Separately",Bracket_Round_MFS,Bracket_Round_Standard))))</f>
        <v/>
      </c>
      <c r="AQ80" s="24" t="str">
        <f>IF(A80="","",(IF(OR(AK80="Single",AK80="Married Filing Separately"),'CONSTANTS &amp; REFERENCES'!$C$6,IF(AK80="Married Filing Jointly",'CONSTANTS &amp; REFERENCES'!$H$6,IF(AK80="Head of Household",'CONSTANTS &amp; REFERENCES'!$M$6,""))))*AL80)</f>
        <v/>
      </c>
      <c r="AR80" s="21" t="str">
        <f>IF(AQ80="","",IF(A80=0,IF(OR(AK80="Single",AK80="Married Filing Separately"),'CONSTANTS &amp; REFERENCES'!$C$6,IF(AK80="Married Filing Jointly",'CONSTANTS &amp; REFERENCES'!$H$6,IF(AK80="Head of Household",'CONSTANTS &amp; REFERENCES'!$M$6,""))),_xlfn.FLOOR.MATH(AQ80,IF(AK80="Married Filing Separately",Bracket_Round_MFS,Bracket_Round_Standard))))</f>
        <v/>
      </c>
      <c r="AS80" s="24" t="str">
        <f>IF(A80="","",(IF(OR(AK80="Single",AK80="Married Filing Separately"),'CONSTANTS &amp; REFERENCES'!$C$7,IF(AK80="Married Filing Jointly",'CONSTANTS &amp; REFERENCES'!$H$7,IF(AK80="Head of Household",'CONSTANTS &amp; REFERENCES'!$M$7,""))))*AL80)</f>
        <v/>
      </c>
      <c r="AT80" s="21" t="str">
        <f>IF(AS80="","",IF(A80=0,IF(OR(AK80="Single",AK80="Married Filing Separately"),'CONSTANTS &amp; REFERENCES'!$C$7,IF(AK80="Married Filing Jointly",'CONSTANTS &amp; REFERENCES'!$H$7,IF(AK80="Head of Household",'CONSTANTS &amp; REFERENCES'!$M$7,""))),_xlfn.FLOOR.MATH(AS80,IF(AK80="Married Filing Separately",Bracket_Round_MFS,Bracket_Round_Standard))))</f>
        <v/>
      </c>
      <c r="AU80" s="24" t="str">
        <f>IF(A80="","",(IF(OR(AK80="Single",AK80="Married Filing Separately"),'CONSTANTS &amp; REFERENCES'!$C$8,IF(AK80="Married Filing Jointly",'CONSTANTS &amp; REFERENCES'!$H$8,IF(AK80="Head of Household",'CONSTANTS &amp; REFERENCES'!$M$8,""))))*AL80)</f>
        <v/>
      </c>
      <c r="AV80" s="21" t="str">
        <f>IF(AU80="","",IF(A80=0,IF(OR(AK80="Single",AK80="Married Filing Separately"),'CONSTANTS &amp; REFERENCES'!$C$8,IF(AK80="Married Filing Jointly",'CONSTANTS &amp; REFERENCES'!$H$8,IF(AK80="Head of Household",'CONSTANTS &amp; REFERENCES'!$M$8,""))),_xlfn.FLOOR.MATH(AU80,IF(AK80="Married Filing Separately",Bracket_Round_MFS,Bracket_Round_Standard))))</f>
        <v/>
      </c>
      <c r="AW80" s="24" t="str">
        <f>IF(A80="","",(IF(OR(AK80="Single",AK80="Married Filing Separately"),'CONSTANTS &amp; REFERENCES'!$C$9,IF(AK80="Married Filing Jointly",'CONSTANTS &amp; REFERENCES'!$H$9,IF(AK80="Head of Household",'CONSTANTS &amp; REFERENCES'!$M$9,""))))*AL80)</f>
        <v/>
      </c>
      <c r="AX80" s="21" t="str">
        <f>IF(AW80="","",IF(A80=0,IF(OR(AK80="Single",AK80="Married Filing Separately"),'CONSTANTS &amp; REFERENCES'!$C$9,IF(AK80="Married Filing Jointly",'CONSTANTS &amp; REFERENCES'!$H$9,IF(AK80="Head of Household",'CONSTANTS &amp; REFERENCES'!$M$9,""))),_xlfn.FLOOR.MATH(AW80,IF(AK80="Married Filing Separately",Bracket_Round_MFS,Bracket_Round_Standard))))</f>
        <v/>
      </c>
      <c r="AY80" s="24" t="str">
        <f>IF(A80="","",(IF(OR(AK80="Single",AK80="Married Filing Separately"),'CONSTANTS &amp; REFERENCES'!$C$10,IF(AK80="Married Filing Jointly",'CONSTANTS &amp; REFERENCES'!$H$10,IF(AK80="Head of Household",'CONSTANTS &amp; REFERENCES'!$M$10,""))))*AL80)</f>
        <v/>
      </c>
      <c r="AZ80" s="21" t="str">
        <f>IF(AY80="","",IF(A80=0,IF(OR(AK80="Single",AK80="Married Filing Separately"),'CONSTANTS &amp; REFERENCES'!$C$10,IF(AK80="Married Filing Jointly",'CONSTANTS &amp; REFERENCES'!$H$10,IF(AK80="Head of Household",'CONSTANTS &amp; REFERENCES'!$M$10,""))),_xlfn.FLOOR.MATH(AY80,IF(AK80="Married Filing Separately",Bracket_Round_MFS,Bracket_Round_Standard))))</f>
        <v/>
      </c>
      <c r="BA80" s="7" t="str">
        <f t="shared" si="43"/>
        <v/>
      </c>
      <c r="BB80" s="7" t="str">
        <f>IF(A80="","",'CONSTANTS &amp; REFERENCES'!$C$22*AL80)</f>
        <v/>
      </c>
      <c r="BC80" s="21" t="str">
        <f t="shared" si="54"/>
        <v/>
      </c>
    </row>
    <row r="81" spans="1:55" ht="18" customHeight="1" x14ac:dyDescent="0.3">
      <c r="A81" s="10" t="str">
        <f>IF(A80&lt;INPUTS!$C$7-INPUTS!$C$6,A80+1,"")</f>
        <v/>
      </c>
      <c r="B81" s="10" t="str">
        <f>IF(A81="","",INPUTS!$C$6+A81)</f>
        <v/>
      </c>
      <c r="C81" s="11" t="str">
        <f t="shared" si="44"/>
        <v/>
      </c>
      <c r="D81" s="11" t="str">
        <f>IF(A81="","",IF(A81&lt;INPUTS!$C$13,0,J81))</f>
        <v/>
      </c>
      <c r="E81" s="12" t="str">
        <f>IF(A81="","",IF(D81=0,"—",IF(Y81&lt;IF(AK81="Married Filing Jointly",'CONSTANTS &amp; REFERENCES'!$B$44,IF(AK81="Married Filing Separately",'CONSTANTS &amp; REFERENCES'!$B$45,'CONSTANTS &amp; REFERENCES'!$B$43)),"Direct","Backdoor")))</f>
        <v/>
      </c>
      <c r="F81" s="13" t="str">
        <f t="shared" si="35"/>
        <v/>
      </c>
      <c r="G81" s="14" t="str">
        <f t="shared" si="36"/>
        <v/>
      </c>
      <c r="H81" s="13" t="str">
        <f t="shared" si="37"/>
        <v/>
      </c>
      <c r="I81" s="14" t="str">
        <f t="shared" si="38"/>
        <v/>
      </c>
      <c r="J81" s="14" t="str">
        <f t="shared" si="39"/>
        <v/>
      </c>
      <c r="K81" s="11" t="str">
        <f>IF(A81="","",IF(INPUTS!$C$12="Beginning",(C81+D81)*INPUTS!$C$10,C81*INPUTS!$C$10))</f>
        <v/>
      </c>
      <c r="L81" s="11" t="str">
        <f>IF(A81="","",IF(INPUTS!$C$12="Beginning",(C81+D81)*(1+INPUTS!$C$10),C81*(1+INPUTS!$C$10)+D81))</f>
        <v/>
      </c>
      <c r="M81" s="15" t="str">
        <f>IF(A81="","",(1+INPUTS!$C$11)^A81)</f>
        <v/>
      </c>
      <c r="N81" s="11" t="str">
        <f t="shared" si="45"/>
        <v/>
      </c>
      <c r="O81" s="11" t="str">
        <f t="shared" si="46"/>
        <v/>
      </c>
      <c r="P81" s="11" t="str">
        <f>IF(A81="","",L81-INPUTS!$C$8-O81)</f>
        <v/>
      </c>
      <c r="Q81" s="16"/>
      <c r="R81" s="16"/>
      <c r="S81" s="16" t="str">
        <f t="shared" si="47"/>
        <v/>
      </c>
      <c r="T81" s="18" t="str">
        <f t="shared" si="48"/>
        <v/>
      </c>
      <c r="U81" s="18" t="str">
        <f t="shared" si="49"/>
        <v/>
      </c>
      <c r="V81" s="19" t="str">
        <f>IF(A81="","",FV(INPUTS!$C$10,INPUTS!$C$7-INPUTS!$C$6-A81+IF(INPUTS!$C$12="Beginning",1,0),0,-D81,0))</f>
        <v/>
      </c>
      <c r="W81" s="7"/>
      <c r="X81" s="7"/>
      <c r="Y81" s="21" t="str">
        <f>IF(A81="","",IF(INPUTS!$C$17="Yes",MIN(Y80*(1+INPUTS!$C$15)+IF(INPUTS!$C$27="Yes",(Z81-Z80)*INPUTS!$C$31+IF(AND(INPUTS!$C$28="Not yet credentialed",A81=INPUTS!$C$33),INPUTS!$C$32,0)+IF(AND(INPUTS!$C$28&lt;&gt;"FSA / FCAS",A81=INPUTS!$C$35),INPUTS!$C$34,0),0),INPUTS!$C$18),Y80*(1+INPUTS!$C$15)+IF(INPUTS!$C$27="Yes",(Z81-Z80)*INPUTS!$C$31+IF(AND(INPUTS!$C$28="Not yet credentialed",A81=INPUTS!$C$33),INPUTS!$C$32,0)+IF(AND(INPUTS!$C$28&lt;&gt;"FSA / FCAS",A81=INPUTS!$C$35),INPUTS!$C$34,0),0)))</f>
        <v/>
      </c>
      <c r="Z81" s="22" t="str">
        <f>IF(A81="","",IF(AND(INPUTS!$C$27="Yes",INPUTS!$C$28&lt;&gt;"FSA / FCAS",ISNUMBER(INPUTS!$C$37)),MIN(A81*INPUTS!$C$37,INPUTS!$C$30),0))</f>
        <v/>
      </c>
      <c r="AA81" s="21" t="str">
        <f t="shared" si="40"/>
        <v/>
      </c>
      <c r="AB81" s="21" t="str">
        <f t="shared" si="41"/>
        <v/>
      </c>
      <c r="AC81" s="21" t="str">
        <f>IF(A81="","",MIN(AB81,AP81)*'CONSTANTS &amp; REFERENCES'!$A$5+MAX(MIN(AB81,AR81)-AP81,0)*'CONSTANTS &amp; REFERENCES'!$A$6+MAX(MIN(AB81,AT81)-AR81,0)*'CONSTANTS &amp; REFERENCES'!$A$7+MAX(MIN(AB81,AV81)-AT81,0)*'CONSTANTS &amp; REFERENCES'!$A$8+MAX(MIN(AB81,AX81)-AV81,0)*'CONSTANTS &amp; REFERENCES'!$A$9+MAX(MIN(AB81,AZ81)-AX81,0)*'CONSTANTS &amp; REFERENCES'!$A$10+MAX(AB81-AZ81,0)*'CONSTANTS &amp; REFERENCES'!$A$11)</f>
        <v/>
      </c>
      <c r="AD81" s="21" t="str">
        <f>IF(AB81="","",IF(INPUTS!$C$20="Yes",AB81*INPUTS!$C$21,0))</f>
        <v/>
      </c>
      <c r="AE81" s="21" t="str">
        <f>IF(Y81="","",MIN(Y81,BC81)*'CONSTANTS &amp; REFERENCES'!$B$22)</f>
        <v/>
      </c>
      <c r="AF81" s="21" t="str">
        <f>IF(Y81="","",Y81*'CONSTANTS &amp; REFERENCES'!$B$24+MAX(0,Y81-IF(AK81="Married Filing Jointly",'CONSTANTS &amp; REFERENCES'!$C$26,IF(AK81="Married Filing Separately",'CONSTANTS &amp; REFERENCES'!$C$27,IF(AK81="Head of Household",'CONSTANTS &amp; REFERENCES'!$C$28,'CONSTANTS &amp; REFERENCES'!$C$25))))*'CONSTANTS &amp; REFERENCES'!$B$25)</f>
        <v/>
      </c>
      <c r="AG81" s="21" t="str">
        <f t="shared" si="50"/>
        <v/>
      </c>
      <c r="AH81" s="21" t="str">
        <f t="shared" si="51"/>
        <v/>
      </c>
      <c r="AI81" s="21" t="str">
        <f t="shared" si="52"/>
        <v/>
      </c>
      <c r="AJ81" s="21" t="str">
        <f t="shared" si="53"/>
        <v/>
      </c>
      <c r="AK81" s="7" t="str">
        <f>IF(A81="","",IF(AND(INPUTS!$C$43="Yes",A81&gt;=INPUTS!$C$45),INPUTS!$C$44,INPUTS!$C$19))</f>
        <v/>
      </c>
      <c r="AL81" s="23" t="str">
        <f t="shared" si="42"/>
        <v/>
      </c>
      <c r="AM81" s="24" t="str">
        <f>IF(A81="","",(IF(OR(AK81="Single",AK81="Married Filing Separately"),'CONSTANTS &amp; REFERENCES'!$B$13,IF(AK81="Married Filing Jointly",'CONSTANTS &amp; REFERENCES'!$G$13,IF(AK81="Head of Household",'CONSTANTS &amp; REFERENCES'!$L$13,""))))*AL81)</f>
        <v/>
      </c>
      <c r="AN81" s="21" t="str">
        <f>IF(AM81="","",IF(A81=0,IF(OR(AK81="Single",AK81="Married Filing Separately"),'CONSTANTS &amp; REFERENCES'!$B$13,IF(AK81="Married Filing Jointly",'CONSTANTS &amp; REFERENCES'!$G$13,IF(AK81="Head of Household",'CONSTANTS &amp; REFERENCES'!$L$13,""))),_xlfn.FLOOR.MATH(AM81,IF(AK81="Married Filing Separately",Bracket_Round_MFS,Bracket_Round_Standard))))</f>
        <v/>
      </c>
      <c r="AO81" s="24" t="str">
        <f>IF(A81="","",(IF(OR(AK81="Single",AK81="Married Filing Separately"),'CONSTANTS &amp; REFERENCES'!$C$5,IF(AK81="Married Filing Jointly",'CONSTANTS &amp; REFERENCES'!$H$5,IF(AK81="Head of Household",'CONSTANTS &amp; REFERENCES'!$M$5,""))))*AL81)</f>
        <v/>
      </c>
      <c r="AP81" s="21" t="str">
        <f>IF(AO81="","",IF(A81=0,IF(OR(AK81="Single",AK81="Married Filing Separately"),'CONSTANTS &amp; REFERENCES'!$C$5,IF(AK81="Married Filing Jointly",'CONSTANTS &amp; REFERENCES'!$H$5,IF(AK81="Head of Household",'CONSTANTS &amp; REFERENCES'!$M$5,""))),_xlfn.FLOOR.MATH(AO81,IF(AK81="Married Filing Separately",Bracket_Round_MFS,Bracket_Round_Standard))))</f>
        <v/>
      </c>
      <c r="AQ81" s="24" t="str">
        <f>IF(A81="","",(IF(OR(AK81="Single",AK81="Married Filing Separately"),'CONSTANTS &amp; REFERENCES'!$C$6,IF(AK81="Married Filing Jointly",'CONSTANTS &amp; REFERENCES'!$H$6,IF(AK81="Head of Household",'CONSTANTS &amp; REFERENCES'!$M$6,""))))*AL81)</f>
        <v/>
      </c>
      <c r="AR81" s="21" t="str">
        <f>IF(AQ81="","",IF(A81=0,IF(OR(AK81="Single",AK81="Married Filing Separately"),'CONSTANTS &amp; REFERENCES'!$C$6,IF(AK81="Married Filing Jointly",'CONSTANTS &amp; REFERENCES'!$H$6,IF(AK81="Head of Household",'CONSTANTS &amp; REFERENCES'!$M$6,""))),_xlfn.FLOOR.MATH(AQ81,IF(AK81="Married Filing Separately",Bracket_Round_MFS,Bracket_Round_Standard))))</f>
        <v/>
      </c>
      <c r="AS81" s="24" t="str">
        <f>IF(A81="","",(IF(OR(AK81="Single",AK81="Married Filing Separately"),'CONSTANTS &amp; REFERENCES'!$C$7,IF(AK81="Married Filing Jointly",'CONSTANTS &amp; REFERENCES'!$H$7,IF(AK81="Head of Household",'CONSTANTS &amp; REFERENCES'!$M$7,""))))*AL81)</f>
        <v/>
      </c>
      <c r="AT81" s="21" t="str">
        <f>IF(AS81="","",IF(A81=0,IF(OR(AK81="Single",AK81="Married Filing Separately"),'CONSTANTS &amp; REFERENCES'!$C$7,IF(AK81="Married Filing Jointly",'CONSTANTS &amp; REFERENCES'!$H$7,IF(AK81="Head of Household",'CONSTANTS &amp; REFERENCES'!$M$7,""))),_xlfn.FLOOR.MATH(AS81,IF(AK81="Married Filing Separately",Bracket_Round_MFS,Bracket_Round_Standard))))</f>
        <v/>
      </c>
      <c r="AU81" s="24" t="str">
        <f>IF(A81="","",(IF(OR(AK81="Single",AK81="Married Filing Separately"),'CONSTANTS &amp; REFERENCES'!$C$8,IF(AK81="Married Filing Jointly",'CONSTANTS &amp; REFERENCES'!$H$8,IF(AK81="Head of Household",'CONSTANTS &amp; REFERENCES'!$M$8,""))))*AL81)</f>
        <v/>
      </c>
      <c r="AV81" s="21" t="str">
        <f>IF(AU81="","",IF(A81=0,IF(OR(AK81="Single",AK81="Married Filing Separately"),'CONSTANTS &amp; REFERENCES'!$C$8,IF(AK81="Married Filing Jointly",'CONSTANTS &amp; REFERENCES'!$H$8,IF(AK81="Head of Household",'CONSTANTS &amp; REFERENCES'!$M$8,""))),_xlfn.FLOOR.MATH(AU81,IF(AK81="Married Filing Separately",Bracket_Round_MFS,Bracket_Round_Standard))))</f>
        <v/>
      </c>
      <c r="AW81" s="24" t="str">
        <f>IF(A81="","",(IF(OR(AK81="Single",AK81="Married Filing Separately"),'CONSTANTS &amp; REFERENCES'!$C$9,IF(AK81="Married Filing Jointly",'CONSTANTS &amp; REFERENCES'!$H$9,IF(AK81="Head of Household",'CONSTANTS &amp; REFERENCES'!$M$9,""))))*AL81)</f>
        <v/>
      </c>
      <c r="AX81" s="21" t="str">
        <f>IF(AW81="","",IF(A81=0,IF(OR(AK81="Single",AK81="Married Filing Separately"),'CONSTANTS &amp; REFERENCES'!$C$9,IF(AK81="Married Filing Jointly",'CONSTANTS &amp; REFERENCES'!$H$9,IF(AK81="Head of Household",'CONSTANTS &amp; REFERENCES'!$M$9,""))),_xlfn.FLOOR.MATH(AW81,IF(AK81="Married Filing Separately",Bracket_Round_MFS,Bracket_Round_Standard))))</f>
        <v/>
      </c>
      <c r="AY81" s="24" t="str">
        <f>IF(A81="","",(IF(OR(AK81="Single",AK81="Married Filing Separately"),'CONSTANTS &amp; REFERENCES'!$C$10,IF(AK81="Married Filing Jointly",'CONSTANTS &amp; REFERENCES'!$H$10,IF(AK81="Head of Household",'CONSTANTS &amp; REFERENCES'!$M$10,""))))*AL81)</f>
        <v/>
      </c>
      <c r="AZ81" s="21" t="str">
        <f>IF(AY81="","",IF(A81=0,IF(OR(AK81="Single",AK81="Married Filing Separately"),'CONSTANTS &amp; REFERENCES'!$C$10,IF(AK81="Married Filing Jointly",'CONSTANTS &amp; REFERENCES'!$H$10,IF(AK81="Head of Household",'CONSTANTS &amp; REFERENCES'!$M$10,""))),_xlfn.FLOOR.MATH(AY81,IF(AK81="Married Filing Separately",Bracket_Round_MFS,Bracket_Round_Standard))))</f>
        <v/>
      </c>
      <c r="BA81" s="7" t="str">
        <f t="shared" si="43"/>
        <v/>
      </c>
      <c r="BB81" s="7" t="str">
        <f>IF(A81="","",'CONSTANTS &amp; REFERENCES'!$C$22*AL81)</f>
        <v/>
      </c>
      <c r="BC81" s="21" t="str">
        <f t="shared" si="54"/>
        <v/>
      </c>
    </row>
    <row r="82" spans="1:55" ht="18" customHeight="1" x14ac:dyDescent="0.3">
      <c r="A82" s="10" t="str">
        <f>IF(A81&lt;INPUTS!$C$7-INPUTS!$C$6,A81+1,"")</f>
        <v/>
      </c>
      <c r="B82" s="10" t="str">
        <f>IF(A82="","",INPUTS!$C$6+A82)</f>
        <v/>
      </c>
      <c r="C82" s="11" t="str">
        <f t="shared" si="44"/>
        <v/>
      </c>
      <c r="D82" s="11" t="str">
        <f>IF(A82="","",IF(A82&lt;INPUTS!$C$13,0,J82))</f>
        <v/>
      </c>
      <c r="E82" s="12" t="str">
        <f>IF(A82="","",IF(D82=0,"—",IF(Y82&lt;IF(AK82="Married Filing Jointly",'CONSTANTS &amp; REFERENCES'!$B$44,IF(AK82="Married Filing Separately",'CONSTANTS &amp; REFERENCES'!$B$45,'CONSTANTS &amp; REFERENCES'!$B$43)),"Direct","Backdoor")))</f>
        <v/>
      </c>
      <c r="F82" s="13" t="str">
        <f t="shared" si="35"/>
        <v/>
      </c>
      <c r="G82" s="14" t="str">
        <f t="shared" si="36"/>
        <v/>
      </c>
      <c r="H82" s="13" t="str">
        <f t="shared" si="37"/>
        <v/>
      </c>
      <c r="I82" s="14" t="str">
        <f t="shared" si="38"/>
        <v/>
      </c>
      <c r="J82" s="14" t="str">
        <f t="shared" si="39"/>
        <v/>
      </c>
      <c r="K82" s="11" t="str">
        <f>IF(A82="","",IF(INPUTS!$C$12="Beginning",(C82+D82)*INPUTS!$C$10,C82*INPUTS!$C$10))</f>
        <v/>
      </c>
      <c r="L82" s="11" t="str">
        <f>IF(A82="","",IF(INPUTS!$C$12="Beginning",(C82+D82)*(1+INPUTS!$C$10),C82*(1+INPUTS!$C$10)+D82))</f>
        <v/>
      </c>
      <c r="M82" s="15" t="str">
        <f>IF(A82="","",(1+INPUTS!$C$11)^A82)</f>
        <v/>
      </c>
      <c r="N82" s="11" t="str">
        <f t="shared" si="45"/>
        <v/>
      </c>
      <c r="O82" s="11" t="str">
        <f t="shared" si="46"/>
        <v/>
      </c>
      <c r="P82" s="11" t="str">
        <f>IF(A82="","",L82-INPUTS!$C$8-O82)</f>
        <v/>
      </c>
      <c r="Q82" s="16"/>
      <c r="R82" s="16"/>
      <c r="S82" s="16" t="str">
        <f t="shared" si="47"/>
        <v/>
      </c>
      <c r="T82" s="18" t="str">
        <f t="shared" si="48"/>
        <v/>
      </c>
      <c r="U82" s="18" t="str">
        <f t="shared" si="49"/>
        <v/>
      </c>
      <c r="V82" s="19" t="str">
        <f>IF(A82="","",FV(INPUTS!$C$10,INPUTS!$C$7-INPUTS!$C$6-A82+IF(INPUTS!$C$12="Beginning",1,0),0,-D82,0))</f>
        <v/>
      </c>
      <c r="W82" s="7"/>
      <c r="X82" s="7"/>
      <c r="Y82" s="21" t="str">
        <f>IF(A82="","",IF(INPUTS!$C$17="Yes",MIN(Y81*(1+INPUTS!$C$15)+IF(INPUTS!$C$27="Yes",(Z82-Z81)*INPUTS!$C$31+IF(AND(INPUTS!$C$28="Not yet credentialed",A82=INPUTS!$C$33),INPUTS!$C$32,0)+IF(AND(INPUTS!$C$28&lt;&gt;"FSA / FCAS",A82=INPUTS!$C$35),INPUTS!$C$34,0),0),INPUTS!$C$18),Y81*(1+INPUTS!$C$15)+IF(INPUTS!$C$27="Yes",(Z82-Z81)*INPUTS!$C$31+IF(AND(INPUTS!$C$28="Not yet credentialed",A82=INPUTS!$C$33),INPUTS!$C$32,0)+IF(AND(INPUTS!$C$28&lt;&gt;"FSA / FCAS",A82=INPUTS!$C$35),INPUTS!$C$34,0),0)))</f>
        <v/>
      </c>
      <c r="Z82" s="22" t="str">
        <f>IF(A82="","",IF(AND(INPUTS!$C$27="Yes",INPUTS!$C$28&lt;&gt;"FSA / FCAS",ISNUMBER(INPUTS!$C$37)),MIN(A82*INPUTS!$C$37,INPUTS!$C$30),0))</f>
        <v/>
      </c>
      <c r="AA82" s="21" t="str">
        <f t="shared" si="40"/>
        <v/>
      </c>
      <c r="AB82" s="21" t="str">
        <f t="shared" si="41"/>
        <v/>
      </c>
      <c r="AC82" s="21" t="str">
        <f>IF(A82="","",MIN(AB82,AP82)*'CONSTANTS &amp; REFERENCES'!$A$5+MAX(MIN(AB82,AR82)-AP82,0)*'CONSTANTS &amp; REFERENCES'!$A$6+MAX(MIN(AB82,AT82)-AR82,0)*'CONSTANTS &amp; REFERENCES'!$A$7+MAX(MIN(AB82,AV82)-AT82,0)*'CONSTANTS &amp; REFERENCES'!$A$8+MAX(MIN(AB82,AX82)-AV82,0)*'CONSTANTS &amp; REFERENCES'!$A$9+MAX(MIN(AB82,AZ82)-AX82,0)*'CONSTANTS &amp; REFERENCES'!$A$10+MAX(AB82-AZ82,0)*'CONSTANTS &amp; REFERENCES'!$A$11)</f>
        <v/>
      </c>
      <c r="AD82" s="21" t="str">
        <f>IF(AB82="","",IF(INPUTS!$C$20="Yes",AB82*INPUTS!$C$21,0))</f>
        <v/>
      </c>
      <c r="AE82" s="21" t="str">
        <f>IF(Y82="","",MIN(Y82,BC82)*'CONSTANTS &amp; REFERENCES'!$B$22)</f>
        <v/>
      </c>
      <c r="AF82" s="21" t="str">
        <f>IF(Y82="","",Y82*'CONSTANTS &amp; REFERENCES'!$B$24+MAX(0,Y82-IF(AK82="Married Filing Jointly",'CONSTANTS &amp; REFERENCES'!$C$26,IF(AK82="Married Filing Separately",'CONSTANTS &amp; REFERENCES'!$C$27,IF(AK82="Head of Household",'CONSTANTS &amp; REFERENCES'!$C$28,'CONSTANTS &amp; REFERENCES'!$C$25))))*'CONSTANTS &amp; REFERENCES'!$B$25)</f>
        <v/>
      </c>
      <c r="AG82" s="21" t="str">
        <f t="shared" si="50"/>
        <v/>
      </c>
      <c r="AH82" s="21" t="str">
        <f t="shared" si="51"/>
        <v/>
      </c>
      <c r="AI82" s="21" t="str">
        <f t="shared" si="52"/>
        <v/>
      </c>
      <c r="AJ82" s="21" t="str">
        <f t="shared" si="53"/>
        <v/>
      </c>
      <c r="AK82" s="7" t="str">
        <f>IF(A82="","",IF(AND(INPUTS!$C$43="Yes",A82&gt;=INPUTS!$C$45),INPUTS!$C$44,INPUTS!$C$19))</f>
        <v/>
      </c>
      <c r="AL82" s="23" t="str">
        <f t="shared" si="42"/>
        <v/>
      </c>
      <c r="AM82" s="24" t="str">
        <f>IF(A82="","",(IF(OR(AK82="Single",AK82="Married Filing Separately"),'CONSTANTS &amp; REFERENCES'!$B$13,IF(AK82="Married Filing Jointly",'CONSTANTS &amp; REFERENCES'!$G$13,IF(AK82="Head of Household",'CONSTANTS &amp; REFERENCES'!$L$13,""))))*AL82)</f>
        <v/>
      </c>
      <c r="AN82" s="21" t="str">
        <f>IF(AM82="","",IF(A82=0,IF(OR(AK82="Single",AK82="Married Filing Separately"),'CONSTANTS &amp; REFERENCES'!$B$13,IF(AK82="Married Filing Jointly",'CONSTANTS &amp; REFERENCES'!$G$13,IF(AK82="Head of Household",'CONSTANTS &amp; REFERENCES'!$L$13,""))),_xlfn.FLOOR.MATH(AM82,IF(AK82="Married Filing Separately",Bracket_Round_MFS,Bracket_Round_Standard))))</f>
        <v/>
      </c>
      <c r="AO82" s="24" t="str">
        <f>IF(A82="","",(IF(OR(AK82="Single",AK82="Married Filing Separately"),'CONSTANTS &amp; REFERENCES'!$C$5,IF(AK82="Married Filing Jointly",'CONSTANTS &amp; REFERENCES'!$H$5,IF(AK82="Head of Household",'CONSTANTS &amp; REFERENCES'!$M$5,""))))*AL82)</f>
        <v/>
      </c>
      <c r="AP82" s="21" t="str">
        <f>IF(AO82="","",IF(A82=0,IF(OR(AK82="Single",AK82="Married Filing Separately"),'CONSTANTS &amp; REFERENCES'!$C$5,IF(AK82="Married Filing Jointly",'CONSTANTS &amp; REFERENCES'!$H$5,IF(AK82="Head of Household",'CONSTANTS &amp; REFERENCES'!$M$5,""))),_xlfn.FLOOR.MATH(AO82,IF(AK82="Married Filing Separately",Bracket_Round_MFS,Bracket_Round_Standard))))</f>
        <v/>
      </c>
      <c r="AQ82" s="24" t="str">
        <f>IF(A82="","",(IF(OR(AK82="Single",AK82="Married Filing Separately"),'CONSTANTS &amp; REFERENCES'!$C$6,IF(AK82="Married Filing Jointly",'CONSTANTS &amp; REFERENCES'!$H$6,IF(AK82="Head of Household",'CONSTANTS &amp; REFERENCES'!$M$6,""))))*AL82)</f>
        <v/>
      </c>
      <c r="AR82" s="21" t="str">
        <f>IF(AQ82="","",IF(A82=0,IF(OR(AK82="Single",AK82="Married Filing Separately"),'CONSTANTS &amp; REFERENCES'!$C$6,IF(AK82="Married Filing Jointly",'CONSTANTS &amp; REFERENCES'!$H$6,IF(AK82="Head of Household",'CONSTANTS &amp; REFERENCES'!$M$6,""))),_xlfn.FLOOR.MATH(AQ82,IF(AK82="Married Filing Separately",Bracket_Round_MFS,Bracket_Round_Standard))))</f>
        <v/>
      </c>
      <c r="AS82" s="24" t="str">
        <f>IF(A82="","",(IF(OR(AK82="Single",AK82="Married Filing Separately"),'CONSTANTS &amp; REFERENCES'!$C$7,IF(AK82="Married Filing Jointly",'CONSTANTS &amp; REFERENCES'!$H$7,IF(AK82="Head of Household",'CONSTANTS &amp; REFERENCES'!$M$7,""))))*AL82)</f>
        <v/>
      </c>
      <c r="AT82" s="21" t="str">
        <f>IF(AS82="","",IF(A82=0,IF(OR(AK82="Single",AK82="Married Filing Separately"),'CONSTANTS &amp; REFERENCES'!$C$7,IF(AK82="Married Filing Jointly",'CONSTANTS &amp; REFERENCES'!$H$7,IF(AK82="Head of Household",'CONSTANTS &amp; REFERENCES'!$M$7,""))),_xlfn.FLOOR.MATH(AS82,IF(AK82="Married Filing Separately",Bracket_Round_MFS,Bracket_Round_Standard))))</f>
        <v/>
      </c>
      <c r="AU82" s="24" t="str">
        <f>IF(A82="","",(IF(OR(AK82="Single",AK82="Married Filing Separately"),'CONSTANTS &amp; REFERENCES'!$C$8,IF(AK82="Married Filing Jointly",'CONSTANTS &amp; REFERENCES'!$H$8,IF(AK82="Head of Household",'CONSTANTS &amp; REFERENCES'!$M$8,""))))*AL82)</f>
        <v/>
      </c>
      <c r="AV82" s="21" t="str">
        <f>IF(AU82="","",IF(A82=0,IF(OR(AK82="Single",AK82="Married Filing Separately"),'CONSTANTS &amp; REFERENCES'!$C$8,IF(AK82="Married Filing Jointly",'CONSTANTS &amp; REFERENCES'!$H$8,IF(AK82="Head of Household",'CONSTANTS &amp; REFERENCES'!$M$8,""))),_xlfn.FLOOR.MATH(AU82,IF(AK82="Married Filing Separately",Bracket_Round_MFS,Bracket_Round_Standard))))</f>
        <v/>
      </c>
      <c r="AW82" s="24" t="str">
        <f>IF(A82="","",(IF(OR(AK82="Single",AK82="Married Filing Separately"),'CONSTANTS &amp; REFERENCES'!$C$9,IF(AK82="Married Filing Jointly",'CONSTANTS &amp; REFERENCES'!$H$9,IF(AK82="Head of Household",'CONSTANTS &amp; REFERENCES'!$M$9,""))))*AL82)</f>
        <v/>
      </c>
      <c r="AX82" s="21" t="str">
        <f>IF(AW82="","",IF(A82=0,IF(OR(AK82="Single",AK82="Married Filing Separately"),'CONSTANTS &amp; REFERENCES'!$C$9,IF(AK82="Married Filing Jointly",'CONSTANTS &amp; REFERENCES'!$H$9,IF(AK82="Head of Household",'CONSTANTS &amp; REFERENCES'!$M$9,""))),_xlfn.FLOOR.MATH(AW82,IF(AK82="Married Filing Separately",Bracket_Round_MFS,Bracket_Round_Standard))))</f>
        <v/>
      </c>
      <c r="AY82" s="24" t="str">
        <f>IF(A82="","",(IF(OR(AK82="Single",AK82="Married Filing Separately"),'CONSTANTS &amp; REFERENCES'!$C$10,IF(AK82="Married Filing Jointly",'CONSTANTS &amp; REFERENCES'!$H$10,IF(AK82="Head of Household",'CONSTANTS &amp; REFERENCES'!$M$10,""))))*AL82)</f>
        <v/>
      </c>
      <c r="AZ82" s="21" t="str">
        <f>IF(AY82="","",IF(A82=0,IF(OR(AK82="Single",AK82="Married Filing Separately"),'CONSTANTS &amp; REFERENCES'!$C$10,IF(AK82="Married Filing Jointly",'CONSTANTS &amp; REFERENCES'!$H$10,IF(AK82="Head of Household",'CONSTANTS &amp; REFERENCES'!$M$10,""))),_xlfn.FLOOR.MATH(AY82,IF(AK82="Married Filing Separately",Bracket_Round_MFS,Bracket_Round_Standard))))</f>
        <v/>
      </c>
      <c r="BA82" s="7" t="str">
        <f t="shared" si="43"/>
        <v/>
      </c>
      <c r="BB82" s="7" t="str">
        <f>IF(A82="","",'CONSTANTS &amp; REFERENCES'!$C$22*AL82)</f>
        <v/>
      </c>
      <c r="BC82" s="21" t="str">
        <f t="shared" si="54"/>
        <v/>
      </c>
    </row>
    <row r="83" spans="1:55" ht="18" customHeight="1" x14ac:dyDescent="0.3">
      <c r="A83" s="10" t="str">
        <f>IF(A82&lt;INPUTS!$C$7-INPUTS!$C$6,A82+1,"")</f>
        <v/>
      </c>
      <c r="B83" s="10" t="str">
        <f>IF(A83="","",INPUTS!$C$6+A83)</f>
        <v/>
      </c>
      <c r="C83" s="11" t="str">
        <f t="shared" si="44"/>
        <v/>
      </c>
      <c r="D83" s="11" t="str">
        <f>IF(A83="","",IF(A83&lt;INPUTS!$C$13,0,J83))</f>
        <v/>
      </c>
      <c r="E83" s="12" t="str">
        <f>IF(A83="","",IF(D83=0,"—",IF(Y83&lt;IF(AK83="Married Filing Jointly",'CONSTANTS &amp; REFERENCES'!$B$44,IF(AK83="Married Filing Separately",'CONSTANTS &amp; REFERENCES'!$B$45,'CONSTANTS &amp; REFERENCES'!$B$43)),"Direct","Backdoor")))</f>
        <v/>
      </c>
      <c r="F83" s="13" t="str">
        <f t="shared" si="35"/>
        <v/>
      </c>
      <c r="G83" s="14" t="str">
        <f t="shared" si="36"/>
        <v/>
      </c>
      <c r="H83" s="13" t="str">
        <f t="shared" si="37"/>
        <v/>
      </c>
      <c r="I83" s="14" t="str">
        <f t="shared" si="38"/>
        <v/>
      </c>
      <c r="J83" s="14" t="str">
        <f t="shared" si="39"/>
        <v/>
      </c>
      <c r="K83" s="11" t="str">
        <f>IF(A83="","",IF(INPUTS!$C$12="Beginning",(C83+D83)*INPUTS!$C$10,C83*INPUTS!$C$10))</f>
        <v/>
      </c>
      <c r="L83" s="11" t="str">
        <f>IF(A83="","",IF(INPUTS!$C$12="Beginning",(C83+D83)*(1+INPUTS!$C$10),C83*(1+INPUTS!$C$10)+D83))</f>
        <v/>
      </c>
      <c r="M83" s="15" t="str">
        <f>IF(A83="","",(1+INPUTS!$C$11)^A83)</f>
        <v/>
      </c>
      <c r="N83" s="11" t="str">
        <f t="shared" si="45"/>
        <v/>
      </c>
      <c r="O83" s="11" t="str">
        <f t="shared" si="46"/>
        <v/>
      </c>
      <c r="P83" s="11" t="str">
        <f>IF(A83="","",L83-INPUTS!$C$8-O83)</f>
        <v/>
      </c>
      <c r="Q83" s="16"/>
      <c r="R83" s="16"/>
      <c r="S83" s="16" t="str">
        <f t="shared" si="47"/>
        <v/>
      </c>
      <c r="T83" s="18" t="str">
        <f t="shared" si="48"/>
        <v/>
      </c>
      <c r="U83" s="18" t="str">
        <f t="shared" si="49"/>
        <v/>
      </c>
      <c r="V83" s="19" t="str">
        <f>IF(A83="","",FV(INPUTS!$C$10,INPUTS!$C$7-INPUTS!$C$6-A83+IF(INPUTS!$C$12="Beginning",1,0),0,-D83,0))</f>
        <v/>
      </c>
      <c r="W83" s="7"/>
      <c r="X83" s="7"/>
      <c r="Y83" s="21" t="str">
        <f>IF(A83="","",IF(INPUTS!$C$17="Yes",MIN(Y82*(1+INPUTS!$C$15)+IF(INPUTS!$C$27="Yes",(Z83-Z82)*INPUTS!$C$31+IF(AND(INPUTS!$C$28="Not yet credentialed",A83=INPUTS!$C$33),INPUTS!$C$32,0)+IF(AND(INPUTS!$C$28&lt;&gt;"FSA / FCAS",A83=INPUTS!$C$35),INPUTS!$C$34,0),0),INPUTS!$C$18),Y82*(1+INPUTS!$C$15)+IF(INPUTS!$C$27="Yes",(Z83-Z82)*INPUTS!$C$31+IF(AND(INPUTS!$C$28="Not yet credentialed",A83=INPUTS!$C$33),INPUTS!$C$32,0)+IF(AND(INPUTS!$C$28&lt;&gt;"FSA / FCAS",A83=INPUTS!$C$35),INPUTS!$C$34,0),0)))</f>
        <v/>
      </c>
      <c r="Z83" s="22" t="str">
        <f>IF(A83="","",IF(AND(INPUTS!$C$27="Yes",INPUTS!$C$28&lt;&gt;"FSA / FCAS",ISNUMBER(INPUTS!$C$37)),MIN(A83*INPUTS!$C$37,INPUTS!$C$30),0))</f>
        <v/>
      </c>
      <c r="AA83" s="21" t="str">
        <f t="shared" si="40"/>
        <v/>
      </c>
      <c r="AB83" s="21" t="str">
        <f t="shared" si="41"/>
        <v/>
      </c>
      <c r="AC83" s="21" t="str">
        <f>IF(A83="","",MIN(AB83,AP83)*'CONSTANTS &amp; REFERENCES'!$A$5+MAX(MIN(AB83,AR83)-AP83,0)*'CONSTANTS &amp; REFERENCES'!$A$6+MAX(MIN(AB83,AT83)-AR83,0)*'CONSTANTS &amp; REFERENCES'!$A$7+MAX(MIN(AB83,AV83)-AT83,0)*'CONSTANTS &amp; REFERENCES'!$A$8+MAX(MIN(AB83,AX83)-AV83,0)*'CONSTANTS &amp; REFERENCES'!$A$9+MAX(MIN(AB83,AZ83)-AX83,0)*'CONSTANTS &amp; REFERENCES'!$A$10+MAX(AB83-AZ83,0)*'CONSTANTS &amp; REFERENCES'!$A$11)</f>
        <v/>
      </c>
      <c r="AD83" s="21" t="str">
        <f>IF(AB83="","",IF(INPUTS!$C$20="Yes",AB83*INPUTS!$C$21,0))</f>
        <v/>
      </c>
      <c r="AE83" s="21" t="str">
        <f>IF(Y83="","",MIN(Y83,BC83)*'CONSTANTS &amp; REFERENCES'!$B$22)</f>
        <v/>
      </c>
      <c r="AF83" s="21" t="str">
        <f>IF(Y83="","",Y83*'CONSTANTS &amp; REFERENCES'!$B$24+MAX(0,Y83-IF(AK83="Married Filing Jointly",'CONSTANTS &amp; REFERENCES'!$C$26,IF(AK83="Married Filing Separately",'CONSTANTS &amp; REFERENCES'!$C$27,IF(AK83="Head of Household",'CONSTANTS &amp; REFERENCES'!$C$28,'CONSTANTS &amp; REFERENCES'!$C$25))))*'CONSTANTS &amp; REFERENCES'!$B$25)</f>
        <v/>
      </c>
      <c r="AG83" s="21" t="str">
        <f t="shared" si="50"/>
        <v/>
      </c>
      <c r="AH83" s="21" t="str">
        <f t="shared" si="51"/>
        <v/>
      </c>
      <c r="AI83" s="21" t="str">
        <f t="shared" si="52"/>
        <v/>
      </c>
      <c r="AJ83" s="21" t="str">
        <f t="shared" si="53"/>
        <v/>
      </c>
      <c r="AK83" s="7" t="str">
        <f>IF(A83="","",IF(AND(INPUTS!$C$43="Yes",A83&gt;=INPUTS!$C$45),INPUTS!$C$44,INPUTS!$C$19))</f>
        <v/>
      </c>
      <c r="AL83" s="23" t="str">
        <f t="shared" si="42"/>
        <v/>
      </c>
      <c r="AM83" s="24" t="str">
        <f>IF(A83="","",(IF(OR(AK83="Single",AK83="Married Filing Separately"),'CONSTANTS &amp; REFERENCES'!$B$13,IF(AK83="Married Filing Jointly",'CONSTANTS &amp; REFERENCES'!$G$13,IF(AK83="Head of Household",'CONSTANTS &amp; REFERENCES'!$L$13,""))))*AL83)</f>
        <v/>
      </c>
      <c r="AN83" s="21" t="str">
        <f>IF(AM83="","",IF(A83=0,IF(OR(AK83="Single",AK83="Married Filing Separately"),'CONSTANTS &amp; REFERENCES'!$B$13,IF(AK83="Married Filing Jointly",'CONSTANTS &amp; REFERENCES'!$G$13,IF(AK83="Head of Household",'CONSTANTS &amp; REFERENCES'!$L$13,""))),_xlfn.FLOOR.MATH(AM83,IF(AK83="Married Filing Separately",Bracket_Round_MFS,Bracket_Round_Standard))))</f>
        <v/>
      </c>
      <c r="AO83" s="24" t="str">
        <f>IF(A83="","",(IF(OR(AK83="Single",AK83="Married Filing Separately"),'CONSTANTS &amp; REFERENCES'!$C$5,IF(AK83="Married Filing Jointly",'CONSTANTS &amp; REFERENCES'!$H$5,IF(AK83="Head of Household",'CONSTANTS &amp; REFERENCES'!$M$5,""))))*AL83)</f>
        <v/>
      </c>
      <c r="AP83" s="21" t="str">
        <f>IF(AO83="","",IF(A83=0,IF(OR(AK83="Single",AK83="Married Filing Separately"),'CONSTANTS &amp; REFERENCES'!$C$5,IF(AK83="Married Filing Jointly",'CONSTANTS &amp; REFERENCES'!$H$5,IF(AK83="Head of Household",'CONSTANTS &amp; REFERENCES'!$M$5,""))),_xlfn.FLOOR.MATH(AO83,IF(AK83="Married Filing Separately",Bracket_Round_MFS,Bracket_Round_Standard))))</f>
        <v/>
      </c>
      <c r="AQ83" s="24" t="str">
        <f>IF(A83="","",(IF(OR(AK83="Single",AK83="Married Filing Separately"),'CONSTANTS &amp; REFERENCES'!$C$6,IF(AK83="Married Filing Jointly",'CONSTANTS &amp; REFERENCES'!$H$6,IF(AK83="Head of Household",'CONSTANTS &amp; REFERENCES'!$M$6,""))))*AL83)</f>
        <v/>
      </c>
      <c r="AR83" s="21" t="str">
        <f>IF(AQ83="","",IF(A83=0,IF(OR(AK83="Single",AK83="Married Filing Separately"),'CONSTANTS &amp; REFERENCES'!$C$6,IF(AK83="Married Filing Jointly",'CONSTANTS &amp; REFERENCES'!$H$6,IF(AK83="Head of Household",'CONSTANTS &amp; REFERENCES'!$M$6,""))),_xlfn.FLOOR.MATH(AQ83,IF(AK83="Married Filing Separately",Bracket_Round_MFS,Bracket_Round_Standard))))</f>
        <v/>
      </c>
      <c r="AS83" s="24" t="str">
        <f>IF(A83="","",(IF(OR(AK83="Single",AK83="Married Filing Separately"),'CONSTANTS &amp; REFERENCES'!$C$7,IF(AK83="Married Filing Jointly",'CONSTANTS &amp; REFERENCES'!$H$7,IF(AK83="Head of Household",'CONSTANTS &amp; REFERENCES'!$M$7,""))))*AL83)</f>
        <v/>
      </c>
      <c r="AT83" s="21" t="str">
        <f>IF(AS83="","",IF(A83=0,IF(OR(AK83="Single",AK83="Married Filing Separately"),'CONSTANTS &amp; REFERENCES'!$C$7,IF(AK83="Married Filing Jointly",'CONSTANTS &amp; REFERENCES'!$H$7,IF(AK83="Head of Household",'CONSTANTS &amp; REFERENCES'!$M$7,""))),_xlfn.FLOOR.MATH(AS83,IF(AK83="Married Filing Separately",Bracket_Round_MFS,Bracket_Round_Standard))))</f>
        <v/>
      </c>
      <c r="AU83" s="24" t="str">
        <f>IF(A83="","",(IF(OR(AK83="Single",AK83="Married Filing Separately"),'CONSTANTS &amp; REFERENCES'!$C$8,IF(AK83="Married Filing Jointly",'CONSTANTS &amp; REFERENCES'!$H$8,IF(AK83="Head of Household",'CONSTANTS &amp; REFERENCES'!$M$8,""))))*AL83)</f>
        <v/>
      </c>
      <c r="AV83" s="21" t="str">
        <f>IF(AU83="","",IF(A83=0,IF(OR(AK83="Single",AK83="Married Filing Separately"),'CONSTANTS &amp; REFERENCES'!$C$8,IF(AK83="Married Filing Jointly",'CONSTANTS &amp; REFERENCES'!$H$8,IF(AK83="Head of Household",'CONSTANTS &amp; REFERENCES'!$M$8,""))),_xlfn.FLOOR.MATH(AU83,IF(AK83="Married Filing Separately",Bracket_Round_MFS,Bracket_Round_Standard))))</f>
        <v/>
      </c>
      <c r="AW83" s="24" t="str">
        <f>IF(A83="","",(IF(OR(AK83="Single",AK83="Married Filing Separately"),'CONSTANTS &amp; REFERENCES'!$C$9,IF(AK83="Married Filing Jointly",'CONSTANTS &amp; REFERENCES'!$H$9,IF(AK83="Head of Household",'CONSTANTS &amp; REFERENCES'!$M$9,""))))*AL83)</f>
        <v/>
      </c>
      <c r="AX83" s="21" t="str">
        <f>IF(AW83="","",IF(A83=0,IF(OR(AK83="Single",AK83="Married Filing Separately"),'CONSTANTS &amp; REFERENCES'!$C$9,IF(AK83="Married Filing Jointly",'CONSTANTS &amp; REFERENCES'!$H$9,IF(AK83="Head of Household",'CONSTANTS &amp; REFERENCES'!$M$9,""))),_xlfn.FLOOR.MATH(AW83,IF(AK83="Married Filing Separately",Bracket_Round_MFS,Bracket_Round_Standard))))</f>
        <v/>
      </c>
      <c r="AY83" s="24" t="str">
        <f>IF(A83="","",(IF(OR(AK83="Single",AK83="Married Filing Separately"),'CONSTANTS &amp; REFERENCES'!$C$10,IF(AK83="Married Filing Jointly",'CONSTANTS &amp; REFERENCES'!$H$10,IF(AK83="Head of Household",'CONSTANTS &amp; REFERENCES'!$M$10,""))))*AL83)</f>
        <v/>
      </c>
      <c r="AZ83" s="21" t="str">
        <f>IF(AY83="","",IF(A83=0,IF(OR(AK83="Single",AK83="Married Filing Separately"),'CONSTANTS &amp; REFERENCES'!$C$10,IF(AK83="Married Filing Jointly",'CONSTANTS &amp; REFERENCES'!$H$10,IF(AK83="Head of Household",'CONSTANTS &amp; REFERENCES'!$M$10,""))),_xlfn.FLOOR.MATH(AY83,IF(AK83="Married Filing Separately",Bracket_Round_MFS,Bracket_Round_Standard))))</f>
        <v/>
      </c>
      <c r="BA83" s="7" t="str">
        <f t="shared" si="43"/>
        <v/>
      </c>
      <c r="BB83" s="7" t="str">
        <f>IF(A83="","",'CONSTANTS &amp; REFERENCES'!$C$22*AL83)</f>
        <v/>
      </c>
      <c r="BC83" s="21" t="str">
        <f t="shared" si="54"/>
        <v/>
      </c>
    </row>
    <row r="84" spans="1:55" ht="18" customHeight="1" x14ac:dyDescent="0.3">
      <c r="A84" s="10" t="str">
        <f>IF(A83&lt;INPUTS!$C$7-INPUTS!$C$6,A83+1,"")</f>
        <v/>
      </c>
      <c r="B84" s="10" t="str">
        <f>IF(A84="","",INPUTS!$C$6+A84)</f>
        <v/>
      </c>
      <c r="C84" s="11" t="str">
        <f t="shared" si="44"/>
        <v/>
      </c>
      <c r="D84" s="11" t="str">
        <f>IF(A84="","",IF(A84&lt;INPUTS!$C$13,0,J84))</f>
        <v/>
      </c>
      <c r="E84" s="12" t="str">
        <f>IF(A84="","",IF(D84=0,"—",IF(Y84&lt;IF(AK84="Married Filing Jointly",'CONSTANTS &amp; REFERENCES'!$B$44,IF(AK84="Married Filing Separately",'CONSTANTS &amp; REFERENCES'!$B$45,'CONSTANTS &amp; REFERENCES'!$B$43)),"Direct","Backdoor")))</f>
        <v/>
      </c>
      <c r="F84" s="13" t="str">
        <f t="shared" si="35"/>
        <v/>
      </c>
      <c r="G84" s="14" t="str">
        <f t="shared" si="36"/>
        <v/>
      </c>
      <c r="H84" s="13" t="str">
        <f t="shared" si="37"/>
        <v/>
      </c>
      <c r="I84" s="14" t="str">
        <f t="shared" si="38"/>
        <v/>
      </c>
      <c r="J84" s="14" t="str">
        <f t="shared" si="39"/>
        <v/>
      </c>
      <c r="K84" s="11" t="str">
        <f>IF(A84="","",IF(INPUTS!$C$12="Beginning",(C84+D84)*INPUTS!$C$10,C84*INPUTS!$C$10))</f>
        <v/>
      </c>
      <c r="L84" s="11" t="str">
        <f>IF(A84="","",IF(INPUTS!$C$12="Beginning",(C84+D84)*(1+INPUTS!$C$10),C84*(1+INPUTS!$C$10)+D84))</f>
        <v/>
      </c>
      <c r="M84" s="15" t="str">
        <f>IF(A84="","",(1+INPUTS!$C$11)^A84)</f>
        <v/>
      </c>
      <c r="N84" s="11" t="str">
        <f t="shared" si="45"/>
        <v/>
      </c>
      <c r="O84" s="11" t="str">
        <f t="shared" si="46"/>
        <v/>
      </c>
      <c r="P84" s="11" t="str">
        <f>IF(A84="","",L84-INPUTS!$C$8-O84)</f>
        <v/>
      </c>
      <c r="Q84" s="16"/>
      <c r="R84" s="16"/>
      <c r="S84" s="16" t="str">
        <f t="shared" si="47"/>
        <v/>
      </c>
      <c r="T84" s="18" t="str">
        <f t="shared" si="48"/>
        <v/>
      </c>
      <c r="U84" s="18" t="str">
        <f t="shared" si="49"/>
        <v/>
      </c>
      <c r="V84" s="19" t="str">
        <f>IF(A84="","",FV(INPUTS!$C$10,INPUTS!$C$7-INPUTS!$C$6-A84+IF(INPUTS!$C$12="Beginning",1,0),0,-D84,0))</f>
        <v/>
      </c>
      <c r="W84" s="7"/>
      <c r="X84" s="7"/>
      <c r="Y84" s="21" t="str">
        <f>IF(A84="","",IF(INPUTS!$C$17="Yes",MIN(Y83*(1+INPUTS!$C$15)+IF(INPUTS!$C$27="Yes",(Z84-Z83)*INPUTS!$C$31+IF(AND(INPUTS!$C$28="Not yet credentialed",A84=INPUTS!$C$33),INPUTS!$C$32,0)+IF(AND(INPUTS!$C$28&lt;&gt;"FSA / FCAS",A84=INPUTS!$C$35),INPUTS!$C$34,0),0),INPUTS!$C$18),Y83*(1+INPUTS!$C$15)+IF(INPUTS!$C$27="Yes",(Z84-Z83)*INPUTS!$C$31+IF(AND(INPUTS!$C$28="Not yet credentialed",A84=INPUTS!$C$33),INPUTS!$C$32,0)+IF(AND(INPUTS!$C$28&lt;&gt;"FSA / FCAS",A84=INPUTS!$C$35),INPUTS!$C$34,0),0)))</f>
        <v/>
      </c>
      <c r="Z84" s="22" t="str">
        <f>IF(A84="","",IF(AND(INPUTS!$C$27="Yes",INPUTS!$C$28&lt;&gt;"FSA / FCAS",ISNUMBER(INPUTS!$C$37)),MIN(A84*INPUTS!$C$37,INPUTS!$C$30),0))</f>
        <v/>
      </c>
      <c r="AA84" s="21" t="str">
        <f t="shared" si="40"/>
        <v/>
      </c>
      <c r="AB84" s="21" t="str">
        <f t="shared" si="41"/>
        <v/>
      </c>
      <c r="AC84" s="21" t="str">
        <f>IF(A84="","",MIN(AB84,AP84)*'CONSTANTS &amp; REFERENCES'!$A$5+MAX(MIN(AB84,AR84)-AP84,0)*'CONSTANTS &amp; REFERENCES'!$A$6+MAX(MIN(AB84,AT84)-AR84,0)*'CONSTANTS &amp; REFERENCES'!$A$7+MAX(MIN(AB84,AV84)-AT84,0)*'CONSTANTS &amp; REFERENCES'!$A$8+MAX(MIN(AB84,AX84)-AV84,0)*'CONSTANTS &amp; REFERENCES'!$A$9+MAX(MIN(AB84,AZ84)-AX84,0)*'CONSTANTS &amp; REFERENCES'!$A$10+MAX(AB84-AZ84,0)*'CONSTANTS &amp; REFERENCES'!$A$11)</f>
        <v/>
      </c>
      <c r="AD84" s="21" t="str">
        <f>IF(AB84="","",IF(INPUTS!$C$20="Yes",AB84*INPUTS!$C$21,0))</f>
        <v/>
      </c>
      <c r="AE84" s="21" t="str">
        <f>IF(Y84="","",MIN(Y84,BC84)*'CONSTANTS &amp; REFERENCES'!$B$22)</f>
        <v/>
      </c>
      <c r="AF84" s="21" t="str">
        <f>IF(Y84="","",Y84*'CONSTANTS &amp; REFERENCES'!$B$24+MAX(0,Y84-IF(AK84="Married Filing Jointly",'CONSTANTS &amp; REFERENCES'!$C$26,IF(AK84="Married Filing Separately",'CONSTANTS &amp; REFERENCES'!$C$27,IF(AK84="Head of Household",'CONSTANTS &amp; REFERENCES'!$C$28,'CONSTANTS &amp; REFERENCES'!$C$25))))*'CONSTANTS &amp; REFERENCES'!$B$25)</f>
        <v/>
      </c>
      <c r="AG84" s="21" t="str">
        <f t="shared" si="50"/>
        <v/>
      </c>
      <c r="AH84" s="21" t="str">
        <f t="shared" si="51"/>
        <v/>
      </c>
      <c r="AI84" s="21" t="str">
        <f t="shared" si="52"/>
        <v/>
      </c>
      <c r="AJ84" s="21" t="str">
        <f t="shared" si="53"/>
        <v/>
      </c>
      <c r="AK84" s="7" t="str">
        <f>IF(A84="","",IF(AND(INPUTS!$C$43="Yes",A84&gt;=INPUTS!$C$45),INPUTS!$C$44,INPUTS!$C$19))</f>
        <v/>
      </c>
      <c r="AL84" s="23" t="str">
        <f t="shared" si="42"/>
        <v/>
      </c>
      <c r="AM84" s="24" t="str">
        <f>IF(A84="","",(IF(OR(AK84="Single",AK84="Married Filing Separately"),'CONSTANTS &amp; REFERENCES'!$B$13,IF(AK84="Married Filing Jointly",'CONSTANTS &amp; REFERENCES'!$G$13,IF(AK84="Head of Household",'CONSTANTS &amp; REFERENCES'!$L$13,""))))*AL84)</f>
        <v/>
      </c>
      <c r="AN84" s="21" t="str">
        <f>IF(AM84="","",IF(A84=0,IF(OR(AK84="Single",AK84="Married Filing Separately"),'CONSTANTS &amp; REFERENCES'!$B$13,IF(AK84="Married Filing Jointly",'CONSTANTS &amp; REFERENCES'!$G$13,IF(AK84="Head of Household",'CONSTANTS &amp; REFERENCES'!$L$13,""))),_xlfn.FLOOR.MATH(AM84,IF(AK84="Married Filing Separately",Bracket_Round_MFS,Bracket_Round_Standard))))</f>
        <v/>
      </c>
      <c r="AO84" s="24" t="str">
        <f>IF(A84="","",(IF(OR(AK84="Single",AK84="Married Filing Separately"),'CONSTANTS &amp; REFERENCES'!$C$5,IF(AK84="Married Filing Jointly",'CONSTANTS &amp; REFERENCES'!$H$5,IF(AK84="Head of Household",'CONSTANTS &amp; REFERENCES'!$M$5,""))))*AL84)</f>
        <v/>
      </c>
      <c r="AP84" s="21" t="str">
        <f>IF(AO84="","",IF(A84=0,IF(OR(AK84="Single",AK84="Married Filing Separately"),'CONSTANTS &amp; REFERENCES'!$C$5,IF(AK84="Married Filing Jointly",'CONSTANTS &amp; REFERENCES'!$H$5,IF(AK84="Head of Household",'CONSTANTS &amp; REFERENCES'!$M$5,""))),_xlfn.FLOOR.MATH(AO84,IF(AK84="Married Filing Separately",Bracket_Round_MFS,Bracket_Round_Standard))))</f>
        <v/>
      </c>
      <c r="AQ84" s="24" t="str">
        <f>IF(A84="","",(IF(OR(AK84="Single",AK84="Married Filing Separately"),'CONSTANTS &amp; REFERENCES'!$C$6,IF(AK84="Married Filing Jointly",'CONSTANTS &amp; REFERENCES'!$H$6,IF(AK84="Head of Household",'CONSTANTS &amp; REFERENCES'!$M$6,""))))*AL84)</f>
        <v/>
      </c>
      <c r="AR84" s="21" t="str">
        <f>IF(AQ84="","",IF(A84=0,IF(OR(AK84="Single",AK84="Married Filing Separately"),'CONSTANTS &amp; REFERENCES'!$C$6,IF(AK84="Married Filing Jointly",'CONSTANTS &amp; REFERENCES'!$H$6,IF(AK84="Head of Household",'CONSTANTS &amp; REFERENCES'!$M$6,""))),_xlfn.FLOOR.MATH(AQ84,IF(AK84="Married Filing Separately",Bracket_Round_MFS,Bracket_Round_Standard))))</f>
        <v/>
      </c>
      <c r="AS84" s="24" t="str">
        <f>IF(A84="","",(IF(OR(AK84="Single",AK84="Married Filing Separately"),'CONSTANTS &amp; REFERENCES'!$C$7,IF(AK84="Married Filing Jointly",'CONSTANTS &amp; REFERENCES'!$H$7,IF(AK84="Head of Household",'CONSTANTS &amp; REFERENCES'!$M$7,""))))*AL84)</f>
        <v/>
      </c>
      <c r="AT84" s="21" t="str">
        <f>IF(AS84="","",IF(A84=0,IF(OR(AK84="Single",AK84="Married Filing Separately"),'CONSTANTS &amp; REFERENCES'!$C$7,IF(AK84="Married Filing Jointly",'CONSTANTS &amp; REFERENCES'!$H$7,IF(AK84="Head of Household",'CONSTANTS &amp; REFERENCES'!$M$7,""))),_xlfn.FLOOR.MATH(AS84,IF(AK84="Married Filing Separately",Bracket_Round_MFS,Bracket_Round_Standard))))</f>
        <v/>
      </c>
      <c r="AU84" s="24" t="str">
        <f>IF(A84="","",(IF(OR(AK84="Single",AK84="Married Filing Separately"),'CONSTANTS &amp; REFERENCES'!$C$8,IF(AK84="Married Filing Jointly",'CONSTANTS &amp; REFERENCES'!$H$8,IF(AK84="Head of Household",'CONSTANTS &amp; REFERENCES'!$M$8,""))))*AL84)</f>
        <v/>
      </c>
      <c r="AV84" s="21" t="str">
        <f>IF(AU84="","",IF(A84=0,IF(OR(AK84="Single",AK84="Married Filing Separately"),'CONSTANTS &amp; REFERENCES'!$C$8,IF(AK84="Married Filing Jointly",'CONSTANTS &amp; REFERENCES'!$H$8,IF(AK84="Head of Household",'CONSTANTS &amp; REFERENCES'!$M$8,""))),_xlfn.FLOOR.MATH(AU84,IF(AK84="Married Filing Separately",Bracket_Round_MFS,Bracket_Round_Standard))))</f>
        <v/>
      </c>
      <c r="AW84" s="24" t="str">
        <f>IF(A84="","",(IF(OR(AK84="Single",AK84="Married Filing Separately"),'CONSTANTS &amp; REFERENCES'!$C$9,IF(AK84="Married Filing Jointly",'CONSTANTS &amp; REFERENCES'!$H$9,IF(AK84="Head of Household",'CONSTANTS &amp; REFERENCES'!$M$9,""))))*AL84)</f>
        <v/>
      </c>
      <c r="AX84" s="21" t="str">
        <f>IF(AW84="","",IF(A84=0,IF(OR(AK84="Single",AK84="Married Filing Separately"),'CONSTANTS &amp; REFERENCES'!$C$9,IF(AK84="Married Filing Jointly",'CONSTANTS &amp; REFERENCES'!$H$9,IF(AK84="Head of Household",'CONSTANTS &amp; REFERENCES'!$M$9,""))),_xlfn.FLOOR.MATH(AW84,IF(AK84="Married Filing Separately",Bracket_Round_MFS,Bracket_Round_Standard))))</f>
        <v/>
      </c>
      <c r="AY84" s="24" t="str">
        <f>IF(A84="","",(IF(OR(AK84="Single",AK84="Married Filing Separately"),'CONSTANTS &amp; REFERENCES'!$C$10,IF(AK84="Married Filing Jointly",'CONSTANTS &amp; REFERENCES'!$H$10,IF(AK84="Head of Household",'CONSTANTS &amp; REFERENCES'!$M$10,""))))*AL84)</f>
        <v/>
      </c>
      <c r="AZ84" s="21" t="str">
        <f>IF(AY84="","",IF(A84=0,IF(OR(AK84="Single",AK84="Married Filing Separately"),'CONSTANTS &amp; REFERENCES'!$C$10,IF(AK84="Married Filing Jointly",'CONSTANTS &amp; REFERENCES'!$H$10,IF(AK84="Head of Household",'CONSTANTS &amp; REFERENCES'!$M$10,""))),_xlfn.FLOOR.MATH(AY84,IF(AK84="Married Filing Separately",Bracket_Round_MFS,Bracket_Round_Standard))))</f>
        <v/>
      </c>
      <c r="BA84" s="7" t="str">
        <f t="shared" si="43"/>
        <v/>
      </c>
      <c r="BB84" s="7" t="str">
        <f>IF(A84="","",'CONSTANTS &amp; REFERENCES'!$C$22*AL84)</f>
        <v/>
      </c>
      <c r="BC84" s="21" t="str">
        <f t="shared" si="54"/>
        <v/>
      </c>
    </row>
    <row r="85" spans="1:55" ht="18" customHeight="1" x14ac:dyDescent="0.3">
      <c r="A85" s="10" t="str">
        <f>IF(A84&lt;INPUTS!$C$7-INPUTS!$C$6,A84+1,"")</f>
        <v/>
      </c>
      <c r="B85" s="10" t="str">
        <f>IF(A85="","",INPUTS!$C$6+A85)</f>
        <v/>
      </c>
      <c r="C85" s="11" t="str">
        <f t="shared" si="44"/>
        <v/>
      </c>
      <c r="D85" s="11" t="str">
        <f>IF(A85="","",IF(A85&lt;INPUTS!$C$13,0,J85))</f>
        <v/>
      </c>
      <c r="E85" s="12" t="str">
        <f>IF(A85="","",IF(D85=0,"—",IF(Y85&lt;IF(AK85="Married Filing Jointly",'CONSTANTS &amp; REFERENCES'!$B$44,IF(AK85="Married Filing Separately",'CONSTANTS &amp; REFERENCES'!$B$45,'CONSTANTS &amp; REFERENCES'!$B$43)),"Direct","Backdoor")))</f>
        <v/>
      </c>
      <c r="F85" s="13" t="str">
        <f t="shared" si="35"/>
        <v/>
      </c>
      <c r="G85" s="14" t="str">
        <f t="shared" si="36"/>
        <v/>
      </c>
      <c r="H85" s="13" t="str">
        <f t="shared" si="37"/>
        <v/>
      </c>
      <c r="I85" s="14" t="str">
        <f t="shared" si="38"/>
        <v/>
      </c>
      <c r="J85" s="14" t="str">
        <f t="shared" si="39"/>
        <v/>
      </c>
      <c r="K85" s="11" t="str">
        <f>IF(A85="","",IF(INPUTS!$C$12="Beginning",(C85+D85)*INPUTS!$C$10,C85*INPUTS!$C$10))</f>
        <v/>
      </c>
      <c r="L85" s="11" t="str">
        <f>IF(A85="","",IF(INPUTS!$C$12="Beginning",(C85+D85)*(1+INPUTS!$C$10),C85*(1+INPUTS!$C$10)+D85))</f>
        <v/>
      </c>
      <c r="M85" s="15" t="str">
        <f>IF(A85="","",(1+INPUTS!$C$11)^A85)</f>
        <v/>
      </c>
      <c r="N85" s="11" t="str">
        <f t="shared" si="45"/>
        <v/>
      </c>
      <c r="O85" s="11" t="str">
        <f t="shared" si="46"/>
        <v/>
      </c>
      <c r="P85" s="11" t="str">
        <f>IF(A85="","",L85-INPUTS!$C$8-O85)</f>
        <v/>
      </c>
      <c r="Q85" s="16"/>
      <c r="R85" s="16"/>
      <c r="S85" s="16" t="str">
        <f t="shared" si="47"/>
        <v/>
      </c>
      <c r="T85" s="18" t="str">
        <f t="shared" si="48"/>
        <v/>
      </c>
      <c r="U85" s="18" t="str">
        <f t="shared" si="49"/>
        <v/>
      </c>
      <c r="V85" s="19" t="str">
        <f>IF(A85="","",FV(INPUTS!$C$10,INPUTS!$C$7-INPUTS!$C$6-A85+IF(INPUTS!$C$12="Beginning",1,0),0,-D85,0))</f>
        <v/>
      </c>
      <c r="W85" s="7"/>
      <c r="X85" s="7"/>
      <c r="Y85" s="21" t="str">
        <f>IF(A85="","",IF(INPUTS!$C$17="Yes",MIN(Y84*(1+INPUTS!$C$15)+IF(INPUTS!$C$27="Yes",(Z85-Z84)*INPUTS!$C$31+IF(AND(INPUTS!$C$28="Not yet credentialed",A85=INPUTS!$C$33),INPUTS!$C$32,0)+IF(AND(INPUTS!$C$28&lt;&gt;"FSA / FCAS",A85=INPUTS!$C$35),INPUTS!$C$34,0),0),INPUTS!$C$18),Y84*(1+INPUTS!$C$15)+IF(INPUTS!$C$27="Yes",(Z85-Z84)*INPUTS!$C$31+IF(AND(INPUTS!$C$28="Not yet credentialed",A85=INPUTS!$C$33),INPUTS!$C$32,0)+IF(AND(INPUTS!$C$28&lt;&gt;"FSA / FCAS",A85=INPUTS!$C$35),INPUTS!$C$34,0),0)))</f>
        <v/>
      </c>
      <c r="Z85" s="22" t="str">
        <f>IF(A85="","",IF(AND(INPUTS!$C$27="Yes",INPUTS!$C$28&lt;&gt;"FSA / FCAS",ISNUMBER(INPUTS!$C$37)),MIN(A85*INPUTS!$C$37,INPUTS!$C$30),0))</f>
        <v/>
      </c>
      <c r="AA85" s="21" t="str">
        <f t="shared" si="40"/>
        <v/>
      </c>
      <c r="AB85" s="21" t="str">
        <f t="shared" si="41"/>
        <v/>
      </c>
      <c r="AC85" s="21" t="str">
        <f>IF(A85="","",MIN(AB85,AP85)*'CONSTANTS &amp; REFERENCES'!$A$5+MAX(MIN(AB85,AR85)-AP85,0)*'CONSTANTS &amp; REFERENCES'!$A$6+MAX(MIN(AB85,AT85)-AR85,0)*'CONSTANTS &amp; REFERENCES'!$A$7+MAX(MIN(AB85,AV85)-AT85,0)*'CONSTANTS &amp; REFERENCES'!$A$8+MAX(MIN(AB85,AX85)-AV85,0)*'CONSTANTS &amp; REFERENCES'!$A$9+MAX(MIN(AB85,AZ85)-AX85,0)*'CONSTANTS &amp; REFERENCES'!$A$10+MAX(AB85-AZ85,0)*'CONSTANTS &amp; REFERENCES'!$A$11)</f>
        <v/>
      </c>
      <c r="AD85" s="21" t="str">
        <f>IF(AB85="","",IF(INPUTS!$C$20="Yes",AB85*INPUTS!$C$21,0))</f>
        <v/>
      </c>
      <c r="AE85" s="21" t="str">
        <f>IF(Y85="","",MIN(Y85,BC85)*'CONSTANTS &amp; REFERENCES'!$B$22)</f>
        <v/>
      </c>
      <c r="AF85" s="21" t="str">
        <f>IF(Y85="","",Y85*'CONSTANTS &amp; REFERENCES'!$B$24+MAX(0,Y85-IF(AK85="Married Filing Jointly",'CONSTANTS &amp; REFERENCES'!$C$26,IF(AK85="Married Filing Separately",'CONSTANTS &amp; REFERENCES'!$C$27,IF(AK85="Head of Household",'CONSTANTS &amp; REFERENCES'!$C$28,'CONSTANTS &amp; REFERENCES'!$C$25))))*'CONSTANTS &amp; REFERENCES'!$B$25)</f>
        <v/>
      </c>
      <c r="AG85" s="21" t="str">
        <f t="shared" si="50"/>
        <v/>
      </c>
      <c r="AH85" s="21" t="str">
        <f t="shared" si="51"/>
        <v/>
      </c>
      <c r="AI85" s="21" t="str">
        <f t="shared" si="52"/>
        <v/>
      </c>
      <c r="AJ85" s="21" t="str">
        <f t="shared" si="53"/>
        <v/>
      </c>
      <c r="AK85" s="7" t="str">
        <f>IF(A85="","",IF(AND(INPUTS!$C$43="Yes",A85&gt;=INPUTS!$C$45),INPUTS!$C$44,INPUTS!$C$19))</f>
        <v/>
      </c>
      <c r="AL85" s="23" t="str">
        <f t="shared" si="42"/>
        <v/>
      </c>
      <c r="AM85" s="24" t="str">
        <f>IF(A85="","",(IF(OR(AK85="Single",AK85="Married Filing Separately"),'CONSTANTS &amp; REFERENCES'!$B$13,IF(AK85="Married Filing Jointly",'CONSTANTS &amp; REFERENCES'!$G$13,IF(AK85="Head of Household",'CONSTANTS &amp; REFERENCES'!$L$13,""))))*AL85)</f>
        <v/>
      </c>
      <c r="AN85" s="21" t="str">
        <f>IF(AM85="","",IF(A85=0,IF(OR(AK85="Single",AK85="Married Filing Separately"),'CONSTANTS &amp; REFERENCES'!$B$13,IF(AK85="Married Filing Jointly",'CONSTANTS &amp; REFERENCES'!$G$13,IF(AK85="Head of Household",'CONSTANTS &amp; REFERENCES'!$L$13,""))),_xlfn.FLOOR.MATH(AM85,IF(AK85="Married Filing Separately",Bracket_Round_MFS,Bracket_Round_Standard))))</f>
        <v/>
      </c>
      <c r="AO85" s="24" t="str">
        <f>IF(A85="","",(IF(OR(AK85="Single",AK85="Married Filing Separately"),'CONSTANTS &amp; REFERENCES'!$C$5,IF(AK85="Married Filing Jointly",'CONSTANTS &amp; REFERENCES'!$H$5,IF(AK85="Head of Household",'CONSTANTS &amp; REFERENCES'!$M$5,""))))*AL85)</f>
        <v/>
      </c>
      <c r="AP85" s="21" t="str">
        <f>IF(AO85="","",IF(A85=0,IF(OR(AK85="Single",AK85="Married Filing Separately"),'CONSTANTS &amp; REFERENCES'!$C$5,IF(AK85="Married Filing Jointly",'CONSTANTS &amp; REFERENCES'!$H$5,IF(AK85="Head of Household",'CONSTANTS &amp; REFERENCES'!$M$5,""))),_xlfn.FLOOR.MATH(AO85,IF(AK85="Married Filing Separately",Bracket_Round_MFS,Bracket_Round_Standard))))</f>
        <v/>
      </c>
      <c r="AQ85" s="24" t="str">
        <f>IF(A85="","",(IF(OR(AK85="Single",AK85="Married Filing Separately"),'CONSTANTS &amp; REFERENCES'!$C$6,IF(AK85="Married Filing Jointly",'CONSTANTS &amp; REFERENCES'!$H$6,IF(AK85="Head of Household",'CONSTANTS &amp; REFERENCES'!$M$6,""))))*AL85)</f>
        <v/>
      </c>
      <c r="AR85" s="21" t="str">
        <f>IF(AQ85="","",IF(A85=0,IF(OR(AK85="Single",AK85="Married Filing Separately"),'CONSTANTS &amp; REFERENCES'!$C$6,IF(AK85="Married Filing Jointly",'CONSTANTS &amp; REFERENCES'!$H$6,IF(AK85="Head of Household",'CONSTANTS &amp; REFERENCES'!$M$6,""))),_xlfn.FLOOR.MATH(AQ85,IF(AK85="Married Filing Separately",Bracket_Round_MFS,Bracket_Round_Standard))))</f>
        <v/>
      </c>
      <c r="AS85" s="24" t="str">
        <f>IF(A85="","",(IF(OR(AK85="Single",AK85="Married Filing Separately"),'CONSTANTS &amp; REFERENCES'!$C$7,IF(AK85="Married Filing Jointly",'CONSTANTS &amp; REFERENCES'!$H$7,IF(AK85="Head of Household",'CONSTANTS &amp; REFERENCES'!$M$7,""))))*AL85)</f>
        <v/>
      </c>
      <c r="AT85" s="21" t="str">
        <f>IF(AS85="","",IF(A85=0,IF(OR(AK85="Single",AK85="Married Filing Separately"),'CONSTANTS &amp; REFERENCES'!$C$7,IF(AK85="Married Filing Jointly",'CONSTANTS &amp; REFERENCES'!$H$7,IF(AK85="Head of Household",'CONSTANTS &amp; REFERENCES'!$M$7,""))),_xlfn.FLOOR.MATH(AS85,IF(AK85="Married Filing Separately",Bracket_Round_MFS,Bracket_Round_Standard))))</f>
        <v/>
      </c>
      <c r="AU85" s="24" t="str">
        <f>IF(A85="","",(IF(OR(AK85="Single",AK85="Married Filing Separately"),'CONSTANTS &amp; REFERENCES'!$C$8,IF(AK85="Married Filing Jointly",'CONSTANTS &amp; REFERENCES'!$H$8,IF(AK85="Head of Household",'CONSTANTS &amp; REFERENCES'!$M$8,""))))*AL85)</f>
        <v/>
      </c>
      <c r="AV85" s="21" t="str">
        <f>IF(AU85="","",IF(A85=0,IF(OR(AK85="Single",AK85="Married Filing Separately"),'CONSTANTS &amp; REFERENCES'!$C$8,IF(AK85="Married Filing Jointly",'CONSTANTS &amp; REFERENCES'!$H$8,IF(AK85="Head of Household",'CONSTANTS &amp; REFERENCES'!$M$8,""))),_xlfn.FLOOR.MATH(AU85,IF(AK85="Married Filing Separately",Bracket_Round_MFS,Bracket_Round_Standard))))</f>
        <v/>
      </c>
      <c r="AW85" s="24" t="str">
        <f>IF(A85="","",(IF(OR(AK85="Single",AK85="Married Filing Separately"),'CONSTANTS &amp; REFERENCES'!$C$9,IF(AK85="Married Filing Jointly",'CONSTANTS &amp; REFERENCES'!$H$9,IF(AK85="Head of Household",'CONSTANTS &amp; REFERENCES'!$M$9,""))))*AL85)</f>
        <v/>
      </c>
      <c r="AX85" s="21" t="str">
        <f>IF(AW85="","",IF(A85=0,IF(OR(AK85="Single",AK85="Married Filing Separately"),'CONSTANTS &amp; REFERENCES'!$C$9,IF(AK85="Married Filing Jointly",'CONSTANTS &amp; REFERENCES'!$H$9,IF(AK85="Head of Household",'CONSTANTS &amp; REFERENCES'!$M$9,""))),_xlfn.FLOOR.MATH(AW85,IF(AK85="Married Filing Separately",Bracket_Round_MFS,Bracket_Round_Standard))))</f>
        <v/>
      </c>
      <c r="AY85" s="24" t="str">
        <f>IF(A85="","",(IF(OR(AK85="Single",AK85="Married Filing Separately"),'CONSTANTS &amp; REFERENCES'!$C$10,IF(AK85="Married Filing Jointly",'CONSTANTS &amp; REFERENCES'!$H$10,IF(AK85="Head of Household",'CONSTANTS &amp; REFERENCES'!$M$10,""))))*AL85)</f>
        <v/>
      </c>
      <c r="AZ85" s="21" t="str">
        <f>IF(AY85="","",IF(A85=0,IF(OR(AK85="Single",AK85="Married Filing Separately"),'CONSTANTS &amp; REFERENCES'!$C$10,IF(AK85="Married Filing Jointly",'CONSTANTS &amp; REFERENCES'!$H$10,IF(AK85="Head of Household",'CONSTANTS &amp; REFERENCES'!$M$10,""))),_xlfn.FLOOR.MATH(AY85,IF(AK85="Married Filing Separately",Bracket_Round_MFS,Bracket_Round_Standard))))</f>
        <v/>
      </c>
      <c r="BA85" s="7" t="str">
        <f t="shared" si="43"/>
        <v/>
      </c>
      <c r="BB85" s="7" t="str">
        <f>IF(A85="","",'CONSTANTS &amp; REFERENCES'!$C$22*AL85)</f>
        <v/>
      </c>
      <c r="BC85" s="21" t="str">
        <f t="shared" si="54"/>
        <v/>
      </c>
    </row>
    <row r="86" spans="1:55" ht="18" customHeight="1" x14ac:dyDescent="0.3">
      <c r="A86" s="10" t="str">
        <f>IF(A85&lt;INPUTS!$C$7-INPUTS!$C$6,A85+1,"")</f>
        <v/>
      </c>
      <c r="B86" s="10" t="str">
        <f>IF(A86="","",INPUTS!$C$6+A86)</f>
        <v/>
      </c>
      <c r="C86" s="11" t="str">
        <f t="shared" si="44"/>
        <v/>
      </c>
      <c r="D86" s="11" t="str">
        <f>IF(A86="","",IF(A86&lt;INPUTS!$C$13,0,J86))</f>
        <v/>
      </c>
      <c r="E86" s="12" t="str">
        <f>IF(A86="","",IF(D86=0,"—",IF(Y86&lt;IF(AK86="Married Filing Jointly",'CONSTANTS &amp; REFERENCES'!$B$44,IF(AK86="Married Filing Separately",'CONSTANTS &amp; REFERENCES'!$B$45,'CONSTANTS &amp; REFERENCES'!$B$43)),"Direct","Backdoor")))</f>
        <v/>
      </c>
      <c r="F86" s="13" t="str">
        <f t="shared" si="35"/>
        <v/>
      </c>
      <c r="G86" s="14" t="str">
        <f t="shared" si="36"/>
        <v/>
      </c>
      <c r="H86" s="13" t="str">
        <f t="shared" si="37"/>
        <v/>
      </c>
      <c r="I86" s="14" t="str">
        <f t="shared" si="38"/>
        <v/>
      </c>
      <c r="J86" s="14" t="str">
        <f t="shared" si="39"/>
        <v/>
      </c>
      <c r="K86" s="11" t="str">
        <f>IF(A86="","",IF(INPUTS!$C$12="Beginning",(C86+D86)*INPUTS!$C$10,C86*INPUTS!$C$10))</f>
        <v/>
      </c>
      <c r="L86" s="11" t="str">
        <f>IF(A86="","",IF(INPUTS!$C$12="Beginning",(C86+D86)*(1+INPUTS!$C$10),C86*(1+INPUTS!$C$10)+D86))</f>
        <v/>
      </c>
      <c r="M86" s="15" t="str">
        <f>IF(A86="","",(1+INPUTS!$C$11)^A86)</f>
        <v/>
      </c>
      <c r="N86" s="11" t="str">
        <f t="shared" si="45"/>
        <v/>
      </c>
      <c r="O86" s="11" t="str">
        <f t="shared" si="46"/>
        <v/>
      </c>
      <c r="P86" s="11" t="str">
        <f>IF(A86="","",L86-INPUTS!$C$8-O86)</f>
        <v/>
      </c>
      <c r="Q86" s="16"/>
      <c r="R86" s="16"/>
      <c r="S86" s="16" t="str">
        <f t="shared" si="47"/>
        <v/>
      </c>
      <c r="T86" s="18" t="str">
        <f t="shared" si="48"/>
        <v/>
      </c>
      <c r="U86" s="18" t="str">
        <f t="shared" si="49"/>
        <v/>
      </c>
      <c r="V86" s="19" t="str">
        <f>IF(A86="","",FV(INPUTS!$C$10,INPUTS!$C$7-INPUTS!$C$6-A86+IF(INPUTS!$C$12="Beginning",1,0),0,-D86,0))</f>
        <v/>
      </c>
      <c r="W86" s="7"/>
      <c r="X86" s="7"/>
      <c r="Y86" s="21" t="str">
        <f>IF(A86="","",IF(INPUTS!$C$17="Yes",MIN(Y85*(1+INPUTS!$C$15)+IF(INPUTS!$C$27="Yes",(Z86-Z85)*INPUTS!$C$31+IF(AND(INPUTS!$C$28="Not yet credentialed",A86=INPUTS!$C$33),INPUTS!$C$32,0)+IF(AND(INPUTS!$C$28&lt;&gt;"FSA / FCAS",A86=INPUTS!$C$35),INPUTS!$C$34,0),0),INPUTS!$C$18),Y85*(1+INPUTS!$C$15)+IF(INPUTS!$C$27="Yes",(Z86-Z85)*INPUTS!$C$31+IF(AND(INPUTS!$C$28="Not yet credentialed",A86=INPUTS!$C$33),INPUTS!$C$32,0)+IF(AND(INPUTS!$C$28&lt;&gt;"FSA / FCAS",A86=INPUTS!$C$35),INPUTS!$C$34,0),0)))</f>
        <v/>
      </c>
      <c r="Z86" s="22" t="str">
        <f>IF(A86="","",IF(AND(INPUTS!$C$27="Yes",INPUTS!$C$28&lt;&gt;"FSA / FCAS",ISNUMBER(INPUTS!$C$37)),MIN(A86*INPUTS!$C$37,INPUTS!$C$30),0))</f>
        <v/>
      </c>
      <c r="AA86" s="21" t="str">
        <f t="shared" si="40"/>
        <v/>
      </c>
      <c r="AB86" s="21" t="str">
        <f t="shared" si="41"/>
        <v/>
      </c>
      <c r="AC86" s="21" t="str">
        <f>IF(A86="","",MIN(AB86,AP86)*'CONSTANTS &amp; REFERENCES'!$A$5+MAX(MIN(AB86,AR86)-AP86,0)*'CONSTANTS &amp; REFERENCES'!$A$6+MAX(MIN(AB86,AT86)-AR86,0)*'CONSTANTS &amp; REFERENCES'!$A$7+MAX(MIN(AB86,AV86)-AT86,0)*'CONSTANTS &amp; REFERENCES'!$A$8+MAX(MIN(AB86,AX86)-AV86,0)*'CONSTANTS &amp; REFERENCES'!$A$9+MAX(MIN(AB86,AZ86)-AX86,0)*'CONSTANTS &amp; REFERENCES'!$A$10+MAX(AB86-AZ86,0)*'CONSTANTS &amp; REFERENCES'!$A$11)</f>
        <v/>
      </c>
      <c r="AD86" s="21" t="str">
        <f>IF(AB86="","",IF(INPUTS!$C$20="Yes",AB86*INPUTS!$C$21,0))</f>
        <v/>
      </c>
      <c r="AE86" s="21" t="str">
        <f>IF(Y86="","",MIN(Y86,BC86)*'CONSTANTS &amp; REFERENCES'!$B$22)</f>
        <v/>
      </c>
      <c r="AF86" s="21" t="str">
        <f>IF(Y86="","",Y86*'CONSTANTS &amp; REFERENCES'!$B$24+MAX(0,Y86-IF(AK86="Married Filing Jointly",'CONSTANTS &amp; REFERENCES'!$C$26,IF(AK86="Married Filing Separately",'CONSTANTS &amp; REFERENCES'!$C$27,IF(AK86="Head of Household",'CONSTANTS &amp; REFERENCES'!$C$28,'CONSTANTS &amp; REFERENCES'!$C$25))))*'CONSTANTS &amp; REFERENCES'!$B$25)</f>
        <v/>
      </c>
      <c r="AG86" s="21" t="str">
        <f t="shared" si="50"/>
        <v/>
      </c>
      <c r="AH86" s="21" t="str">
        <f t="shared" si="51"/>
        <v/>
      </c>
      <c r="AI86" s="21" t="str">
        <f t="shared" si="52"/>
        <v/>
      </c>
      <c r="AJ86" s="21" t="str">
        <f t="shared" si="53"/>
        <v/>
      </c>
      <c r="AK86" s="7" t="str">
        <f>IF(A86="","",IF(AND(INPUTS!$C$43="Yes",A86&gt;=INPUTS!$C$45),INPUTS!$C$44,INPUTS!$C$19))</f>
        <v/>
      </c>
      <c r="AL86" s="23" t="str">
        <f t="shared" si="42"/>
        <v/>
      </c>
      <c r="AM86" s="24" t="str">
        <f>IF(A86="","",(IF(OR(AK86="Single",AK86="Married Filing Separately"),'CONSTANTS &amp; REFERENCES'!$B$13,IF(AK86="Married Filing Jointly",'CONSTANTS &amp; REFERENCES'!$G$13,IF(AK86="Head of Household",'CONSTANTS &amp; REFERENCES'!$L$13,""))))*AL86)</f>
        <v/>
      </c>
      <c r="AN86" s="21" t="str">
        <f>IF(AM86="","",IF(A86=0,IF(OR(AK86="Single",AK86="Married Filing Separately"),'CONSTANTS &amp; REFERENCES'!$B$13,IF(AK86="Married Filing Jointly",'CONSTANTS &amp; REFERENCES'!$G$13,IF(AK86="Head of Household",'CONSTANTS &amp; REFERENCES'!$L$13,""))),_xlfn.FLOOR.MATH(AM86,IF(AK86="Married Filing Separately",Bracket_Round_MFS,Bracket_Round_Standard))))</f>
        <v/>
      </c>
      <c r="AO86" s="24" t="str">
        <f>IF(A86="","",(IF(OR(AK86="Single",AK86="Married Filing Separately"),'CONSTANTS &amp; REFERENCES'!$C$5,IF(AK86="Married Filing Jointly",'CONSTANTS &amp; REFERENCES'!$H$5,IF(AK86="Head of Household",'CONSTANTS &amp; REFERENCES'!$M$5,""))))*AL86)</f>
        <v/>
      </c>
      <c r="AP86" s="21" t="str">
        <f>IF(AO86="","",IF(A86=0,IF(OR(AK86="Single",AK86="Married Filing Separately"),'CONSTANTS &amp; REFERENCES'!$C$5,IF(AK86="Married Filing Jointly",'CONSTANTS &amp; REFERENCES'!$H$5,IF(AK86="Head of Household",'CONSTANTS &amp; REFERENCES'!$M$5,""))),_xlfn.FLOOR.MATH(AO86,IF(AK86="Married Filing Separately",Bracket_Round_MFS,Bracket_Round_Standard))))</f>
        <v/>
      </c>
      <c r="AQ86" s="24" t="str">
        <f>IF(A86="","",(IF(OR(AK86="Single",AK86="Married Filing Separately"),'CONSTANTS &amp; REFERENCES'!$C$6,IF(AK86="Married Filing Jointly",'CONSTANTS &amp; REFERENCES'!$H$6,IF(AK86="Head of Household",'CONSTANTS &amp; REFERENCES'!$M$6,""))))*AL86)</f>
        <v/>
      </c>
      <c r="AR86" s="21" t="str">
        <f>IF(AQ86="","",IF(A86=0,IF(OR(AK86="Single",AK86="Married Filing Separately"),'CONSTANTS &amp; REFERENCES'!$C$6,IF(AK86="Married Filing Jointly",'CONSTANTS &amp; REFERENCES'!$H$6,IF(AK86="Head of Household",'CONSTANTS &amp; REFERENCES'!$M$6,""))),_xlfn.FLOOR.MATH(AQ86,IF(AK86="Married Filing Separately",Bracket_Round_MFS,Bracket_Round_Standard))))</f>
        <v/>
      </c>
      <c r="AS86" s="24" t="str">
        <f>IF(A86="","",(IF(OR(AK86="Single",AK86="Married Filing Separately"),'CONSTANTS &amp; REFERENCES'!$C$7,IF(AK86="Married Filing Jointly",'CONSTANTS &amp; REFERENCES'!$H$7,IF(AK86="Head of Household",'CONSTANTS &amp; REFERENCES'!$M$7,""))))*AL86)</f>
        <v/>
      </c>
      <c r="AT86" s="21" t="str">
        <f>IF(AS86="","",IF(A86=0,IF(OR(AK86="Single",AK86="Married Filing Separately"),'CONSTANTS &amp; REFERENCES'!$C$7,IF(AK86="Married Filing Jointly",'CONSTANTS &amp; REFERENCES'!$H$7,IF(AK86="Head of Household",'CONSTANTS &amp; REFERENCES'!$M$7,""))),_xlfn.FLOOR.MATH(AS86,IF(AK86="Married Filing Separately",Bracket_Round_MFS,Bracket_Round_Standard))))</f>
        <v/>
      </c>
      <c r="AU86" s="24" t="str">
        <f>IF(A86="","",(IF(OR(AK86="Single",AK86="Married Filing Separately"),'CONSTANTS &amp; REFERENCES'!$C$8,IF(AK86="Married Filing Jointly",'CONSTANTS &amp; REFERENCES'!$H$8,IF(AK86="Head of Household",'CONSTANTS &amp; REFERENCES'!$M$8,""))))*AL86)</f>
        <v/>
      </c>
      <c r="AV86" s="21" t="str">
        <f>IF(AU86="","",IF(A86=0,IF(OR(AK86="Single",AK86="Married Filing Separately"),'CONSTANTS &amp; REFERENCES'!$C$8,IF(AK86="Married Filing Jointly",'CONSTANTS &amp; REFERENCES'!$H$8,IF(AK86="Head of Household",'CONSTANTS &amp; REFERENCES'!$M$8,""))),_xlfn.FLOOR.MATH(AU86,IF(AK86="Married Filing Separately",Bracket_Round_MFS,Bracket_Round_Standard))))</f>
        <v/>
      </c>
      <c r="AW86" s="24" t="str">
        <f>IF(A86="","",(IF(OR(AK86="Single",AK86="Married Filing Separately"),'CONSTANTS &amp; REFERENCES'!$C$9,IF(AK86="Married Filing Jointly",'CONSTANTS &amp; REFERENCES'!$H$9,IF(AK86="Head of Household",'CONSTANTS &amp; REFERENCES'!$M$9,""))))*AL86)</f>
        <v/>
      </c>
      <c r="AX86" s="21" t="str">
        <f>IF(AW86="","",IF(A86=0,IF(OR(AK86="Single",AK86="Married Filing Separately"),'CONSTANTS &amp; REFERENCES'!$C$9,IF(AK86="Married Filing Jointly",'CONSTANTS &amp; REFERENCES'!$H$9,IF(AK86="Head of Household",'CONSTANTS &amp; REFERENCES'!$M$9,""))),_xlfn.FLOOR.MATH(AW86,IF(AK86="Married Filing Separately",Bracket_Round_MFS,Bracket_Round_Standard))))</f>
        <v/>
      </c>
      <c r="AY86" s="24" t="str">
        <f>IF(A86="","",(IF(OR(AK86="Single",AK86="Married Filing Separately"),'CONSTANTS &amp; REFERENCES'!$C$10,IF(AK86="Married Filing Jointly",'CONSTANTS &amp; REFERENCES'!$H$10,IF(AK86="Head of Household",'CONSTANTS &amp; REFERENCES'!$M$10,""))))*AL86)</f>
        <v/>
      </c>
      <c r="AZ86" s="21" t="str">
        <f>IF(AY86="","",IF(A86=0,IF(OR(AK86="Single",AK86="Married Filing Separately"),'CONSTANTS &amp; REFERENCES'!$C$10,IF(AK86="Married Filing Jointly",'CONSTANTS &amp; REFERENCES'!$H$10,IF(AK86="Head of Household",'CONSTANTS &amp; REFERENCES'!$M$10,""))),_xlfn.FLOOR.MATH(AY86,IF(AK86="Married Filing Separately",Bracket_Round_MFS,Bracket_Round_Standard))))</f>
        <v/>
      </c>
      <c r="BA86" s="7" t="str">
        <f t="shared" si="43"/>
        <v/>
      </c>
      <c r="BB86" s="7" t="str">
        <f>IF(A86="","",'CONSTANTS &amp; REFERENCES'!$C$22*AL86)</f>
        <v/>
      </c>
      <c r="BC86" s="21" t="str">
        <f t="shared" si="54"/>
        <v/>
      </c>
    </row>
    <row r="87" spans="1:55" ht="18" customHeight="1" x14ac:dyDescent="0.3">
      <c r="A87" s="10" t="str">
        <f>IF(A86&lt;INPUTS!$C$7-INPUTS!$C$6,A86+1,"")</f>
        <v/>
      </c>
      <c r="B87" s="10" t="str">
        <f>IF(A87="","",INPUTS!$C$6+A87)</f>
        <v/>
      </c>
      <c r="C87" s="11" t="str">
        <f t="shared" si="44"/>
        <v/>
      </c>
      <c r="D87" s="11" t="str">
        <f>IF(A87="","",IF(A87&lt;INPUTS!$C$13,0,J87))</f>
        <v/>
      </c>
      <c r="E87" s="12" t="str">
        <f>IF(A87="","",IF(D87=0,"—",IF(Y87&lt;IF(AK87="Married Filing Jointly",'CONSTANTS &amp; REFERENCES'!$B$44,IF(AK87="Married Filing Separately",'CONSTANTS &amp; REFERENCES'!$B$45,'CONSTANTS &amp; REFERENCES'!$B$43)),"Direct","Backdoor")))</f>
        <v/>
      </c>
      <c r="F87" s="13" t="str">
        <f t="shared" si="35"/>
        <v/>
      </c>
      <c r="G87" s="14" t="str">
        <f t="shared" si="36"/>
        <v/>
      </c>
      <c r="H87" s="13" t="str">
        <f t="shared" si="37"/>
        <v/>
      </c>
      <c r="I87" s="14" t="str">
        <f t="shared" si="38"/>
        <v/>
      </c>
      <c r="J87" s="14" t="str">
        <f t="shared" si="39"/>
        <v/>
      </c>
      <c r="K87" s="11" t="str">
        <f>IF(A87="","",IF(INPUTS!$C$12="Beginning",(C87+D87)*INPUTS!$C$10,C87*INPUTS!$C$10))</f>
        <v/>
      </c>
      <c r="L87" s="11" t="str">
        <f>IF(A87="","",IF(INPUTS!$C$12="Beginning",(C87+D87)*(1+INPUTS!$C$10),C87*(1+INPUTS!$C$10)+D87))</f>
        <v/>
      </c>
      <c r="M87" s="15" t="str">
        <f>IF(A87="","",(1+INPUTS!$C$11)^A87)</f>
        <v/>
      </c>
      <c r="N87" s="11" t="str">
        <f t="shared" si="45"/>
        <v/>
      </c>
      <c r="O87" s="11" t="str">
        <f t="shared" si="46"/>
        <v/>
      </c>
      <c r="P87" s="11" t="str">
        <f>IF(A87="","",L87-INPUTS!$C$8-O87)</f>
        <v/>
      </c>
      <c r="Q87" s="16"/>
      <c r="R87" s="16"/>
      <c r="S87" s="16" t="str">
        <f t="shared" si="47"/>
        <v/>
      </c>
      <c r="T87" s="18" t="str">
        <f t="shared" si="48"/>
        <v/>
      </c>
      <c r="U87" s="18" t="str">
        <f t="shared" si="49"/>
        <v/>
      </c>
      <c r="V87" s="19" t="str">
        <f>IF(A87="","",FV(INPUTS!$C$10,INPUTS!$C$7-INPUTS!$C$6-A87+IF(INPUTS!$C$12="Beginning",1,0),0,-D87,0))</f>
        <v/>
      </c>
      <c r="W87" s="7"/>
      <c r="X87" s="7"/>
      <c r="Y87" s="21" t="str">
        <f>IF(A87="","",IF(INPUTS!$C$17="Yes",MIN(Y86*(1+INPUTS!$C$15)+IF(INPUTS!$C$27="Yes",(Z87-Z86)*INPUTS!$C$31+IF(AND(INPUTS!$C$28="Not yet credentialed",A87=INPUTS!$C$33),INPUTS!$C$32,0)+IF(AND(INPUTS!$C$28&lt;&gt;"FSA / FCAS",A87=INPUTS!$C$35),INPUTS!$C$34,0),0),INPUTS!$C$18),Y86*(1+INPUTS!$C$15)+IF(INPUTS!$C$27="Yes",(Z87-Z86)*INPUTS!$C$31+IF(AND(INPUTS!$C$28="Not yet credentialed",A87=INPUTS!$C$33),INPUTS!$C$32,0)+IF(AND(INPUTS!$C$28&lt;&gt;"FSA / FCAS",A87=INPUTS!$C$35),INPUTS!$C$34,0),0)))</f>
        <v/>
      </c>
      <c r="Z87" s="22" t="str">
        <f>IF(A87="","",IF(AND(INPUTS!$C$27="Yes",INPUTS!$C$28&lt;&gt;"FSA / FCAS",ISNUMBER(INPUTS!$C$37)),MIN(A87*INPUTS!$C$37,INPUTS!$C$30),0))</f>
        <v/>
      </c>
      <c r="AA87" s="21" t="str">
        <f t="shared" si="40"/>
        <v/>
      </c>
      <c r="AB87" s="21" t="str">
        <f t="shared" si="41"/>
        <v/>
      </c>
      <c r="AC87" s="21" t="str">
        <f>IF(A87="","",MIN(AB87,AP87)*'CONSTANTS &amp; REFERENCES'!$A$5+MAX(MIN(AB87,AR87)-AP87,0)*'CONSTANTS &amp; REFERENCES'!$A$6+MAX(MIN(AB87,AT87)-AR87,0)*'CONSTANTS &amp; REFERENCES'!$A$7+MAX(MIN(AB87,AV87)-AT87,0)*'CONSTANTS &amp; REFERENCES'!$A$8+MAX(MIN(AB87,AX87)-AV87,0)*'CONSTANTS &amp; REFERENCES'!$A$9+MAX(MIN(AB87,AZ87)-AX87,0)*'CONSTANTS &amp; REFERENCES'!$A$10+MAX(AB87-AZ87,0)*'CONSTANTS &amp; REFERENCES'!$A$11)</f>
        <v/>
      </c>
      <c r="AD87" s="21" t="str">
        <f>IF(AB87="","",IF(INPUTS!$C$20="Yes",AB87*INPUTS!$C$21,0))</f>
        <v/>
      </c>
      <c r="AE87" s="21" t="str">
        <f>IF(Y87="","",MIN(Y87,BC87)*'CONSTANTS &amp; REFERENCES'!$B$22)</f>
        <v/>
      </c>
      <c r="AF87" s="21" t="str">
        <f>IF(Y87="","",Y87*'CONSTANTS &amp; REFERENCES'!$B$24+MAX(0,Y87-IF(AK87="Married Filing Jointly",'CONSTANTS &amp; REFERENCES'!$C$26,IF(AK87="Married Filing Separately",'CONSTANTS &amp; REFERENCES'!$C$27,IF(AK87="Head of Household",'CONSTANTS &amp; REFERENCES'!$C$28,'CONSTANTS &amp; REFERENCES'!$C$25))))*'CONSTANTS &amp; REFERENCES'!$B$25)</f>
        <v/>
      </c>
      <c r="AG87" s="21" t="str">
        <f t="shared" si="50"/>
        <v/>
      </c>
      <c r="AH87" s="21" t="str">
        <f t="shared" si="51"/>
        <v/>
      </c>
      <c r="AI87" s="21" t="str">
        <f t="shared" si="52"/>
        <v/>
      </c>
      <c r="AJ87" s="21" t="str">
        <f t="shared" si="53"/>
        <v/>
      </c>
      <c r="AK87" s="7" t="str">
        <f>IF(A87="","",IF(AND(INPUTS!$C$43="Yes",A87&gt;=INPUTS!$C$45),INPUTS!$C$44,INPUTS!$C$19))</f>
        <v/>
      </c>
      <c r="AL87" s="23" t="str">
        <f t="shared" si="42"/>
        <v/>
      </c>
      <c r="AM87" s="24" t="str">
        <f>IF(A87="","",(IF(OR(AK87="Single",AK87="Married Filing Separately"),'CONSTANTS &amp; REFERENCES'!$B$13,IF(AK87="Married Filing Jointly",'CONSTANTS &amp; REFERENCES'!$G$13,IF(AK87="Head of Household",'CONSTANTS &amp; REFERENCES'!$L$13,""))))*AL87)</f>
        <v/>
      </c>
      <c r="AN87" s="21" t="str">
        <f>IF(AM87="","",IF(A87=0,IF(OR(AK87="Single",AK87="Married Filing Separately"),'CONSTANTS &amp; REFERENCES'!$B$13,IF(AK87="Married Filing Jointly",'CONSTANTS &amp; REFERENCES'!$G$13,IF(AK87="Head of Household",'CONSTANTS &amp; REFERENCES'!$L$13,""))),_xlfn.FLOOR.MATH(AM87,IF(AK87="Married Filing Separately",Bracket_Round_MFS,Bracket_Round_Standard))))</f>
        <v/>
      </c>
      <c r="AO87" s="24" t="str">
        <f>IF(A87="","",(IF(OR(AK87="Single",AK87="Married Filing Separately"),'CONSTANTS &amp; REFERENCES'!$C$5,IF(AK87="Married Filing Jointly",'CONSTANTS &amp; REFERENCES'!$H$5,IF(AK87="Head of Household",'CONSTANTS &amp; REFERENCES'!$M$5,""))))*AL87)</f>
        <v/>
      </c>
      <c r="AP87" s="21" t="str">
        <f>IF(AO87="","",IF(A87=0,IF(OR(AK87="Single",AK87="Married Filing Separately"),'CONSTANTS &amp; REFERENCES'!$C$5,IF(AK87="Married Filing Jointly",'CONSTANTS &amp; REFERENCES'!$H$5,IF(AK87="Head of Household",'CONSTANTS &amp; REFERENCES'!$M$5,""))),_xlfn.FLOOR.MATH(AO87,IF(AK87="Married Filing Separately",Bracket_Round_MFS,Bracket_Round_Standard))))</f>
        <v/>
      </c>
      <c r="AQ87" s="24" t="str">
        <f>IF(A87="","",(IF(OR(AK87="Single",AK87="Married Filing Separately"),'CONSTANTS &amp; REFERENCES'!$C$6,IF(AK87="Married Filing Jointly",'CONSTANTS &amp; REFERENCES'!$H$6,IF(AK87="Head of Household",'CONSTANTS &amp; REFERENCES'!$M$6,""))))*AL87)</f>
        <v/>
      </c>
      <c r="AR87" s="21" t="str">
        <f>IF(AQ87="","",IF(A87=0,IF(OR(AK87="Single",AK87="Married Filing Separately"),'CONSTANTS &amp; REFERENCES'!$C$6,IF(AK87="Married Filing Jointly",'CONSTANTS &amp; REFERENCES'!$H$6,IF(AK87="Head of Household",'CONSTANTS &amp; REFERENCES'!$M$6,""))),_xlfn.FLOOR.MATH(AQ87,IF(AK87="Married Filing Separately",Bracket_Round_MFS,Bracket_Round_Standard))))</f>
        <v/>
      </c>
      <c r="AS87" s="24" t="str">
        <f>IF(A87="","",(IF(OR(AK87="Single",AK87="Married Filing Separately"),'CONSTANTS &amp; REFERENCES'!$C$7,IF(AK87="Married Filing Jointly",'CONSTANTS &amp; REFERENCES'!$H$7,IF(AK87="Head of Household",'CONSTANTS &amp; REFERENCES'!$M$7,""))))*AL87)</f>
        <v/>
      </c>
      <c r="AT87" s="21" t="str">
        <f>IF(AS87="","",IF(A87=0,IF(OR(AK87="Single",AK87="Married Filing Separately"),'CONSTANTS &amp; REFERENCES'!$C$7,IF(AK87="Married Filing Jointly",'CONSTANTS &amp; REFERENCES'!$H$7,IF(AK87="Head of Household",'CONSTANTS &amp; REFERENCES'!$M$7,""))),_xlfn.FLOOR.MATH(AS87,IF(AK87="Married Filing Separately",Bracket_Round_MFS,Bracket_Round_Standard))))</f>
        <v/>
      </c>
      <c r="AU87" s="24" t="str">
        <f>IF(A87="","",(IF(OR(AK87="Single",AK87="Married Filing Separately"),'CONSTANTS &amp; REFERENCES'!$C$8,IF(AK87="Married Filing Jointly",'CONSTANTS &amp; REFERENCES'!$H$8,IF(AK87="Head of Household",'CONSTANTS &amp; REFERENCES'!$M$8,""))))*AL87)</f>
        <v/>
      </c>
      <c r="AV87" s="21" t="str">
        <f>IF(AU87="","",IF(A87=0,IF(OR(AK87="Single",AK87="Married Filing Separately"),'CONSTANTS &amp; REFERENCES'!$C$8,IF(AK87="Married Filing Jointly",'CONSTANTS &amp; REFERENCES'!$H$8,IF(AK87="Head of Household",'CONSTANTS &amp; REFERENCES'!$M$8,""))),_xlfn.FLOOR.MATH(AU87,IF(AK87="Married Filing Separately",Bracket_Round_MFS,Bracket_Round_Standard))))</f>
        <v/>
      </c>
      <c r="AW87" s="24" t="str">
        <f>IF(A87="","",(IF(OR(AK87="Single",AK87="Married Filing Separately"),'CONSTANTS &amp; REFERENCES'!$C$9,IF(AK87="Married Filing Jointly",'CONSTANTS &amp; REFERENCES'!$H$9,IF(AK87="Head of Household",'CONSTANTS &amp; REFERENCES'!$M$9,""))))*AL87)</f>
        <v/>
      </c>
      <c r="AX87" s="21" t="str">
        <f>IF(AW87="","",IF(A87=0,IF(OR(AK87="Single",AK87="Married Filing Separately"),'CONSTANTS &amp; REFERENCES'!$C$9,IF(AK87="Married Filing Jointly",'CONSTANTS &amp; REFERENCES'!$H$9,IF(AK87="Head of Household",'CONSTANTS &amp; REFERENCES'!$M$9,""))),_xlfn.FLOOR.MATH(AW87,IF(AK87="Married Filing Separately",Bracket_Round_MFS,Bracket_Round_Standard))))</f>
        <v/>
      </c>
      <c r="AY87" s="24" t="str">
        <f>IF(A87="","",(IF(OR(AK87="Single",AK87="Married Filing Separately"),'CONSTANTS &amp; REFERENCES'!$C$10,IF(AK87="Married Filing Jointly",'CONSTANTS &amp; REFERENCES'!$H$10,IF(AK87="Head of Household",'CONSTANTS &amp; REFERENCES'!$M$10,""))))*AL87)</f>
        <v/>
      </c>
      <c r="AZ87" s="21" t="str">
        <f>IF(AY87="","",IF(A87=0,IF(OR(AK87="Single",AK87="Married Filing Separately"),'CONSTANTS &amp; REFERENCES'!$C$10,IF(AK87="Married Filing Jointly",'CONSTANTS &amp; REFERENCES'!$H$10,IF(AK87="Head of Household",'CONSTANTS &amp; REFERENCES'!$M$10,""))),_xlfn.FLOOR.MATH(AY87,IF(AK87="Married Filing Separately",Bracket_Round_MFS,Bracket_Round_Standard))))</f>
        <v/>
      </c>
      <c r="BA87" s="7" t="str">
        <f t="shared" si="43"/>
        <v/>
      </c>
      <c r="BB87" s="7" t="str">
        <f>IF(A87="","",'CONSTANTS &amp; REFERENCES'!$C$22*AL87)</f>
        <v/>
      </c>
      <c r="BC87" s="21" t="str">
        <f t="shared" si="54"/>
        <v/>
      </c>
    </row>
    <row r="88" spans="1:55" ht="18" customHeight="1" x14ac:dyDescent="0.3">
      <c r="A88" s="10" t="str">
        <f>IF(A87&lt;INPUTS!$C$7-INPUTS!$C$6,A87+1,"")</f>
        <v/>
      </c>
      <c r="B88" s="10" t="str">
        <f>IF(A88="","",INPUTS!$C$6+A88)</f>
        <v/>
      </c>
      <c r="C88" s="11" t="str">
        <f t="shared" si="44"/>
        <v/>
      </c>
      <c r="D88" s="11" t="str">
        <f>IF(A88="","",IF(A88&lt;INPUTS!$C$13,0,J88))</f>
        <v/>
      </c>
      <c r="E88" s="12" t="str">
        <f>IF(A88="","",IF(D88=0,"—",IF(Y88&lt;IF(AK88="Married Filing Jointly",'CONSTANTS &amp; REFERENCES'!$B$44,IF(AK88="Married Filing Separately",'CONSTANTS &amp; REFERENCES'!$B$45,'CONSTANTS &amp; REFERENCES'!$B$43)),"Direct","Backdoor")))</f>
        <v/>
      </c>
      <c r="F88" s="13" t="str">
        <f t="shared" si="35"/>
        <v/>
      </c>
      <c r="G88" s="14" t="str">
        <f t="shared" si="36"/>
        <v/>
      </c>
      <c r="H88" s="13" t="str">
        <f t="shared" si="37"/>
        <v/>
      </c>
      <c r="I88" s="14" t="str">
        <f t="shared" si="38"/>
        <v/>
      </c>
      <c r="J88" s="14" t="str">
        <f t="shared" si="39"/>
        <v/>
      </c>
      <c r="K88" s="11" t="str">
        <f>IF(A88="","",IF(INPUTS!$C$12="Beginning",(C88+D88)*INPUTS!$C$10,C88*INPUTS!$C$10))</f>
        <v/>
      </c>
      <c r="L88" s="11" t="str">
        <f>IF(A88="","",IF(INPUTS!$C$12="Beginning",(C88+D88)*(1+INPUTS!$C$10),C88*(1+INPUTS!$C$10)+D88))</f>
        <v/>
      </c>
      <c r="M88" s="15" t="str">
        <f>IF(A88="","",(1+INPUTS!$C$11)^A88)</f>
        <v/>
      </c>
      <c r="N88" s="11" t="str">
        <f t="shared" si="45"/>
        <v/>
      </c>
      <c r="O88" s="11" t="str">
        <f t="shared" si="46"/>
        <v/>
      </c>
      <c r="P88" s="11" t="str">
        <f>IF(A88="","",L88-INPUTS!$C$8-O88)</f>
        <v/>
      </c>
      <c r="Q88" s="16"/>
      <c r="R88" s="16"/>
      <c r="S88" s="16" t="str">
        <f t="shared" si="47"/>
        <v/>
      </c>
      <c r="T88" s="18" t="str">
        <f t="shared" si="48"/>
        <v/>
      </c>
      <c r="U88" s="18" t="str">
        <f t="shared" si="49"/>
        <v/>
      </c>
      <c r="V88" s="19" t="str">
        <f>IF(A88="","",FV(INPUTS!$C$10,INPUTS!$C$7-INPUTS!$C$6-A88+IF(INPUTS!$C$12="Beginning",1,0),0,-D88,0))</f>
        <v/>
      </c>
      <c r="W88" s="7"/>
      <c r="X88" s="7"/>
      <c r="Y88" s="21" t="str">
        <f>IF(A88="","",IF(INPUTS!$C$17="Yes",MIN(Y87*(1+INPUTS!$C$15)+IF(INPUTS!$C$27="Yes",(Z88-Z87)*INPUTS!$C$31+IF(AND(INPUTS!$C$28="Not yet credentialed",A88=INPUTS!$C$33),INPUTS!$C$32,0)+IF(AND(INPUTS!$C$28&lt;&gt;"FSA / FCAS",A88=INPUTS!$C$35),INPUTS!$C$34,0),0),INPUTS!$C$18),Y87*(1+INPUTS!$C$15)+IF(INPUTS!$C$27="Yes",(Z88-Z87)*INPUTS!$C$31+IF(AND(INPUTS!$C$28="Not yet credentialed",A88=INPUTS!$C$33),INPUTS!$C$32,0)+IF(AND(INPUTS!$C$28&lt;&gt;"FSA / FCAS",A88=INPUTS!$C$35),INPUTS!$C$34,0),0)))</f>
        <v/>
      </c>
      <c r="Z88" s="22" t="str">
        <f>IF(A88="","",IF(AND(INPUTS!$C$27="Yes",INPUTS!$C$28&lt;&gt;"FSA / FCAS",ISNUMBER(INPUTS!$C$37)),MIN(A88*INPUTS!$C$37,INPUTS!$C$30),0))</f>
        <v/>
      </c>
      <c r="AA88" s="21" t="str">
        <f t="shared" si="40"/>
        <v/>
      </c>
      <c r="AB88" s="21" t="str">
        <f t="shared" si="41"/>
        <v/>
      </c>
      <c r="AC88" s="21" t="str">
        <f>IF(A88="","",MIN(AB88,AP88)*'CONSTANTS &amp; REFERENCES'!$A$5+MAX(MIN(AB88,AR88)-AP88,0)*'CONSTANTS &amp; REFERENCES'!$A$6+MAX(MIN(AB88,AT88)-AR88,0)*'CONSTANTS &amp; REFERENCES'!$A$7+MAX(MIN(AB88,AV88)-AT88,0)*'CONSTANTS &amp; REFERENCES'!$A$8+MAX(MIN(AB88,AX88)-AV88,0)*'CONSTANTS &amp; REFERENCES'!$A$9+MAX(MIN(AB88,AZ88)-AX88,0)*'CONSTANTS &amp; REFERENCES'!$A$10+MAX(AB88-AZ88,0)*'CONSTANTS &amp; REFERENCES'!$A$11)</f>
        <v/>
      </c>
      <c r="AD88" s="21" t="str">
        <f>IF(AB88="","",IF(INPUTS!$C$20="Yes",AB88*INPUTS!$C$21,0))</f>
        <v/>
      </c>
      <c r="AE88" s="21" t="str">
        <f>IF(Y88="","",MIN(Y88,BC88)*'CONSTANTS &amp; REFERENCES'!$B$22)</f>
        <v/>
      </c>
      <c r="AF88" s="21" t="str">
        <f>IF(Y88="","",Y88*'CONSTANTS &amp; REFERENCES'!$B$24+MAX(0,Y88-IF(AK88="Married Filing Jointly",'CONSTANTS &amp; REFERENCES'!$C$26,IF(AK88="Married Filing Separately",'CONSTANTS &amp; REFERENCES'!$C$27,IF(AK88="Head of Household",'CONSTANTS &amp; REFERENCES'!$C$28,'CONSTANTS &amp; REFERENCES'!$C$25))))*'CONSTANTS &amp; REFERENCES'!$B$25)</f>
        <v/>
      </c>
      <c r="AG88" s="21" t="str">
        <f t="shared" si="50"/>
        <v/>
      </c>
      <c r="AH88" s="21" t="str">
        <f t="shared" si="51"/>
        <v/>
      </c>
      <c r="AI88" s="21" t="str">
        <f t="shared" si="52"/>
        <v/>
      </c>
      <c r="AJ88" s="21" t="str">
        <f t="shared" si="53"/>
        <v/>
      </c>
      <c r="AK88" s="7" t="str">
        <f>IF(A88="","",IF(AND(INPUTS!$C$43="Yes",A88&gt;=INPUTS!$C$45),INPUTS!$C$44,INPUTS!$C$19))</f>
        <v/>
      </c>
      <c r="AL88" s="23" t="str">
        <f t="shared" si="42"/>
        <v/>
      </c>
      <c r="AM88" s="24" t="str">
        <f>IF(A88="","",(IF(OR(AK88="Single",AK88="Married Filing Separately"),'CONSTANTS &amp; REFERENCES'!$B$13,IF(AK88="Married Filing Jointly",'CONSTANTS &amp; REFERENCES'!$G$13,IF(AK88="Head of Household",'CONSTANTS &amp; REFERENCES'!$L$13,""))))*AL88)</f>
        <v/>
      </c>
      <c r="AN88" s="21" t="str">
        <f>IF(AM88="","",IF(A88=0,IF(OR(AK88="Single",AK88="Married Filing Separately"),'CONSTANTS &amp; REFERENCES'!$B$13,IF(AK88="Married Filing Jointly",'CONSTANTS &amp; REFERENCES'!$G$13,IF(AK88="Head of Household",'CONSTANTS &amp; REFERENCES'!$L$13,""))),_xlfn.FLOOR.MATH(AM88,IF(AK88="Married Filing Separately",Bracket_Round_MFS,Bracket_Round_Standard))))</f>
        <v/>
      </c>
      <c r="AO88" s="24" t="str">
        <f>IF(A88="","",(IF(OR(AK88="Single",AK88="Married Filing Separately"),'CONSTANTS &amp; REFERENCES'!$C$5,IF(AK88="Married Filing Jointly",'CONSTANTS &amp; REFERENCES'!$H$5,IF(AK88="Head of Household",'CONSTANTS &amp; REFERENCES'!$M$5,""))))*AL88)</f>
        <v/>
      </c>
      <c r="AP88" s="21" t="str">
        <f>IF(AO88="","",IF(A88=0,IF(OR(AK88="Single",AK88="Married Filing Separately"),'CONSTANTS &amp; REFERENCES'!$C$5,IF(AK88="Married Filing Jointly",'CONSTANTS &amp; REFERENCES'!$H$5,IF(AK88="Head of Household",'CONSTANTS &amp; REFERENCES'!$M$5,""))),_xlfn.FLOOR.MATH(AO88,IF(AK88="Married Filing Separately",Bracket_Round_MFS,Bracket_Round_Standard))))</f>
        <v/>
      </c>
      <c r="AQ88" s="24" t="str">
        <f>IF(A88="","",(IF(OR(AK88="Single",AK88="Married Filing Separately"),'CONSTANTS &amp; REFERENCES'!$C$6,IF(AK88="Married Filing Jointly",'CONSTANTS &amp; REFERENCES'!$H$6,IF(AK88="Head of Household",'CONSTANTS &amp; REFERENCES'!$M$6,""))))*AL88)</f>
        <v/>
      </c>
      <c r="AR88" s="21" t="str">
        <f>IF(AQ88="","",IF(A88=0,IF(OR(AK88="Single",AK88="Married Filing Separately"),'CONSTANTS &amp; REFERENCES'!$C$6,IF(AK88="Married Filing Jointly",'CONSTANTS &amp; REFERENCES'!$H$6,IF(AK88="Head of Household",'CONSTANTS &amp; REFERENCES'!$M$6,""))),_xlfn.FLOOR.MATH(AQ88,IF(AK88="Married Filing Separately",Bracket_Round_MFS,Bracket_Round_Standard))))</f>
        <v/>
      </c>
      <c r="AS88" s="24" t="str">
        <f>IF(A88="","",(IF(OR(AK88="Single",AK88="Married Filing Separately"),'CONSTANTS &amp; REFERENCES'!$C$7,IF(AK88="Married Filing Jointly",'CONSTANTS &amp; REFERENCES'!$H$7,IF(AK88="Head of Household",'CONSTANTS &amp; REFERENCES'!$M$7,""))))*AL88)</f>
        <v/>
      </c>
      <c r="AT88" s="21" t="str">
        <f>IF(AS88="","",IF(A88=0,IF(OR(AK88="Single",AK88="Married Filing Separately"),'CONSTANTS &amp; REFERENCES'!$C$7,IF(AK88="Married Filing Jointly",'CONSTANTS &amp; REFERENCES'!$H$7,IF(AK88="Head of Household",'CONSTANTS &amp; REFERENCES'!$M$7,""))),_xlfn.FLOOR.MATH(AS88,IF(AK88="Married Filing Separately",Bracket_Round_MFS,Bracket_Round_Standard))))</f>
        <v/>
      </c>
      <c r="AU88" s="24" t="str">
        <f>IF(A88="","",(IF(OR(AK88="Single",AK88="Married Filing Separately"),'CONSTANTS &amp; REFERENCES'!$C$8,IF(AK88="Married Filing Jointly",'CONSTANTS &amp; REFERENCES'!$H$8,IF(AK88="Head of Household",'CONSTANTS &amp; REFERENCES'!$M$8,""))))*AL88)</f>
        <v/>
      </c>
      <c r="AV88" s="21" t="str">
        <f>IF(AU88="","",IF(A88=0,IF(OR(AK88="Single",AK88="Married Filing Separately"),'CONSTANTS &amp; REFERENCES'!$C$8,IF(AK88="Married Filing Jointly",'CONSTANTS &amp; REFERENCES'!$H$8,IF(AK88="Head of Household",'CONSTANTS &amp; REFERENCES'!$M$8,""))),_xlfn.FLOOR.MATH(AU88,IF(AK88="Married Filing Separately",Bracket_Round_MFS,Bracket_Round_Standard))))</f>
        <v/>
      </c>
      <c r="AW88" s="24" t="str">
        <f>IF(A88="","",(IF(OR(AK88="Single",AK88="Married Filing Separately"),'CONSTANTS &amp; REFERENCES'!$C$9,IF(AK88="Married Filing Jointly",'CONSTANTS &amp; REFERENCES'!$H$9,IF(AK88="Head of Household",'CONSTANTS &amp; REFERENCES'!$M$9,""))))*AL88)</f>
        <v/>
      </c>
      <c r="AX88" s="21" t="str">
        <f>IF(AW88="","",IF(A88=0,IF(OR(AK88="Single",AK88="Married Filing Separately"),'CONSTANTS &amp; REFERENCES'!$C$9,IF(AK88="Married Filing Jointly",'CONSTANTS &amp; REFERENCES'!$H$9,IF(AK88="Head of Household",'CONSTANTS &amp; REFERENCES'!$M$9,""))),_xlfn.FLOOR.MATH(AW88,IF(AK88="Married Filing Separately",Bracket_Round_MFS,Bracket_Round_Standard))))</f>
        <v/>
      </c>
      <c r="AY88" s="24" t="str">
        <f>IF(A88="","",(IF(OR(AK88="Single",AK88="Married Filing Separately"),'CONSTANTS &amp; REFERENCES'!$C$10,IF(AK88="Married Filing Jointly",'CONSTANTS &amp; REFERENCES'!$H$10,IF(AK88="Head of Household",'CONSTANTS &amp; REFERENCES'!$M$10,""))))*AL88)</f>
        <v/>
      </c>
      <c r="AZ88" s="21" t="str">
        <f>IF(AY88="","",IF(A88=0,IF(OR(AK88="Single",AK88="Married Filing Separately"),'CONSTANTS &amp; REFERENCES'!$C$10,IF(AK88="Married Filing Jointly",'CONSTANTS &amp; REFERENCES'!$H$10,IF(AK88="Head of Household",'CONSTANTS &amp; REFERENCES'!$M$10,""))),_xlfn.FLOOR.MATH(AY88,IF(AK88="Married Filing Separately",Bracket_Round_MFS,Bracket_Round_Standard))))</f>
        <v/>
      </c>
      <c r="BA88" s="7" t="str">
        <f t="shared" si="43"/>
        <v/>
      </c>
      <c r="BB88" s="7" t="str">
        <f>IF(A88="","",'CONSTANTS &amp; REFERENCES'!$C$22*AL88)</f>
        <v/>
      </c>
      <c r="BC88" s="21" t="str">
        <f t="shared" si="54"/>
        <v/>
      </c>
    </row>
    <row r="89" spans="1:55" ht="18" customHeight="1" x14ac:dyDescent="0.3">
      <c r="A89" s="10" t="str">
        <f>IF(A88&lt;INPUTS!$C$7-INPUTS!$C$6,A88+1,"")</f>
        <v/>
      </c>
      <c r="B89" s="10" t="str">
        <f>IF(A89="","",INPUTS!$C$6+A89)</f>
        <v/>
      </c>
      <c r="C89" s="11" t="str">
        <f t="shared" si="44"/>
        <v/>
      </c>
      <c r="D89" s="11" t="str">
        <f>IF(A89="","",IF(A89&lt;INPUTS!$C$13,0,J89))</f>
        <v/>
      </c>
      <c r="E89" s="12" t="str">
        <f>IF(A89="","",IF(D89=0,"—",IF(Y89&lt;IF(AK89="Married Filing Jointly",'CONSTANTS &amp; REFERENCES'!$B$44,IF(AK89="Married Filing Separately",'CONSTANTS &amp; REFERENCES'!$B$45,'CONSTANTS &amp; REFERENCES'!$B$43)),"Direct","Backdoor")))</f>
        <v/>
      </c>
      <c r="F89" s="13" t="str">
        <f t="shared" si="35"/>
        <v/>
      </c>
      <c r="G89" s="14" t="str">
        <f t="shared" si="36"/>
        <v/>
      </c>
      <c r="H89" s="13" t="str">
        <f t="shared" si="37"/>
        <v/>
      </c>
      <c r="I89" s="14" t="str">
        <f t="shared" si="38"/>
        <v/>
      </c>
      <c r="J89" s="14" t="str">
        <f t="shared" si="39"/>
        <v/>
      </c>
      <c r="K89" s="11" t="str">
        <f>IF(A89="","",IF(INPUTS!$C$12="Beginning",(C89+D89)*INPUTS!$C$10,C89*INPUTS!$C$10))</f>
        <v/>
      </c>
      <c r="L89" s="11" t="str">
        <f>IF(A89="","",IF(INPUTS!$C$12="Beginning",(C89+D89)*(1+INPUTS!$C$10),C89*(1+INPUTS!$C$10)+D89))</f>
        <v/>
      </c>
      <c r="M89" s="15" t="str">
        <f>IF(A89="","",(1+INPUTS!$C$11)^A89)</f>
        <v/>
      </c>
      <c r="N89" s="11" t="str">
        <f t="shared" si="45"/>
        <v/>
      </c>
      <c r="O89" s="11" t="str">
        <f t="shared" si="46"/>
        <v/>
      </c>
      <c r="P89" s="11" t="str">
        <f>IF(A89="","",L89-INPUTS!$C$8-O89)</f>
        <v/>
      </c>
      <c r="Q89" s="16"/>
      <c r="R89" s="16"/>
      <c r="S89" s="16" t="str">
        <f t="shared" si="47"/>
        <v/>
      </c>
      <c r="T89" s="18" t="str">
        <f t="shared" si="48"/>
        <v/>
      </c>
      <c r="U89" s="18" t="str">
        <f t="shared" si="49"/>
        <v/>
      </c>
      <c r="V89" s="19" t="str">
        <f>IF(A89="","",FV(INPUTS!$C$10,INPUTS!$C$7-INPUTS!$C$6-A89+IF(INPUTS!$C$12="Beginning",1,0),0,-D89,0))</f>
        <v/>
      </c>
      <c r="W89" s="7"/>
      <c r="X89" s="7"/>
      <c r="Y89" s="21" t="str">
        <f>IF(A89="","",IF(INPUTS!$C$17="Yes",MIN(Y88*(1+INPUTS!$C$15)+IF(INPUTS!$C$27="Yes",(Z89-Z88)*INPUTS!$C$31+IF(AND(INPUTS!$C$28="Not yet credentialed",A89=INPUTS!$C$33),INPUTS!$C$32,0)+IF(AND(INPUTS!$C$28&lt;&gt;"FSA / FCAS",A89=INPUTS!$C$35),INPUTS!$C$34,0),0),INPUTS!$C$18),Y88*(1+INPUTS!$C$15)+IF(INPUTS!$C$27="Yes",(Z89-Z88)*INPUTS!$C$31+IF(AND(INPUTS!$C$28="Not yet credentialed",A89=INPUTS!$C$33),INPUTS!$C$32,0)+IF(AND(INPUTS!$C$28&lt;&gt;"FSA / FCAS",A89=INPUTS!$C$35),INPUTS!$C$34,0),0)))</f>
        <v/>
      </c>
      <c r="Z89" s="22" t="str">
        <f>IF(A89="","",IF(AND(INPUTS!$C$27="Yes",INPUTS!$C$28&lt;&gt;"FSA / FCAS",ISNUMBER(INPUTS!$C$37)),MIN(A89*INPUTS!$C$37,INPUTS!$C$30),0))</f>
        <v/>
      </c>
      <c r="AA89" s="21" t="str">
        <f t="shared" si="40"/>
        <v/>
      </c>
      <c r="AB89" s="21" t="str">
        <f t="shared" si="41"/>
        <v/>
      </c>
      <c r="AC89" s="21" t="str">
        <f>IF(A89="","",MIN(AB89,AP89)*'CONSTANTS &amp; REFERENCES'!$A$5+MAX(MIN(AB89,AR89)-AP89,0)*'CONSTANTS &amp; REFERENCES'!$A$6+MAX(MIN(AB89,AT89)-AR89,0)*'CONSTANTS &amp; REFERENCES'!$A$7+MAX(MIN(AB89,AV89)-AT89,0)*'CONSTANTS &amp; REFERENCES'!$A$8+MAX(MIN(AB89,AX89)-AV89,0)*'CONSTANTS &amp; REFERENCES'!$A$9+MAX(MIN(AB89,AZ89)-AX89,0)*'CONSTANTS &amp; REFERENCES'!$A$10+MAX(AB89-AZ89,0)*'CONSTANTS &amp; REFERENCES'!$A$11)</f>
        <v/>
      </c>
      <c r="AD89" s="21" t="str">
        <f>IF(AB89="","",IF(INPUTS!$C$20="Yes",AB89*INPUTS!$C$21,0))</f>
        <v/>
      </c>
      <c r="AE89" s="21" t="str">
        <f>IF(Y89="","",MIN(Y89,BC89)*'CONSTANTS &amp; REFERENCES'!$B$22)</f>
        <v/>
      </c>
      <c r="AF89" s="21" t="str">
        <f>IF(Y89="","",Y89*'CONSTANTS &amp; REFERENCES'!$B$24+MAX(0,Y89-IF(AK89="Married Filing Jointly",'CONSTANTS &amp; REFERENCES'!$C$26,IF(AK89="Married Filing Separately",'CONSTANTS &amp; REFERENCES'!$C$27,IF(AK89="Head of Household",'CONSTANTS &amp; REFERENCES'!$C$28,'CONSTANTS &amp; REFERENCES'!$C$25))))*'CONSTANTS &amp; REFERENCES'!$B$25)</f>
        <v/>
      </c>
      <c r="AG89" s="21" t="str">
        <f t="shared" si="50"/>
        <v/>
      </c>
      <c r="AH89" s="21" t="str">
        <f t="shared" si="51"/>
        <v/>
      </c>
      <c r="AI89" s="21" t="str">
        <f t="shared" si="52"/>
        <v/>
      </c>
      <c r="AJ89" s="21" t="str">
        <f t="shared" si="53"/>
        <v/>
      </c>
      <c r="AK89" s="7" t="str">
        <f>IF(A89="","",IF(AND(INPUTS!$C$43="Yes",A89&gt;=INPUTS!$C$45),INPUTS!$C$44,INPUTS!$C$19))</f>
        <v/>
      </c>
      <c r="AL89" s="23" t="str">
        <f t="shared" si="42"/>
        <v/>
      </c>
      <c r="AM89" s="24" t="str">
        <f>IF(A89="","",(IF(OR(AK89="Single",AK89="Married Filing Separately"),'CONSTANTS &amp; REFERENCES'!$B$13,IF(AK89="Married Filing Jointly",'CONSTANTS &amp; REFERENCES'!$G$13,IF(AK89="Head of Household",'CONSTANTS &amp; REFERENCES'!$L$13,""))))*AL89)</f>
        <v/>
      </c>
      <c r="AN89" s="21" t="str">
        <f>IF(AM89="","",IF(A89=0,IF(OR(AK89="Single",AK89="Married Filing Separately"),'CONSTANTS &amp; REFERENCES'!$B$13,IF(AK89="Married Filing Jointly",'CONSTANTS &amp; REFERENCES'!$G$13,IF(AK89="Head of Household",'CONSTANTS &amp; REFERENCES'!$L$13,""))),_xlfn.FLOOR.MATH(AM89,IF(AK89="Married Filing Separately",Bracket_Round_MFS,Bracket_Round_Standard))))</f>
        <v/>
      </c>
      <c r="AO89" s="24" t="str">
        <f>IF(A89="","",(IF(OR(AK89="Single",AK89="Married Filing Separately"),'CONSTANTS &amp; REFERENCES'!$C$5,IF(AK89="Married Filing Jointly",'CONSTANTS &amp; REFERENCES'!$H$5,IF(AK89="Head of Household",'CONSTANTS &amp; REFERENCES'!$M$5,""))))*AL89)</f>
        <v/>
      </c>
      <c r="AP89" s="21" t="str">
        <f>IF(AO89="","",IF(A89=0,IF(OR(AK89="Single",AK89="Married Filing Separately"),'CONSTANTS &amp; REFERENCES'!$C$5,IF(AK89="Married Filing Jointly",'CONSTANTS &amp; REFERENCES'!$H$5,IF(AK89="Head of Household",'CONSTANTS &amp; REFERENCES'!$M$5,""))),_xlfn.FLOOR.MATH(AO89,IF(AK89="Married Filing Separately",Bracket_Round_MFS,Bracket_Round_Standard))))</f>
        <v/>
      </c>
      <c r="AQ89" s="24" t="str">
        <f>IF(A89="","",(IF(OR(AK89="Single",AK89="Married Filing Separately"),'CONSTANTS &amp; REFERENCES'!$C$6,IF(AK89="Married Filing Jointly",'CONSTANTS &amp; REFERENCES'!$H$6,IF(AK89="Head of Household",'CONSTANTS &amp; REFERENCES'!$M$6,""))))*AL89)</f>
        <v/>
      </c>
      <c r="AR89" s="21" t="str">
        <f>IF(AQ89="","",IF(A89=0,IF(OR(AK89="Single",AK89="Married Filing Separately"),'CONSTANTS &amp; REFERENCES'!$C$6,IF(AK89="Married Filing Jointly",'CONSTANTS &amp; REFERENCES'!$H$6,IF(AK89="Head of Household",'CONSTANTS &amp; REFERENCES'!$M$6,""))),_xlfn.FLOOR.MATH(AQ89,IF(AK89="Married Filing Separately",Bracket_Round_MFS,Bracket_Round_Standard))))</f>
        <v/>
      </c>
      <c r="AS89" s="24" t="str">
        <f>IF(A89="","",(IF(OR(AK89="Single",AK89="Married Filing Separately"),'CONSTANTS &amp; REFERENCES'!$C$7,IF(AK89="Married Filing Jointly",'CONSTANTS &amp; REFERENCES'!$H$7,IF(AK89="Head of Household",'CONSTANTS &amp; REFERENCES'!$M$7,""))))*AL89)</f>
        <v/>
      </c>
      <c r="AT89" s="21" t="str">
        <f>IF(AS89="","",IF(A89=0,IF(OR(AK89="Single",AK89="Married Filing Separately"),'CONSTANTS &amp; REFERENCES'!$C$7,IF(AK89="Married Filing Jointly",'CONSTANTS &amp; REFERENCES'!$H$7,IF(AK89="Head of Household",'CONSTANTS &amp; REFERENCES'!$M$7,""))),_xlfn.FLOOR.MATH(AS89,IF(AK89="Married Filing Separately",Bracket_Round_MFS,Bracket_Round_Standard))))</f>
        <v/>
      </c>
      <c r="AU89" s="24" t="str">
        <f>IF(A89="","",(IF(OR(AK89="Single",AK89="Married Filing Separately"),'CONSTANTS &amp; REFERENCES'!$C$8,IF(AK89="Married Filing Jointly",'CONSTANTS &amp; REFERENCES'!$H$8,IF(AK89="Head of Household",'CONSTANTS &amp; REFERENCES'!$M$8,""))))*AL89)</f>
        <v/>
      </c>
      <c r="AV89" s="21" t="str">
        <f>IF(AU89="","",IF(A89=0,IF(OR(AK89="Single",AK89="Married Filing Separately"),'CONSTANTS &amp; REFERENCES'!$C$8,IF(AK89="Married Filing Jointly",'CONSTANTS &amp; REFERENCES'!$H$8,IF(AK89="Head of Household",'CONSTANTS &amp; REFERENCES'!$M$8,""))),_xlfn.FLOOR.MATH(AU89,IF(AK89="Married Filing Separately",Bracket_Round_MFS,Bracket_Round_Standard))))</f>
        <v/>
      </c>
      <c r="AW89" s="24" t="str">
        <f>IF(A89="","",(IF(OR(AK89="Single",AK89="Married Filing Separately"),'CONSTANTS &amp; REFERENCES'!$C$9,IF(AK89="Married Filing Jointly",'CONSTANTS &amp; REFERENCES'!$H$9,IF(AK89="Head of Household",'CONSTANTS &amp; REFERENCES'!$M$9,""))))*AL89)</f>
        <v/>
      </c>
      <c r="AX89" s="21" t="str">
        <f>IF(AW89="","",IF(A89=0,IF(OR(AK89="Single",AK89="Married Filing Separately"),'CONSTANTS &amp; REFERENCES'!$C$9,IF(AK89="Married Filing Jointly",'CONSTANTS &amp; REFERENCES'!$H$9,IF(AK89="Head of Household",'CONSTANTS &amp; REFERENCES'!$M$9,""))),_xlfn.FLOOR.MATH(AW89,IF(AK89="Married Filing Separately",Bracket_Round_MFS,Bracket_Round_Standard))))</f>
        <v/>
      </c>
      <c r="AY89" s="24" t="str">
        <f>IF(A89="","",(IF(OR(AK89="Single",AK89="Married Filing Separately"),'CONSTANTS &amp; REFERENCES'!$C$10,IF(AK89="Married Filing Jointly",'CONSTANTS &amp; REFERENCES'!$H$10,IF(AK89="Head of Household",'CONSTANTS &amp; REFERENCES'!$M$10,""))))*AL89)</f>
        <v/>
      </c>
      <c r="AZ89" s="21" t="str">
        <f>IF(AY89="","",IF(A89=0,IF(OR(AK89="Single",AK89="Married Filing Separately"),'CONSTANTS &amp; REFERENCES'!$C$10,IF(AK89="Married Filing Jointly",'CONSTANTS &amp; REFERENCES'!$H$10,IF(AK89="Head of Household",'CONSTANTS &amp; REFERENCES'!$M$10,""))),_xlfn.FLOOR.MATH(AY89,IF(AK89="Married Filing Separately",Bracket_Round_MFS,Bracket_Round_Standard))))</f>
        <v/>
      </c>
      <c r="BA89" s="7" t="str">
        <f t="shared" si="43"/>
        <v/>
      </c>
      <c r="BB89" s="7" t="str">
        <f>IF(A89="","",'CONSTANTS &amp; REFERENCES'!$C$22*AL89)</f>
        <v/>
      </c>
      <c r="BC89" s="21" t="str">
        <f t="shared" si="54"/>
        <v/>
      </c>
    </row>
    <row r="90" spans="1:55" ht="18" customHeight="1" x14ac:dyDescent="0.3">
      <c r="A90" s="10" t="str">
        <f>IF(A89&lt;INPUTS!$C$7-INPUTS!$C$6,A89+1,"")</f>
        <v/>
      </c>
      <c r="B90" s="10" t="str">
        <f>IF(A90="","",INPUTS!$C$6+A90)</f>
        <v/>
      </c>
      <c r="C90" s="11" t="str">
        <f t="shared" si="44"/>
        <v/>
      </c>
      <c r="D90" s="11" t="str">
        <f>IF(A90="","",IF(A90&lt;INPUTS!$C$13,0,J90))</f>
        <v/>
      </c>
      <c r="E90" s="12" t="str">
        <f>IF(A90="","",IF(D90=0,"—",IF(Y90&lt;IF(AK90="Married Filing Jointly",'CONSTANTS &amp; REFERENCES'!$B$44,IF(AK90="Married Filing Separately",'CONSTANTS &amp; REFERENCES'!$B$45,'CONSTANTS &amp; REFERENCES'!$B$43)),"Direct","Backdoor")))</f>
        <v/>
      </c>
      <c r="F90" s="13" t="str">
        <f t="shared" si="35"/>
        <v/>
      </c>
      <c r="G90" s="14" t="str">
        <f t="shared" si="36"/>
        <v/>
      </c>
      <c r="H90" s="13" t="str">
        <f t="shared" si="37"/>
        <v/>
      </c>
      <c r="I90" s="14" t="str">
        <f t="shared" si="38"/>
        <v/>
      </c>
      <c r="J90" s="14" t="str">
        <f t="shared" si="39"/>
        <v/>
      </c>
      <c r="K90" s="11" t="str">
        <f>IF(A90="","",IF(INPUTS!$C$12="Beginning",(C90+D90)*INPUTS!$C$10,C90*INPUTS!$C$10))</f>
        <v/>
      </c>
      <c r="L90" s="11" t="str">
        <f>IF(A90="","",IF(INPUTS!$C$12="Beginning",(C90+D90)*(1+INPUTS!$C$10),C90*(1+INPUTS!$C$10)+D90))</f>
        <v/>
      </c>
      <c r="M90" s="15" t="str">
        <f>IF(A90="","",(1+INPUTS!$C$11)^A90)</f>
        <v/>
      </c>
      <c r="N90" s="11" t="str">
        <f t="shared" si="45"/>
        <v/>
      </c>
      <c r="O90" s="11" t="str">
        <f t="shared" si="46"/>
        <v/>
      </c>
      <c r="P90" s="11" t="str">
        <f>IF(A90="","",L90-INPUTS!$C$8-O90)</f>
        <v/>
      </c>
      <c r="Q90" s="16"/>
      <c r="R90" s="16"/>
      <c r="S90" s="16" t="str">
        <f t="shared" si="47"/>
        <v/>
      </c>
      <c r="T90" s="18" t="str">
        <f t="shared" si="48"/>
        <v/>
      </c>
      <c r="U90" s="18" t="str">
        <f t="shared" si="49"/>
        <v/>
      </c>
      <c r="V90" s="19" t="str">
        <f>IF(A90="","",FV(INPUTS!$C$10,INPUTS!$C$7-INPUTS!$C$6-A90+IF(INPUTS!$C$12="Beginning",1,0),0,-D90,0))</f>
        <v/>
      </c>
      <c r="W90" s="7"/>
      <c r="X90" s="7"/>
      <c r="Y90" s="21" t="str">
        <f>IF(A90="","",IF(INPUTS!$C$17="Yes",MIN(Y89*(1+INPUTS!$C$15)+IF(INPUTS!$C$27="Yes",(Z90-Z89)*INPUTS!$C$31+IF(AND(INPUTS!$C$28="Not yet credentialed",A90=INPUTS!$C$33),INPUTS!$C$32,0)+IF(AND(INPUTS!$C$28&lt;&gt;"FSA / FCAS",A90=INPUTS!$C$35),INPUTS!$C$34,0),0),INPUTS!$C$18),Y89*(1+INPUTS!$C$15)+IF(INPUTS!$C$27="Yes",(Z90-Z89)*INPUTS!$C$31+IF(AND(INPUTS!$C$28="Not yet credentialed",A90=INPUTS!$C$33),INPUTS!$C$32,0)+IF(AND(INPUTS!$C$28&lt;&gt;"FSA / FCAS",A90=INPUTS!$C$35),INPUTS!$C$34,0),0)))</f>
        <v/>
      </c>
      <c r="Z90" s="22" t="str">
        <f>IF(A90="","",IF(AND(INPUTS!$C$27="Yes",INPUTS!$C$28&lt;&gt;"FSA / FCAS",ISNUMBER(INPUTS!$C$37)),MIN(A90*INPUTS!$C$37,INPUTS!$C$30),0))</f>
        <v/>
      </c>
      <c r="AA90" s="21" t="str">
        <f t="shared" si="40"/>
        <v/>
      </c>
      <c r="AB90" s="21" t="str">
        <f t="shared" si="41"/>
        <v/>
      </c>
      <c r="AC90" s="21" t="str">
        <f>IF(A90="","",MIN(AB90,AP90)*'CONSTANTS &amp; REFERENCES'!$A$5+MAX(MIN(AB90,AR90)-AP90,0)*'CONSTANTS &amp; REFERENCES'!$A$6+MAX(MIN(AB90,AT90)-AR90,0)*'CONSTANTS &amp; REFERENCES'!$A$7+MAX(MIN(AB90,AV90)-AT90,0)*'CONSTANTS &amp; REFERENCES'!$A$8+MAX(MIN(AB90,AX90)-AV90,0)*'CONSTANTS &amp; REFERENCES'!$A$9+MAX(MIN(AB90,AZ90)-AX90,0)*'CONSTANTS &amp; REFERENCES'!$A$10+MAX(AB90-AZ90,0)*'CONSTANTS &amp; REFERENCES'!$A$11)</f>
        <v/>
      </c>
      <c r="AD90" s="21" t="str">
        <f>IF(AB90="","",IF(INPUTS!$C$20="Yes",AB90*INPUTS!$C$21,0))</f>
        <v/>
      </c>
      <c r="AE90" s="21" t="str">
        <f>IF(Y90="","",MIN(Y90,BC90)*'CONSTANTS &amp; REFERENCES'!$B$22)</f>
        <v/>
      </c>
      <c r="AF90" s="21" t="str">
        <f>IF(Y90="","",Y90*'CONSTANTS &amp; REFERENCES'!$B$24+MAX(0,Y90-IF(AK90="Married Filing Jointly",'CONSTANTS &amp; REFERENCES'!$C$26,IF(AK90="Married Filing Separately",'CONSTANTS &amp; REFERENCES'!$C$27,IF(AK90="Head of Household",'CONSTANTS &amp; REFERENCES'!$C$28,'CONSTANTS &amp; REFERENCES'!$C$25))))*'CONSTANTS &amp; REFERENCES'!$B$25)</f>
        <v/>
      </c>
      <c r="AG90" s="21" t="str">
        <f t="shared" si="50"/>
        <v/>
      </c>
      <c r="AH90" s="21" t="str">
        <f t="shared" si="51"/>
        <v/>
      </c>
      <c r="AI90" s="21" t="str">
        <f t="shared" si="52"/>
        <v/>
      </c>
      <c r="AJ90" s="21" t="str">
        <f t="shared" si="53"/>
        <v/>
      </c>
      <c r="AK90" s="7" t="str">
        <f>IF(A90="","",IF(AND(INPUTS!$C$43="Yes",A90&gt;=INPUTS!$C$45),INPUTS!$C$44,INPUTS!$C$19))</f>
        <v/>
      </c>
      <c r="AL90" s="23" t="str">
        <f t="shared" si="42"/>
        <v/>
      </c>
      <c r="AM90" s="24" t="str">
        <f>IF(A90="","",(IF(OR(AK90="Single",AK90="Married Filing Separately"),'CONSTANTS &amp; REFERENCES'!$B$13,IF(AK90="Married Filing Jointly",'CONSTANTS &amp; REFERENCES'!$G$13,IF(AK90="Head of Household",'CONSTANTS &amp; REFERENCES'!$L$13,""))))*AL90)</f>
        <v/>
      </c>
      <c r="AN90" s="21" t="str">
        <f>IF(AM90="","",IF(A90=0,IF(OR(AK90="Single",AK90="Married Filing Separately"),'CONSTANTS &amp; REFERENCES'!$B$13,IF(AK90="Married Filing Jointly",'CONSTANTS &amp; REFERENCES'!$G$13,IF(AK90="Head of Household",'CONSTANTS &amp; REFERENCES'!$L$13,""))),_xlfn.FLOOR.MATH(AM90,IF(AK90="Married Filing Separately",Bracket_Round_MFS,Bracket_Round_Standard))))</f>
        <v/>
      </c>
      <c r="AO90" s="24" t="str">
        <f>IF(A90="","",(IF(OR(AK90="Single",AK90="Married Filing Separately"),'CONSTANTS &amp; REFERENCES'!$C$5,IF(AK90="Married Filing Jointly",'CONSTANTS &amp; REFERENCES'!$H$5,IF(AK90="Head of Household",'CONSTANTS &amp; REFERENCES'!$M$5,""))))*AL90)</f>
        <v/>
      </c>
      <c r="AP90" s="21" t="str">
        <f>IF(AO90="","",IF(A90=0,IF(OR(AK90="Single",AK90="Married Filing Separately"),'CONSTANTS &amp; REFERENCES'!$C$5,IF(AK90="Married Filing Jointly",'CONSTANTS &amp; REFERENCES'!$H$5,IF(AK90="Head of Household",'CONSTANTS &amp; REFERENCES'!$M$5,""))),_xlfn.FLOOR.MATH(AO90,IF(AK90="Married Filing Separately",Bracket_Round_MFS,Bracket_Round_Standard))))</f>
        <v/>
      </c>
      <c r="AQ90" s="24" t="str">
        <f>IF(A90="","",(IF(OR(AK90="Single",AK90="Married Filing Separately"),'CONSTANTS &amp; REFERENCES'!$C$6,IF(AK90="Married Filing Jointly",'CONSTANTS &amp; REFERENCES'!$H$6,IF(AK90="Head of Household",'CONSTANTS &amp; REFERENCES'!$M$6,""))))*AL90)</f>
        <v/>
      </c>
      <c r="AR90" s="21" t="str">
        <f>IF(AQ90="","",IF(A90=0,IF(OR(AK90="Single",AK90="Married Filing Separately"),'CONSTANTS &amp; REFERENCES'!$C$6,IF(AK90="Married Filing Jointly",'CONSTANTS &amp; REFERENCES'!$H$6,IF(AK90="Head of Household",'CONSTANTS &amp; REFERENCES'!$M$6,""))),_xlfn.FLOOR.MATH(AQ90,IF(AK90="Married Filing Separately",Bracket_Round_MFS,Bracket_Round_Standard))))</f>
        <v/>
      </c>
      <c r="AS90" s="24" t="str">
        <f>IF(A90="","",(IF(OR(AK90="Single",AK90="Married Filing Separately"),'CONSTANTS &amp; REFERENCES'!$C$7,IF(AK90="Married Filing Jointly",'CONSTANTS &amp; REFERENCES'!$H$7,IF(AK90="Head of Household",'CONSTANTS &amp; REFERENCES'!$M$7,""))))*AL90)</f>
        <v/>
      </c>
      <c r="AT90" s="21" t="str">
        <f>IF(AS90="","",IF(A90=0,IF(OR(AK90="Single",AK90="Married Filing Separately"),'CONSTANTS &amp; REFERENCES'!$C$7,IF(AK90="Married Filing Jointly",'CONSTANTS &amp; REFERENCES'!$H$7,IF(AK90="Head of Household",'CONSTANTS &amp; REFERENCES'!$M$7,""))),_xlfn.FLOOR.MATH(AS90,IF(AK90="Married Filing Separately",Bracket_Round_MFS,Bracket_Round_Standard))))</f>
        <v/>
      </c>
      <c r="AU90" s="24" t="str">
        <f>IF(A90="","",(IF(OR(AK90="Single",AK90="Married Filing Separately"),'CONSTANTS &amp; REFERENCES'!$C$8,IF(AK90="Married Filing Jointly",'CONSTANTS &amp; REFERENCES'!$H$8,IF(AK90="Head of Household",'CONSTANTS &amp; REFERENCES'!$M$8,""))))*AL90)</f>
        <v/>
      </c>
      <c r="AV90" s="21" t="str">
        <f>IF(AU90="","",IF(A90=0,IF(OR(AK90="Single",AK90="Married Filing Separately"),'CONSTANTS &amp; REFERENCES'!$C$8,IF(AK90="Married Filing Jointly",'CONSTANTS &amp; REFERENCES'!$H$8,IF(AK90="Head of Household",'CONSTANTS &amp; REFERENCES'!$M$8,""))),_xlfn.FLOOR.MATH(AU90,IF(AK90="Married Filing Separately",Bracket_Round_MFS,Bracket_Round_Standard))))</f>
        <v/>
      </c>
      <c r="AW90" s="24" t="str">
        <f>IF(A90="","",(IF(OR(AK90="Single",AK90="Married Filing Separately"),'CONSTANTS &amp; REFERENCES'!$C$9,IF(AK90="Married Filing Jointly",'CONSTANTS &amp; REFERENCES'!$H$9,IF(AK90="Head of Household",'CONSTANTS &amp; REFERENCES'!$M$9,""))))*AL90)</f>
        <v/>
      </c>
      <c r="AX90" s="21" t="str">
        <f>IF(AW90="","",IF(A90=0,IF(OR(AK90="Single",AK90="Married Filing Separately"),'CONSTANTS &amp; REFERENCES'!$C$9,IF(AK90="Married Filing Jointly",'CONSTANTS &amp; REFERENCES'!$H$9,IF(AK90="Head of Household",'CONSTANTS &amp; REFERENCES'!$M$9,""))),_xlfn.FLOOR.MATH(AW90,IF(AK90="Married Filing Separately",Bracket_Round_MFS,Bracket_Round_Standard))))</f>
        <v/>
      </c>
      <c r="AY90" s="24" t="str">
        <f>IF(A90="","",(IF(OR(AK90="Single",AK90="Married Filing Separately"),'CONSTANTS &amp; REFERENCES'!$C$10,IF(AK90="Married Filing Jointly",'CONSTANTS &amp; REFERENCES'!$H$10,IF(AK90="Head of Household",'CONSTANTS &amp; REFERENCES'!$M$10,""))))*AL90)</f>
        <v/>
      </c>
      <c r="AZ90" s="21" t="str">
        <f>IF(AY90="","",IF(A90=0,IF(OR(AK90="Single",AK90="Married Filing Separately"),'CONSTANTS &amp; REFERENCES'!$C$10,IF(AK90="Married Filing Jointly",'CONSTANTS &amp; REFERENCES'!$H$10,IF(AK90="Head of Household",'CONSTANTS &amp; REFERENCES'!$M$10,""))),_xlfn.FLOOR.MATH(AY90,IF(AK90="Married Filing Separately",Bracket_Round_MFS,Bracket_Round_Standard))))</f>
        <v/>
      </c>
      <c r="BA90" s="7" t="str">
        <f t="shared" si="43"/>
        <v/>
      </c>
      <c r="BB90" s="7" t="str">
        <f>IF(A90="","",'CONSTANTS &amp; REFERENCES'!$C$22*AL90)</f>
        <v/>
      </c>
      <c r="BC90" s="21" t="str">
        <f t="shared" si="54"/>
        <v/>
      </c>
    </row>
    <row r="91" spans="1:55" ht="18" customHeight="1" x14ac:dyDescent="0.3">
      <c r="A91" s="10" t="str">
        <f>IF(A90&lt;INPUTS!$C$7-INPUTS!$C$6,A90+1,"")</f>
        <v/>
      </c>
      <c r="B91" s="10" t="str">
        <f>IF(A91="","",INPUTS!$C$6+A91)</f>
        <v/>
      </c>
      <c r="C91" s="11" t="str">
        <f t="shared" si="44"/>
        <v/>
      </c>
      <c r="D91" s="11" t="str">
        <f>IF(A91="","",IF(A91&lt;INPUTS!$C$13,0,J91))</f>
        <v/>
      </c>
      <c r="E91" s="12" t="str">
        <f>IF(A91="","",IF(D91=0,"—",IF(Y91&lt;IF(AK91="Married Filing Jointly",'CONSTANTS &amp; REFERENCES'!$B$44,IF(AK91="Married Filing Separately",'CONSTANTS &amp; REFERENCES'!$B$45,'CONSTANTS &amp; REFERENCES'!$B$43)),"Direct","Backdoor")))</f>
        <v/>
      </c>
      <c r="F91" s="13" t="str">
        <f t="shared" si="35"/>
        <v/>
      </c>
      <c r="G91" s="14" t="str">
        <f t="shared" si="36"/>
        <v/>
      </c>
      <c r="H91" s="13" t="str">
        <f t="shared" si="37"/>
        <v/>
      </c>
      <c r="I91" s="14" t="str">
        <f t="shared" si="38"/>
        <v/>
      </c>
      <c r="J91" s="14" t="str">
        <f t="shared" si="39"/>
        <v/>
      </c>
      <c r="K91" s="11" t="str">
        <f>IF(A91="","",IF(INPUTS!$C$12="Beginning",(C91+D91)*INPUTS!$C$10,C91*INPUTS!$C$10))</f>
        <v/>
      </c>
      <c r="L91" s="11" t="str">
        <f>IF(A91="","",IF(INPUTS!$C$12="Beginning",(C91+D91)*(1+INPUTS!$C$10),C91*(1+INPUTS!$C$10)+D91))</f>
        <v/>
      </c>
      <c r="M91" s="15" t="str">
        <f>IF(A91="","",(1+INPUTS!$C$11)^A91)</f>
        <v/>
      </c>
      <c r="N91" s="11" t="str">
        <f t="shared" si="45"/>
        <v/>
      </c>
      <c r="O91" s="11" t="str">
        <f t="shared" si="46"/>
        <v/>
      </c>
      <c r="P91" s="11" t="str">
        <f>IF(A91="","",L91-INPUTS!$C$8-O91)</f>
        <v/>
      </c>
      <c r="Q91" s="16"/>
      <c r="R91" s="16"/>
      <c r="S91" s="16" t="str">
        <f t="shared" si="47"/>
        <v/>
      </c>
      <c r="T91" s="18" t="str">
        <f t="shared" si="48"/>
        <v/>
      </c>
      <c r="U91" s="18" t="str">
        <f t="shared" si="49"/>
        <v/>
      </c>
      <c r="V91" s="19" t="str">
        <f>IF(A91="","",FV(INPUTS!$C$10,INPUTS!$C$7-INPUTS!$C$6-A91+IF(INPUTS!$C$12="Beginning",1,0),0,-D91,0))</f>
        <v/>
      </c>
      <c r="W91" s="7"/>
      <c r="X91" s="7"/>
      <c r="Y91" s="21" t="str">
        <f>IF(A91="","",IF(INPUTS!$C$17="Yes",MIN(Y90*(1+INPUTS!$C$15)+IF(INPUTS!$C$27="Yes",(Z91-Z90)*INPUTS!$C$31+IF(AND(INPUTS!$C$28="Not yet credentialed",A91=INPUTS!$C$33),INPUTS!$C$32,0)+IF(AND(INPUTS!$C$28&lt;&gt;"FSA / FCAS",A91=INPUTS!$C$35),INPUTS!$C$34,0),0),INPUTS!$C$18),Y90*(1+INPUTS!$C$15)+IF(INPUTS!$C$27="Yes",(Z91-Z90)*INPUTS!$C$31+IF(AND(INPUTS!$C$28="Not yet credentialed",A91=INPUTS!$C$33),INPUTS!$C$32,0)+IF(AND(INPUTS!$C$28&lt;&gt;"FSA / FCAS",A91=INPUTS!$C$35),INPUTS!$C$34,0),0)))</f>
        <v/>
      </c>
      <c r="Z91" s="22" t="str">
        <f>IF(A91="","",IF(AND(INPUTS!$C$27="Yes",INPUTS!$C$28&lt;&gt;"FSA / FCAS",ISNUMBER(INPUTS!$C$37)),MIN(A91*INPUTS!$C$37,INPUTS!$C$30),0))</f>
        <v/>
      </c>
      <c r="AA91" s="21" t="str">
        <f t="shared" si="40"/>
        <v/>
      </c>
      <c r="AB91" s="21" t="str">
        <f t="shared" si="41"/>
        <v/>
      </c>
      <c r="AC91" s="21" t="str">
        <f>IF(A91="","",MIN(AB91,AP91)*'CONSTANTS &amp; REFERENCES'!$A$5+MAX(MIN(AB91,AR91)-AP91,0)*'CONSTANTS &amp; REFERENCES'!$A$6+MAX(MIN(AB91,AT91)-AR91,0)*'CONSTANTS &amp; REFERENCES'!$A$7+MAX(MIN(AB91,AV91)-AT91,0)*'CONSTANTS &amp; REFERENCES'!$A$8+MAX(MIN(AB91,AX91)-AV91,0)*'CONSTANTS &amp; REFERENCES'!$A$9+MAX(MIN(AB91,AZ91)-AX91,0)*'CONSTANTS &amp; REFERENCES'!$A$10+MAX(AB91-AZ91,0)*'CONSTANTS &amp; REFERENCES'!$A$11)</f>
        <v/>
      </c>
      <c r="AD91" s="21" t="str">
        <f>IF(AB91="","",IF(INPUTS!$C$20="Yes",AB91*INPUTS!$C$21,0))</f>
        <v/>
      </c>
      <c r="AE91" s="21" t="str">
        <f>IF(Y91="","",MIN(Y91,BC91)*'CONSTANTS &amp; REFERENCES'!$B$22)</f>
        <v/>
      </c>
      <c r="AF91" s="21" t="str">
        <f>IF(Y91="","",Y91*'CONSTANTS &amp; REFERENCES'!$B$24+MAX(0,Y91-IF(AK91="Married Filing Jointly",'CONSTANTS &amp; REFERENCES'!$C$26,IF(AK91="Married Filing Separately",'CONSTANTS &amp; REFERENCES'!$C$27,IF(AK91="Head of Household",'CONSTANTS &amp; REFERENCES'!$C$28,'CONSTANTS &amp; REFERENCES'!$C$25))))*'CONSTANTS &amp; REFERENCES'!$B$25)</f>
        <v/>
      </c>
      <c r="AG91" s="21" t="str">
        <f t="shared" si="50"/>
        <v/>
      </c>
      <c r="AH91" s="21" t="str">
        <f t="shared" si="51"/>
        <v/>
      </c>
      <c r="AI91" s="21" t="str">
        <f t="shared" si="52"/>
        <v/>
      </c>
      <c r="AJ91" s="21" t="str">
        <f t="shared" si="53"/>
        <v/>
      </c>
      <c r="AK91" s="7" t="str">
        <f>IF(A91="","",IF(AND(INPUTS!$C$43="Yes",A91&gt;=INPUTS!$C$45),INPUTS!$C$44,INPUTS!$C$19))</f>
        <v/>
      </c>
      <c r="AL91" s="23" t="str">
        <f t="shared" si="42"/>
        <v/>
      </c>
      <c r="AM91" s="24" t="str">
        <f>IF(A91="","",(IF(OR(AK91="Single",AK91="Married Filing Separately"),'CONSTANTS &amp; REFERENCES'!$B$13,IF(AK91="Married Filing Jointly",'CONSTANTS &amp; REFERENCES'!$G$13,IF(AK91="Head of Household",'CONSTANTS &amp; REFERENCES'!$L$13,""))))*AL91)</f>
        <v/>
      </c>
      <c r="AN91" s="21" t="str">
        <f>IF(AM91="","",IF(A91=0,IF(OR(AK91="Single",AK91="Married Filing Separately"),'CONSTANTS &amp; REFERENCES'!$B$13,IF(AK91="Married Filing Jointly",'CONSTANTS &amp; REFERENCES'!$G$13,IF(AK91="Head of Household",'CONSTANTS &amp; REFERENCES'!$L$13,""))),_xlfn.FLOOR.MATH(AM91,IF(AK91="Married Filing Separately",Bracket_Round_MFS,Bracket_Round_Standard))))</f>
        <v/>
      </c>
      <c r="AO91" s="24" t="str">
        <f>IF(A91="","",(IF(OR(AK91="Single",AK91="Married Filing Separately"),'CONSTANTS &amp; REFERENCES'!$C$5,IF(AK91="Married Filing Jointly",'CONSTANTS &amp; REFERENCES'!$H$5,IF(AK91="Head of Household",'CONSTANTS &amp; REFERENCES'!$M$5,""))))*AL91)</f>
        <v/>
      </c>
      <c r="AP91" s="21" t="str">
        <f>IF(AO91="","",IF(A91=0,IF(OR(AK91="Single",AK91="Married Filing Separately"),'CONSTANTS &amp; REFERENCES'!$C$5,IF(AK91="Married Filing Jointly",'CONSTANTS &amp; REFERENCES'!$H$5,IF(AK91="Head of Household",'CONSTANTS &amp; REFERENCES'!$M$5,""))),_xlfn.FLOOR.MATH(AO91,IF(AK91="Married Filing Separately",Bracket_Round_MFS,Bracket_Round_Standard))))</f>
        <v/>
      </c>
      <c r="AQ91" s="24" t="str">
        <f>IF(A91="","",(IF(OR(AK91="Single",AK91="Married Filing Separately"),'CONSTANTS &amp; REFERENCES'!$C$6,IF(AK91="Married Filing Jointly",'CONSTANTS &amp; REFERENCES'!$H$6,IF(AK91="Head of Household",'CONSTANTS &amp; REFERENCES'!$M$6,""))))*AL91)</f>
        <v/>
      </c>
      <c r="AR91" s="21" t="str">
        <f>IF(AQ91="","",IF(A91=0,IF(OR(AK91="Single",AK91="Married Filing Separately"),'CONSTANTS &amp; REFERENCES'!$C$6,IF(AK91="Married Filing Jointly",'CONSTANTS &amp; REFERENCES'!$H$6,IF(AK91="Head of Household",'CONSTANTS &amp; REFERENCES'!$M$6,""))),_xlfn.FLOOR.MATH(AQ91,IF(AK91="Married Filing Separately",Bracket_Round_MFS,Bracket_Round_Standard))))</f>
        <v/>
      </c>
      <c r="AS91" s="24" t="str">
        <f>IF(A91="","",(IF(OR(AK91="Single",AK91="Married Filing Separately"),'CONSTANTS &amp; REFERENCES'!$C$7,IF(AK91="Married Filing Jointly",'CONSTANTS &amp; REFERENCES'!$H$7,IF(AK91="Head of Household",'CONSTANTS &amp; REFERENCES'!$M$7,""))))*AL91)</f>
        <v/>
      </c>
      <c r="AT91" s="21" t="str">
        <f>IF(AS91="","",IF(A91=0,IF(OR(AK91="Single",AK91="Married Filing Separately"),'CONSTANTS &amp; REFERENCES'!$C$7,IF(AK91="Married Filing Jointly",'CONSTANTS &amp; REFERENCES'!$H$7,IF(AK91="Head of Household",'CONSTANTS &amp; REFERENCES'!$M$7,""))),_xlfn.FLOOR.MATH(AS91,IF(AK91="Married Filing Separately",Bracket_Round_MFS,Bracket_Round_Standard))))</f>
        <v/>
      </c>
      <c r="AU91" s="24" t="str">
        <f>IF(A91="","",(IF(OR(AK91="Single",AK91="Married Filing Separately"),'CONSTANTS &amp; REFERENCES'!$C$8,IF(AK91="Married Filing Jointly",'CONSTANTS &amp; REFERENCES'!$H$8,IF(AK91="Head of Household",'CONSTANTS &amp; REFERENCES'!$M$8,""))))*AL91)</f>
        <v/>
      </c>
      <c r="AV91" s="21" t="str">
        <f>IF(AU91="","",IF(A91=0,IF(OR(AK91="Single",AK91="Married Filing Separately"),'CONSTANTS &amp; REFERENCES'!$C$8,IF(AK91="Married Filing Jointly",'CONSTANTS &amp; REFERENCES'!$H$8,IF(AK91="Head of Household",'CONSTANTS &amp; REFERENCES'!$M$8,""))),_xlfn.FLOOR.MATH(AU91,IF(AK91="Married Filing Separately",Bracket_Round_MFS,Bracket_Round_Standard))))</f>
        <v/>
      </c>
      <c r="AW91" s="24" t="str">
        <f>IF(A91="","",(IF(OR(AK91="Single",AK91="Married Filing Separately"),'CONSTANTS &amp; REFERENCES'!$C$9,IF(AK91="Married Filing Jointly",'CONSTANTS &amp; REFERENCES'!$H$9,IF(AK91="Head of Household",'CONSTANTS &amp; REFERENCES'!$M$9,""))))*AL91)</f>
        <v/>
      </c>
      <c r="AX91" s="21" t="str">
        <f>IF(AW91="","",IF(A91=0,IF(OR(AK91="Single",AK91="Married Filing Separately"),'CONSTANTS &amp; REFERENCES'!$C$9,IF(AK91="Married Filing Jointly",'CONSTANTS &amp; REFERENCES'!$H$9,IF(AK91="Head of Household",'CONSTANTS &amp; REFERENCES'!$M$9,""))),_xlfn.FLOOR.MATH(AW91,IF(AK91="Married Filing Separately",Bracket_Round_MFS,Bracket_Round_Standard))))</f>
        <v/>
      </c>
      <c r="AY91" s="24" t="str">
        <f>IF(A91="","",(IF(OR(AK91="Single",AK91="Married Filing Separately"),'CONSTANTS &amp; REFERENCES'!$C$10,IF(AK91="Married Filing Jointly",'CONSTANTS &amp; REFERENCES'!$H$10,IF(AK91="Head of Household",'CONSTANTS &amp; REFERENCES'!$M$10,""))))*AL91)</f>
        <v/>
      </c>
      <c r="AZ91" s="21" t="str">
        <f>IF(AY91="","",IF(A91=0,IF(OR(AK91="Single",AK91="Married Filing Separately"),'CONSTANTS &amp; REFERENCES'!$C$10,IF(AK91="Married Filing Jointly",'CONSTANTS &amp; REFERENCES'!$H$10,IF(AK91="Head of Household",'CONSTANTS &amp; REFERENCES'!$M$10,""))),_xlfn.FLOOR.MATH(AY91,IF(AK91="Married Filing Separately",Bracket_Round_MFS,Bracket_Round_Standard))))</f>
        <v/>
      </c>
      <c r="BA91" s="7" t="str">
        <f t="shared" si="43"/>
        <v/>
      </c>
      <c r="BB91" s="7" t="str">
        <f>IF(A91="","",'CONSTANTS &amp; REFERENCES'!$C$22*AL91)</f>
        <v/>
      </c>
      <c r="BC91" s="21" t="str">
        <f t="shared" si="54"/>
        <v/>
      </c>
    </row>
    <row r="92" spans="1:55" ht="18" customHeight="1" x14ac:dyDescent="0.3">
      <c r="A92" s="10" t="str">
        <f>IF(A91&lt;INPUTS!$C$7-INPUTS!$C$6,A91+1,"")</f>
        <v/>
      </c>
      <c r="B92" s="10" t="str">
        <f>IF(A92="","",INPUTS!$C$6+A92)</f>
        <v/>
      </c>
      <c r="C92" s="11" t="str">
        <f t="shared" si="44"/>
        <v/>
      </c>
      <c r="D92" s="11" t="str">
        <f>IF(A92="","",IF(A92&lt;INPUTS!$C$13,0,J92))</f>
        <v/>
      </c>
      <c r="E92" s="12" t="str">
        <f>IF(A92="","",IF(D92=0,"—",IF(Y92&lt;IF(AK92="Married Filing Jointly",'CONSTANTS &amp; REFERENCES'!$B$44,IF(AK92="Married Filing Separately",'CONSTANTS &amp; REFERENCES'!$B$45,'CONSTANTS &amp; REFERENCES'!$B$43)),"Direct","Backdoor")))</f>
        <v/>
      </c>
      <c r="F92" s="13" t="str">
        <f t="shared" si="35"/>
        <v/>
      </c>
      <c r="G92" s="14" t="str">
        <f t="shared" si="36"/>
        <v/>
      </c>
      <c r="H92" s="13" t="str">
        <f t="shared" si="37"/>
        <v/>
      </c>
      <c r="I92" s="14" t="str">
        <f t="shared" si="38"/>
        <v/>
      </c>
      <c r="J92" s="14" t="str">
        <f t="shared" si="39"/>
        <v/>
      </c>
      <c r="K92" s="11" t="str">
        <f>IF(A92="","",IF(INPUTS!$C$12="Beginning",(C92+D92)*INPUTS!$C$10,C92*INPUTS!$C$10))</f>
        <v/>
      </c>
      <c r="L92" s="11" t="str">
        <f>IF(A92="","",IF(INPUTS!$C$12="Beginning",(C92+D92)*(1+INPUTS!$C$10),C92*(1+INPUTS!$C$10)+D92))</f>
        <v/>
      </c>
      <c r="M92" s="15" t="str">
        <f>IF(A92="","",(1+INPUTS!$C$11)^A92)</f>
        <v/>
      </c>
      <c r="N92" s="11" t="str">
        <f t="shared" si="45"/>
        <v/>
      </c>
      <c r="O92" s="11" t="str">
        <f t="shared" si="46"/>
        <v/>
      </c>
      <c r="P92" s="11" t="str">
        <f>IF(A92="","",L92-INPUTS!$C$8-O92)</f>
        <v/>
      </c>
      <c r="Q92" s="16"/>
      <c r="R92" s="16"/>
      <c r="S92" s="16" t="str">
        <f t="shared" si="47"/>
        <v/>
      </c>
      <c r="T92" s="18" t="str">
        <f t="shared" si="48"/>
        <v/>
      </c>
      <c r="U92" s="18" t="str">
        <f t="shared" si="49"/>
        <v/>
      </c>
      <c r="V92" s="19" t="str">
        <f>IF(A92="","",FV(INPUTS!$C$10,INPUTS!$C$7-INPUTS!$C$6-A92+IF(INPUTS!$C$12="Beginning",1,0),0,-D92,0))</f>
        <v/>
      </c>
      <c r="W92" s="7"/>
      <c r="X92" s="7"/>
      <c r="Y92" s="21" t="str">
        <f>IF(A92="","",IF(INPUTS!$C$17="Yes",MIN(Y91*(1+INPUTS!$C$15)+IF(INPUTS!$C$27="Yes",(Z92-Z91)*INPUTS!$C$31+IF(AND(INPUTS!$C$28="Not yet credentialed",A92=INPUTS!$C$33),INPUTS!$C$32,0)+IF(AND(INPUTS!$C$28&lt;&gt;"FSA / FCAS",A92=INPUTS!$C$35),INPUTS!$C$34,0),0),INPUTS!$C$18),Y91*(1+INPUTS!$C$15)+IF(INPUTS!$C$27="Yes",(Z92-Z91)*INPUTS!$C$31+IF(AND(INPUTS!$C$28="Not yet credentialed",A92=INPUTS!$C$33),INPUTS!$C$32,0)+IF(AND(INPUTS!$C$28&lt;&gt;"FSA / FCAS",A92=INPUTS!$C$35),INPUTS!$C$34,0),0)))</f>
        <v/>
      </c>
      <c r="Z92" s="22" t="str">
        <f>IF(A92="","",IF(AND(INPUTS!$C$27="Yes",INPUTS!$C$28&lt;&gt;"FSA / FCAS",ISNUMBER(INPUTS!$C$37)),MIN(A92*INPUTS!$C$37,INPUTS!$C$30),0))</f>
        <v/>
      </c>
      <c r="AA92" s="21" t="str">
        <f t="shared" si="40"/>
        <v/>
      </c>
      <c r="AB92" s="21" t="str">
        <f t="shared" si="41"/>
        <v/>
      </c>
      <c r="AC92" s="21" t="str">
        <f>IF(A92="","",MIN(AB92,AP92)*'CONSTANTS &amp; REFERENCES'!$A$5+MAX(MIN(AB92,AR92)-AP92,0)*'CONSTANTS &amp; REFERENCES'!$A$6+MAX(MIN(AB92,AT92)-AR92,0)*'CONSTANTS &amp; REFERENCES'!$A$7+MAX(MIN(AB92,AV92)-AT92,0)*'CONSTANTS &amp; REFERENCES'!$A$8+MAX(MIN(AB92,AX92)-AV92,0)*'CONSTANTS &amp; REFERENCES'!$A$9+MAX(MIN(AB92,AZ92)-AX92,0)*'CONSTANTS &amp; REFERENCES'!$A$10+MAX(AB92-AZ92,0)*'CONSTANTS &amp; REFERENCES'!$A$11)</f>
        <v/>
      </c>
      <c r="AD92" s="21" t="str">
        <f>IF(AB92="","",IF(INPUTS!$C$20="Yes",AB92*INPUTS!$C$21,0))</f>
        <v/>
      </c>
      <c r="AE92" s="21" t="str">
        <f>IF(Y92="","",MIN(Y92,BC92)*'CONSTANTS &amp; REFERENCES'!$B$22)</f>
        <v/>
      </c>
      <c r="AF92" s="21" t="str">
        <f>IF(Y92="","",Y92*'CONSTANTS &amp; REFERENCES'!$B$24+MAX(0,Y92-IF(AK92="Married Filing Jointly",'CONSTANTS &amp; REFERENCES'!$C$26,IF(AK92="Married Filing Separately",'CONSTANTS &amp; REFERENCES'!$C$27,IF(AK92="Head of Household",'CONSTANTS &amp; REFERENCES'!$C$28,'CONSTANTS &amp; REFERENCES'!$C$25))))*'CONSTANTS &amp; REFERENCES'!$B$25)</f>
        <v/>
      </c>
      <c r="AG92" s="21" t="str">
        <f t="shared" si="50"/>
        <v/>
      </c>
      <c r="AH92" s="21" t="str">
        <f t="shared" si="51"/>
        <v/>
      </c>
      <c r="AI92" s="21" t="str">
        <f t="shared" si="52"/>
        <v/>
      </c>
      <c r="AJ92" s="21" t="str">
        <f t="shared" si="53"/>
        <v/>
      </c>
      <c r="AK92" s="7" t="str">
        <f>IF(A92="","",IF(AND(INPUTS!$C$43="Yes",A92&gt;=INPUTS!$C$45),INPUTS!$C$44,INPUTS!$C$19))</f>
        <v/>
      </c>
      <c r="AL92" s="23" t="str">
        <f t="shared" si="42"/>
        <v/>
      </c>
      <c r="AM92" s="24" t="str">
        <f>IF(A92="","",(IF(OR(AK92="Single",AK92="Married Filing Separately"),'CONSTANTS &amp; REFERENCES'!$B$13,IF(AK92="Married Filing Jointly",'CONSTANTS &amp; REFERENCES'!$G$13,IF(AK92="Head of Household",'CONSTANTS &amp; REFERENCES'!$L$13,""))))*AL92)</f>
        <v/>
      </c>
      <c r="AN92" s="21" t="str">
        <f>IF(AM92="","",IF(A92=0,IF(OR(AK92="Single",AK92="Married Filing Separately"),'CONSTANTS &amp; REFERENCES'!$B$13,IF(AK92="Married Filing Jointly",'CONSTANTS &amp; REFERENCES'!$G$13,IF(AK92="Head of Household",'CONSTANTS &amp; REFERENCES'!$L$13,""))),_xlfn.FLOOR.MATH(AM92,IF(AK92="Married Filing Separately",Bracket_Round_MFS,Bracket_Round_Standard))))</f>
        <v/>
      </c>
      <c r="AO92" s="24" t="str">
        <f>IF(A92="","",(IF(OR(AK92="Single",AK92="Married Filing Separately"),'CONSTANTS &amp; REFERENCES'!$C$5,IF(AK92="Married Filing Jointly",'CONSTANTS &amp; REFERENCES'!$H$5,IF(AK92="Head of Household",'CONSTANTS &amp; REFERENCES'!$M$5,""))))*AL92)</f>
        <v/>
      </c>
      <c r="AP92" s="21" t="str">
        <f>IF(AO92="","",IF(A92=0,IF(OR(AK92="Single",AK92="Married Filing Separately"),'CONSTANTS &amp; REFERENCES'!$C$5,IF(AK92="Married Filing Jointly",'CONSTANTS &amp; REFERENCES'!$H$5,IF(AK92="Head of Household",'CONSTANTS &amp; REFERENCES'!$M$5,""))),_xlfn.FLOOR.MATH(AO92,IF(AK92="Married Filing Separately",Bracket_Round_MFS,Bracket_Round_Standard))))</f>
        <v/>
      </c>
      <c r="AQ92" s="24" t="str">
        <f>IF(A92="","",(IF(OR(AK92="Single",AK92="Married Filing Separately"),'CONSTANTS &amp; REFERENCES'!$C$6,IF(AK92="Married Filing Jointly",'CONSTANTS &amp; REFERENCES'!$H$6,IF(AK92="Head of Household",'CONSTANTS &amp; REFERENCES'!$M$6,""))))*AL92)</f>
        <v/>
      </c>
      <c r="AR92" s="21" t="str">
        <f>IF(AQ92="","",IF(A92=0,IF(OR(AK92="Single",AK92="Married Filing Separately"),'CONSTANTS &amp; REFERENCES'!$C$6,IF(AK92="Married Filing Jointly",'CONSTANTS &amp; REFERENCES'!$H$6,IF(AK92="Head of Household",'CONSTANTS &amp; REFERENCES'!$M$6,""))),_xlfn.FLOOR.MATH(AQ92,IF(AK92="Married Filing Separately",Bracket_Round_MFS,Bracket_Round_Standard))))</f>
        <v/>
      </c>
      <c r="AS92" s="24" t="str">
        <f>IF(A92="","",(IF(OR(AK92="Single",AK92="Married Filing Separately"),'CONSTANTS &amp; REFERENCES'!$C$7,IF(AK92="Married Filing Jointly",'CONSTANTS &amp; REFERENCES'!$H$7,IF(AK92="Head of Household",'CONSTANTS &amp; REFERENCES'!$M$7,""))))*AL92)</f>
        <v/>
      </c>
      <c r="AT92" s="21" t="str">
        <f>IF(AS92="","",IF(A92=0,IF(OR(AK92="Single",AK92="Married Filing Separately"),'CONSTANTS &amp; REFERENCES'!$C$7,IF(AK92="Married Filing Jointly",'CONSTANTS &amp; REFERENCES'!$H$7,IF(AK92="Head of Household",'CONSTANTS &amp; REFERENCES'!$M$7,""))),_xlfn.FLOOR.MATH(AS92,IF(AK92="Married Filing Separately",Bracket_Round_MFS,Bracket_Round_Standard))))</f>
        <v/>
      </c>
      <c r="AU92" s="24" t="str">
        <f>IF(A92="","",(IF(OR(AK92="Single",AK92="Married Filing Separately"),'CONSTANTS &amp; REFERENCES'!$C$8,IF(AK92="Married Filing Jointly",'CONSTANTS &amp; REFERENCES'!$H$8,IF(AK92="Head of Household",'CONSTANTS &amp; REFERENCES'!$M$8,""))))*AL92)</f>
        <v/>
      </c>
      <c r="AV92" s="21" t="str">
        <f>IF(AU92="","",IF(A92=0,IF(OR(AK92="Single",AK92="Married Filing Separately"),'CONSTANTS &amp; REFERENCES'!$C$8,IF(AK92="Married Filing Jointly",'CONSTANTS &amp; REFERENCES'!$H$8,IF(AK92="Head of Household",'CONSTANTS &amp; REFERENCES'!$M$8,""))),_xlfn.FLOOR.MATH(AU92,IF(AK92="Married Filing Separately",Bracket_Round_MFS,Bracket_Round_Standard))))</f>
        <v/>
      </c>
      <c r="AW92" s="24" t="str">
        <f>IF(A92="","",(IF(OR(AK92="Single",AK92="Married Filing Separately"),'CONSTANTS &amp; REFERENCES'!$C$9,IF(AK92="Married Filing Jointly",'CONSTANTS &amp; REFERENCES'!$H$9,IF(AK92="Head of Household",'CONSTANTS &amp; REFERENCES'!$M$9,""))))*AL92)</f>
        <v/>
      </c>
      <c r="AX92" s="21" t="str">
        <f>IF(AW92="","",IF(A92=0,IF(OR(AK92="Single",AK92="Married Filing Separately"),'CONSTANTS &amp; REFERENCES'!$C$9,IF(AK92="Married Filing Jointly",'CONSTANTS &amp; REFERENCES'!$H$9,IF(AK92="Head of Household",'CONSTANTS &amp; REFERENCES'!$M$9,""))),_xlfn.FLOOR.MATH(AW92,IF(AK92="Married Filing Separately",Bracket_Round_MFS,Bracket_Round_Standard))))</f>
        <v/>
      </c>
      <c r="AY92" s="24" t="str">
        <f>IF(A92="","",(IF(OR(AK92="Single",AK92="Married Filing Separately"),'CONSTANTS &amp; REFERENCES'!$C$10,IF(AK92="Married Filing Jointly",'CONSTANTS &amp; REFERENCES'!$H$10,IF(AK92="Head of Household",'CONSTANTS &amp; REFERENCES'!$M$10,""))))*AL92)</f>
        <v/>
      </c>
      <c r="AZ92" s="21" t="str">
        <f>IF(AY92="","",IF(A92=0,IF(OR(AK92="Single",AK92="Married Filing Separately"),'CONSTANTS &amp; REFERENCES'!$C$10,IF(AK92="Married Filing Jointly",'CONSTANTS &amp; REFERENCES'!$H$10,IF(AK92="Head of Household",'CONSTANTS &amp; REFERENCES'!$M$10,""))),_xlfn.FLOOR.MATH(AY92,IF(AK92="Married Filing Separately",Bracket_Round_MFS,Bracket_Round_Standard))))</f>
        <v/>
      </c>
      <c r="BA92" s="7" t="str">
        <f t="shared" si="43"/>
        <v/>
      </c>
      <c r="BB92" s="7" t="str">
        <f>IF(A92="","",'CONSTANTS &amp; REFERENCES'!$C$22*AL92)</f>
        <v/>
      </c>
      <c r="BC92" s="21" t="str">
        <f t="shared" si="54"/>
        <v/>
      </c>
    </row>
    <row r="93" spans="1:55" ht="18" customHeight="1" x14ac:dyDescent="0.3">
      <c r="A93" s="10" t="str">
        <f>IF(A92&lt;INPUTS!$C$7-INPUTS!$C$6,A92+1,"")</f>
        <v/>
      </c>
      <c r="B93" s="10" t="str">
        <f>IF(A93="","",INPUTS!$C$6+A93)</f>
        <v/>
      </c>
      <c r="C93" s="11" t="str">
        <f t="shared" si="44"/>
        <v/>
      </c>
      <c r="D93" s="11" t="str">
        <f>IF(A93="","",IF(A93&lt;INPUTS!$C$13,0,J93))</f>
        <v/>
      </c>
      <c r="E93" s="12" t="str">
        <f>IF(A93="","",IF(D93=0,"—",IF(Y93&lt;IF(AK93="Married Filing Jointly",'CONSTANTS &amp; REFERENCES'!$B$44,IF(AK93="Married Filing Separately",'CONSTANTS &amp; REFERENCES'!$B$45,'CONSTANTS &amp; REFERENCES'!$B$43)),"Direct","Backdoor")))</f>
        <v/>
      </c>
      <c r="F93" s="13" t="str">
        <f t="shared" si="35"/>
        <v/>
      </c>
      <c r="G93" s="14" t="str">
        <f t="shared" si="36"/>
        <v/>
      </c>
      <c r="H93" s="13" t="str">
        <f t="shared" si="37"/>
        <v/>
      </c>
      <c r="I93" s="14" t="str">
        <f t="shared" si="38"/>
        <v/>
      </c>
      <c r="J93" s="14" t="str">
        <f t="shared" si="39"/>
        <v/>
      </c>
      <c r="K93" s="11" t="str">
        <f>IF(A93="","",IF(INPUTS!$C$12="Beginning",(C93+D93)*INPUTS!$C$10,C93*INPUTS!$C$10))</f>
        <v/>
      </c>
      <c r="L93" s="11" t="str">
        <f>IF(A93="","",IF(INPUTS!$C$12="Beginning",(C93+D93)*(1+INPUTS!$C$10),C93*(1+INPUTS!$C$10)+D93))</f>
        <v/>
      </c>
      <c r="M93" s="15" t="str">
        <f>IF(A93="","",(1+INPUTS!$C$11)^A93)</f>
        <v/>
      </c>
      <c r="N93" s="11" t="str">
        <f t="shared" si="45"/>
        <v/>
      </c>
      <c r="O93" s="11" t="str">
        <f t="shared" si="46"/>
        <v/>
      </c>
      <c r="P93" s="11" t="str">
        <f>IF(A93="","",L93-INPUTS!$C$8-O93)</f>
        <v/>
      </c>
      <c r="Q93" s="16"/>
      <c r="R93" s="16"/>
      <c r="S93" s="16" t="str">
        <f t="shared" si="47"/>
        <v/>
      </c>
      <c r="T93" s="18" t="str">
        <f t="shared" si="48"/>
        <v/>
      </c>
      <c r="U93" s="18" t="str">
        <f t="shared" si="49"/>
        <v/>
      </c>
      <c r="V93" s="19" t="str">
        <f>IF(A93="","",FV(INPUTS!$C$10,INPUTS!$C$7-INPUTS!$C$6-A93+IF(INPUTS!$C$12="Beginning",1,0),0,-D93,0))</f>
        <v/>
      </c>
      <c r="W93" s="7"/>
      <c r="X93" s="7"/>
      <c r="Y93" s="21" t="str">
        <f>IF(A93="","",IF(INPUTS!$C$17="Yes",MIN(Y92*(1+INPUTS!$C$15)+IF(INPUTS!$C$27="Yes",(Z93-Z92)*INPUTS!$C$31+IF(AND(INPUTS!$C$28="Not yet credentialed",A93=INPUTS!$C$33),INPUTS!$C$32,0)+IF(AND(INPUTS!$C$28&lt;&gt;"FSA / FCAS",A93=INPUTS!$C$35),INPUTS!$C$34,0),0),INPUTS!$C$18),Y92*(1+INPUTS!$C$15)+IF(INPUTS!$C$27="Yes",(Z93-Z92)*INPUTS!$C$31+IF(AND(INPUTS!$C$28="Not yet credentialed",A93=INPUTS!$C$33),INPUTS!$C$32,0)+IF(AND(INPUTS!$C$28&lt;&gt;"FSA / FCAS",A93=INPUTS!$C$35),INPUTS!$C$34,0),0)))</f>
        <v/>
      </c>
      <c r="Z93" s="22" t="str">
        <f>IF(A93="","",IF(AND(INPUTS!$C$27="Yes",INPUTS!$C$28&lt;&gt;"FSA / FCAS",ISNUMBER(INPUTS!$C$37)),MIN(A93*INPUTS!$C$37,INPUTS!$C$30),0))</f>
        <v/>
      </c>
      <c r="AA93" s="21" t="str">
        <f t="shared" si="40"/>
        <v/>
      </c>
      <c r="AB93" s="21" t="str">
        <f t="shared" si="41"/>
        <v/>
      </c>
      <c r="AC93" s="21" t="str">
        <f>IF(A93="","",MIN(AB93,AP93)*'CONSTANTS &amp; REFERENCES'!$A$5+MAX(MIN(AB93,AR93)-AP93,0)*'CONSTANTS &amp; REFERENCES'!$A$6+MAX(MIN(AB93,AT93)-AR93,0)*'CONSTANTS &amp; REFERENCES'!$A$7+MAX(MIN(AB93,AV93)-AT93,0)*'CONSTANTS &amp; REFERENCES'!$A$8+MAX(MIN(AB93,AX93)-AV93,0)*'CONSTANTS &amp; REFERENCES'!$A$9+MAX(MIN(AB93,AZ93)-AX93,0)*'CONSTANTS &amp; REFERENCES'!$A$10+MAX(AB93-AZ93,0)*'CONSTANTS &amp; REFERENCES'!$A$11)</f>
        <v/>
      </c>
      <c r="AD93" s="21" t="str">
        <f>IF(AB93="","",IF(INPUTS!$C$20="Yes",AB93*INPUTS!$C$21,0))</f>
        <v/>
      </c>
      <c r="AE93" s="21" t="str">
        <f>IF(Y93="","",MIN(Y93,BC93)*'CONSTANTS &amp; REFERENCES'!$B$22)</f>
        <v/>
      </c>
      <c r="AF93" s="21" t="str">
        <f>IF(Y93="","",Y93*'CONSTANTS &amp; REFERENCES'!$B$24+MAX(0,Y93-IF(AK93="Married Filing Jointly",'CONSTANTS &amp; REFERENCES'!$C$26,IF(AK93="Married Filing Separately",'CONSTANTS &amp; REFERENCES'!$C$27,IF(AK93="Head of Household",'CONSTANTS &amp; REFERENCES'!$C$28,'CONSTANTS &amp; REFERENCES'!$C$25))))*'CONSTANTS &amp; REFERENCES'!$B$25)</f>
        <v/>
      </c>
      <c r="AG93" s="21" t="str">
        <f t="shared" si="50"/>
        <v/>
      </c>
      <c r="AH93" s="21" t="str">
        <f t="shared" si="51"/>
        <v/>
      </c>
      <c r="AI93" s="21" t="str">
        <f t="shared" si="52"/>
        <v/>
      </c>
      <c r="AJ93" s="21" t="str">
        <f t="shared" si="53"/>
        <v/>
      </c>
      <c r="AK93" s="7" t="str">
        <f>IF(A93="","",IF(AND(INPUTS!$C$43="Yes",A93&gt;=INPUTS!$C$45),INPUTS!$C$44,INPUTS!$C$19))</f>
        <v/>
      </c>
      <c r="AL93" s="23" t="str">
        <f t="shared" si="42"/>
        <v/>
      </c>
      <c r="AM93" s="24" t="str">
        <f>IF(A93="","",(IF(OR(AK93="Single",AK93="Married Filing Separately"),'CONSTANTS &amp; REFERENCES'!$B$13,IF(AK93="Married Filing Jointly",'CONSTANTS &amp; REFERENCES'!$G$13,IF(AK93="Head of Household",'CONSTANTS &amp; REFERENCES'!$L$13,""))))*AL93)</f>
        <v/>
      </c>
      <c r="AN93" s="21" t="str">
        <f>IF(AM93="","",IF(A93=0,IF(OR(AK93="Single",AK93="Married Filing Separately"),'CONSTANTS &amp; REFERENCES'!$B$13,IF(AK93="Married Filing Jointly",'CONSTANTS &amp; REFERENCES'!$G$13,IF(AK93="Head of Household",'CONSTANTS &amp; REFERENCES'!$L$13,""))),_xlfn.FLOOR.MATH(AM93,IF(AK93="Married Filing Separately",Bracket_Round_MFS,Bracket_Round_Standard))))</f>
        <v/>
      </c>
      <c r="AO93" s="24" t="str">
        <f>IF(A93="","",(IF(OR(AK93="Single",AK93="Married Filing Separately"),'CONSTANTS &amp; REFERENCES'!$C$5,IF(AK93="Married Filing Jointly",'CONSTANTS &amp; REFERENCES'!$H$5,IF(AK93="Head of Household",'CONSTANTS &amp; REFERENCES'!$M$5,""))))*AL93)</f>
        <v/>
      </c>
      <c r="AP93" s="21" t="str">
        <f>IF(AO93="","",IF(A93=0,IF(OR(AK93="Single",AK93="Married Filing Separately"),'CONSTANTS &amp; REFERENCES'!$C$5,IF(AK93="Married Filing Jointly",'CONSTANTS &amp; REFERENCES'!$H$5,IF(AK93="Head of Household",'CONSTANTS &amp; REFERENCES'!$M$5,""))),_xlfn.FLOOR.MATH(AO93,IF(AK93="Married Filing Separately",Bracket_Round_MFS,Bracket_Round_Standard))))</f>
        <v/>
      </c>
      <c r="AQ93" s="24" t="str">
        <f>IF(A93="","",(IF(OR(AK93="Single",AK93="Married Filing Separately"),'CONSTANTS &amp; REFERENCES'!$C$6,IF(AK93="Married Filing Jointly",'CONSTANTS &amp; REFERENCES'!$H$6,IF(AK93="Head of Household",'CONSTANTS &amp; REFERENCES'!$M$6,""))))*AL93)</f>
        <v/>
      </c>
      <c r="AR93" s="21" t="str">
        <f>IF(AQ93="","",IF(A93=0,IF(OR(AK93="Single",AK93="Married Filing Separately"),'CONSTANTS &amp; REFERENCES'!$C$6,IF(AK93="Married Filing Jointly",'CONSTANTS &amp; REFERENCES'!$H$6,IF(AK93="Head of Household",'CONSTANTS &amp; REFERENCES'!$M$6,""))),_xlfn.FLOOR.MATH(AQ93,IF(AK93="Married Filing Separately",Bracket_Round_MFS,Bracket_Round_Standard))))</f>
        <v/>
      </c>
      <c r="AS93" s="24" t="str">
        <f>IF(A93="","",(IF(OR(AK93="Single",AK93="Married Filing Separately"),'CONSTANTS &amp; REFERENCES'!$C$7,IF(AK93="Married Filing Jointly",'CONSTANTS &amp; REFERENCES'!$H$7,IF(AK93="Head of Household",'CONSTANTS &amp; REFERENCES'!$M$7,""))))*AL93)</f>
        <v/>
      </c>
      <c r="AT93" s="21" t="str">
        <f>IF(AS93="","",IF(A93=0,IF(OR(AK93="Single",AK93="Married Filing Separately"),'CONSTANTS &amp; REFERENCES'!$C$7,IF(AK93="Married Filing Jointly",'CONSTANTS &amp; REFERENCES'!$H$7,IF(AK93="Head of Household",'CONSTANTS &amp; REFERENCES'!$M$7,""))),_xlfn.FLOOR.MATH(AS93,IF(AK93="Married Filing Separately",Bracket_Round_MFS,Bracket_Round_Standard))))</f>
        <v/>
      </c>
      <c r="AU93" s="24" t="str">
        <f>IF(A93="","",(IF(OR(AK93="Single",AK93="Married Filing Separately"),'CONSTANTS &amp; REFERENCES'!$C$8,IF(AK93="Married Filing Jointly",'CONSTANTS &amp; REFERENCES'!$H$8,IF(AK93="Head of Household",'CONSTANTS &amp; REFERENCES'!$M$8,""))))*AL93)</f>
        <v/>
      </c>
      <c r="AV93" s="21" t="str">
        <f>IF(AU93="","",IF(A93=0,IF(OR(AK93="Single",AK93="Married Filing Separately"),'CONSTANTS &amp; REFERENCES'!$C$8,IF(AK93="Married Filing Jointly",'CONSTANTS &amp; REFERENCES'!$H$8,IF(AK93="Head of Household",'CONSTANTS &amp; REFERENCES'!$M$8,""))),_xlfn.FLOOR.MATH(AU93,IF(AK93="Married Filing Separately",Bracket_Round_MFS,Bracket_Round_Standard))))</f>
        <v/>
      </c>
      <c r="AW93" s="24" t="str">
        <f>IF(A93="","",(IF(OR(AK93="Single",AK93="Married Filing Separately"),'CONSTANTS &amp; REFERENCES'!$C$9,IF(AK93="Married Filing Jointly",'CONSTANTS &amp; REFERENCES'!$H$9,IF(AK93="Head of Household",'CONSTANTS &amp; REFERENCES'!$M$9,""))))*AL93)</f>
        <v/>
      </c>
      <c r="AX93" s="21" t="str">
        <f>IF(AW93="","",IF(A93=0,IF(OR(AK93="Single",AK93="Married Filing Separately"),'CONSTANTS &amp; REFERENCES'!$C$9,IF(AK93="Married Filing Jointly",'CONSTANTS &amp; REFERENCES'!$H$9,IF(AK93="Head of Household",'CONSTANTS &amp; REFERENCES'!$M$9,""))),_xlfn.FLOOR.MATH(AW93,IF(AK93="Married Filing Separately",Bracket_Round_MFS,Bracket_Round_Standard))))</f>
        <v/>
      </c>
      <c r="AY93" s="24" t="str">
        <f>IF(A93="","",(IF(OR(AK93="Single",AK93="Married Filing Separately"),'CONSTANTS &amp; REFERENCES'!$C$10,IF(AK93="Married Filing Jointly",'CONSTANTS &amp; REFERENCES'!$H$10,IF(AK93="Head of Household",'CONSTANTS &amp; REFERENCES'!$M$10,""))))*AL93)</f>
        <v/>
      </c>
      <c r="AZ93" s="21" t="str">
        <f>IF(AY93="","",IF(A93=0,IF(OR(AK93="Single",AK93="Married Filing Separately"),'CONSTANTS &amp; REFERENCES'!$C$10,IF(AK93="Married Filing Jointly",'CONSTANTS &amp; REFERENCES'!$H$10,IF(AK93="Head of Household",'CONSTANTS &amp; REFERENCES'!$M$10,""))),_xlfn.FLOOR.MATH(AY93,IF(AK93="Married Filing Separately",Bracket_Round_MFS,Bracket_Round_Standard))))</f>
        <v/>
      </c>
      <c r="BA93" s="7" t="str">
        <f t="shared" si="43"/>
        <v/>
      </c>
      <c r="BB93" s="7" t="str">
        <f>IF(A93="","",'CONSTANTS &amp; REFERENCES'!$C$22*AL93)</f>
        <v/>
      </c>
      <c r="BC93" s="21" t="str">
        <f t="shared" si="54"/>
        <v/>
      </c>
    </row>
    <row r="94" spans="1:55" ht="18" customHeight="1" x14ac:dyDescent="0.3">
      <c r="A94" s="10" t="str">
        <f>IF(A93&lt;INPUTS!$C$7-INPUTS!$C$6,A93+1,"")</f>
        <v/>
      </c>
      <c r="B94" s="10" t="str">
        <f>IF(A94="","",INPUTS!$C$6+A94)</f>
        <v/>
      </c>
      <c r="C94" s="11" t="str">
        <f t="shared" si="44"/>
        <v/>
      </c>
      <c r="D94" s="11" t="str">
        <f>IF(A94="","",IF(A94&lt;INPUTS!$C$13,0,J94))</f>
        <v/>
      </c>
      <c r="E94" s="12" t="str">
        <f>IF(A94="","",IF(D94=0,"—",IF(Y94&lt;IF(AK94="Married Filing Jointly",'CONSTANTS &amp; REFERENCES'!$B$44,IF(AK94="Married Filing Separately",'CONSTANTS &amp; REFERENCES'!$B$45,'CONSTANTS &amp; REFERENCES'!$B$43)),"Direct","Backdoor")))</f>
        <v/>
      </c>
      <c r="F94" s="13" t="str">
        <f t="shared" si="35"/>
        <v/>
      </c>
      <c r="G94" s="14" t="str">
        <f t="shared" si="36"/>
        <v/>
      </c>
      <c r="H94" s="13" t="str">
        <f t="shared" si="37"/>
        <v/>
      </c>
      <c r="I94" s="14" t="str">
        <f t="shared" si="38"/>
        <v/>
      </c>
      <c r="J94" s="14" t="str">
        <f t="shared" si="39"/>
        <v/>
      </c>
      <c r="K94" s="11" t="str">
        <f>IF(A94="","",IF(INPUTS!$C$12="Beginning",(C94+D94)*INPUTS!$C$10,C94*INPUTS!$C$10))</f>
        <v/>
      </c>
      <c r="L94" s="11" t="str">
        <f>IF(A94="","",IF(INPUTS!$C$12="Beginning",(C94+D94)*(1+INPUTS!$C$10),C94*(1+INPUTS!$C$10)+D94))</f>
        <v/>
      </c>
      <c r="M94" s="15" t="str">
        <f>IF(A94="","",(1+INPUTS!$C$11)^A94)</f>
        <v/>
      </c>
      <c r="N94" s="11" t="str">
        <f t="shared" si="45"/>
        <v/>
      </c>
      <c r="O94" s="11" t="str">
        <f t="shared" si="46"/>
        <v/>
      </c>
      <c r="P94" s="11" t="str">
        <f>IF(A94="","",L94-INPUTS!$C$8-O94)</f>
        <v/>
      </c>
      <c r="Q94" s="16"/>
      <c r="R94" s="16"/>
      <c r="S94" s="16" t="str">
        <f t="shared" si="47"/>
        <v/>
      </c>
      <c r="T94" s="18" t="str">
        <f t="shared" si="48"/>
        <v/>
      </c>
      <c r="U94" s="18" t="str">
        <f t="shared" si="49"/>
        <v/>
      </c>
      <c r="V94" s="19" t="str">
        <f>IF(A94="","",FV(INPUTS!$C$10,INPUTS!$C$7-INPUTS!$C$6-A94+IF(INPUTS!$C$12="Beginning",1,0),0,-D94,0))</f>
        <v/>
      </c>
      <c r="W94" s="7"/>
      <c r="X94" s="7"/>
      <c r="Y94" s="21" t="str">
        <f>IF(A94="","",IF(INPUTS!$C$17="Yes",MIN(Y93*(1+INPUTS!$C$15)+IF(INPUTS!$C$27="Yes",(Z94-Z93)*INPUTS!$C$31+IF(AND(INPUTS!$C$28="Not yet credentialed",A94=INPUTS!$C$33),INPUTS!$C$32,0)+IF(AND(INPUTS!$C$28&lt;&gt;"FSA / FCAS",A94=INPUTS!$C$35),INPUTS!$C$34,0),0),INPUTS!$C$18),Y93*(1+INPUTS!$C$15)+IF(INPUTS!$C$27="Yes",(Z94-Z93)*INPUTS!$C$31+IF(AND(INPUTS!$C$28="Not yet credentialed",A94=INPUTS!$C$33),INPUTS!$C$32,0)+IF(AND(INPUTS!$C$28&lt;&gt;"FSA / FCAS",A94=INPUTS!$C$35),INPUTS!$C$34,0),0)))</f>
        <v/>
      </c>
      <c r="Z94" s="22" t="str">
        <f>IF(A94="","",IF(AND(INPUTS!$C$27="Yes",INPUTS!$C$28&lt;&gt;"FSA / FCAS",ISNUMBER(INPUTS!$C$37)),MIN(A94*INPUTS!$C$37,INPUTS!$C$30),0))</f>
        <v/>
      </c>
      <c r="AA94" s="21" t="str">
        <f t="shared" si="40"/>
        <v/>
      </c>
      <c r="AB94" s="21" t="str">
        <f t="shared" si="41"/>
        <v/>
      </c>
      <c r="AC94" s="21" t="str">
        <f>IF(A94="","",MIN(AB94,AP94)*'CONSTANTS &amp; REFERENCES'!$A$5+MAX(MIN(AB94,AR94)-AP94,0)*'CONSTANTS &amp; REFERENCES'!$A$6+MAX(MIN(AB94,AT94)-AR94,0)*'CONSTANTS &amp; REFERENCES'!$A$7+MAX(MIN(AB94,AV94)-AT94,0)*'CONSTANTS &amp; REFERENCES'!$A$8+MAX(MIN(AB94,AX94)-AV94,0)*'CONSTANTS &amp; REFERENCES'!$A$9+MAX(MIN(AB94,AZ94)-AX94,0)*'CONSTANTS &amp; REFERENCES'!$A$10+MAX(AB94-AZ94,0)*'CONSTANTS &amp; REFERENCES'!$A$11)</f>
        <v/>
      </c>
      <c r="AD94" s="21" t="str">
        <f>IF(AB94="","",IF(INPUTS!$C$20="Yes",AB94*INPUTS!$C$21,0))</f>
        <v/>
      </c>
      <c r="AE94" s="21" t="str">
        <f>IF(Y94="","",MIN(Y94,BC94)*'CONSTANTS &amp; REFERENCES'!$B$22)</f>
        <v/>
      </c>
      <c r="AF94" s="21" t="str">
        <f>IF(Y94="","",Y94*'CONSTANTS &amp; REFERENCES'!$B$24+MAX(0,Y94-IF(AK94="Married Filing Jointly",'CONSTANTS &amp; REFERENCES'!$C$26,IF(AK94="Married Filing Separately",'CONSTANTS &amp; REFERENCES'!$C$27,IF(AK94="Head of Household",'CONSTANTS &amp; REFERENCES'!$C$28,'CONSTANTS &amp; REFERENCES'!$C$25))))*'CONSTANTS &amp; REFERENCES'!$B$25)</f>
        <v/>
      </c>
      <c r="AG94" s="21" t="str">
        <f t="shared" si="50"/>
        <v/>
      </c>
      <c r="AH94" s="21" t="str">
        <f t="shared" si="51"/>
        <v/>
      </c>
      <c r="AI94" s="21" t="str">
        <f t="shared" si="52"/>
        <v/>
      </c>
      <c r="AJ94" s="21" t="str">
        <f t="shared" si="53"/>
        <v/>
      </c>
      <c r="AK94" s="7" t="str">
        <f>IF(A94="","",IF(AND(INPUTS!$C$43="Yes",A94&gt;=INPUTS!$C$45),INPUTS!$C$44,INPUTS!$C$19))</f>
        <v/>
      </c>
      <c r="AL94" s="23" t="str">
        <f t="shared" si="42"/>
        <v/>
      </c>
      <c r="AM94" s="24" t="str">
        <f>IF(A94="","",(IF(OR(AK94="Single",AK94="Married Filing Separately"),'CONSTANTS &amp; REFERENCES'!$B$13,IF(AK94="Married Filing Jointly",'CONSTANTS &amp; REFERENCES'!$G$13,IF(AK94="Head of Household",'CONSTANTS &amp; REFERENCES'!$L$13,""))))*AL94)</f>
        <v/>
      </c>
      <c r="AN94" s="21" t="str">
        <f>IF(AM94="","",IF(A94=0,IF(OR(AK94="Single",AK94="Married Filing Separately"),'CONSTANTS &amp; REFERENCES'!$B$13,IF(AK94="Married Filing Jointly",'CONSTANTS &amp; REFERENCES'!$G$13,IF(AK94="Head of Household",'CONSTANTS &amp; REFERENCES'!$L$13,""))),_xlfn.FLOOR.MATH(AM94,IF(AK94="Married Filing Separately",Bracket_Round_MFS,Bracket_Round_Standard))))</f>
        <v/>
      </c>
      <c r="AO94" s="24" t="str">
        <f>IF(A94="","",(IF(OR(AK94="Single",AK94="Married Filing Separately"),'CONSTANTS &amp; REFERENCES'!$C$5,IF(AK94="Married Filing Jointly",'CONSTANTS &amp; REFERENCES'!$H$5,IF(AK94="Head of Household",'CONSTANTS &amp; REFERENCES'!$M$5,""))))*AL94)</f>
        <v/>
      </c>
      <c r="AP94" s="21" t="str">
        <f>IF(AO94="","",IF(A94=0,IF(OR(AK94="Single",AK94="Married Filing Separately"),'CONSTANTS &amp; REFERENCES'!$C$5,IF(AK94="Married Filing Jointly",'CONSTANTS &amp; REFERENCES'!$H$5,IF(AK94="Head of Household",'CONSTANTS &amp; REFERENCES'!$M$5,""))),_xlfn.FLOOR.MATH(AO94,IF(AK94="Married Filing Separately",Bracket_Round_MFS,Bracket_Round_Standard))))</f>
        <v/>
      </c>
      <c r="AQ94" s="24" t="str">
        <f>IF(A94="","",(IF(OR(AK94="Single",AK94="Married Filing Separately"),'CONSTANTS &amp; REFERENCES'!$C$6,IF(AK94="Married Filing Jointly",'CONSTANTS &amp; REFERENCES'!$H$6,IF(AK94="Head of Household",'CONSTANTS &amp; REFERENCES'!$M$6,""))))*AL94)</f>
        <v/>
      </c>
      <c r="AR94" s="21" t="str">
        <f>IF(AQ94="","",IF(A94=0,IF(OR(AK94="Single",AK94="Married Filing Separately"),'CONSTANTS &amp; REFERENCES'!$C$6,IF(AK94="Married Filing Jointly",'CONSTANTS &amp; REFERENCES'!$H$6,IF(AK94="Head of Household",'CONSTANTS &amp; REFERENCES'!$M$6,""))),_xlfn.FLOOR.MATH(AQ94,IF(AK94="Married Filing Separately",Bracket_Round_MFS,Bracket_Round_Standard))))</f>
        <v/>
      </c>
      <c r="AS94" s="24" t="str">
        <f>IF(A94="","",(IF(OR(AK94="Single",AK94="Married Filing Separately"),'CONSTANTS &amp; REFERENCES'!$C$7,IF(AK94="Married Filing Jointly",'CONSTANTS &amp; REFERENCES'!$H$7,IF(AK94="Head of Household",'CONSTANTS &amp; REFERENCES'!$M$7,""))))*AL94)</f>
        <v/>
      </c>
      <c r="AT94" s="21" t="str">
        <f>IF(AS94="","",IF(A94=0,IF(OR(AK94="Single",AK94="Married Filing Separately"),'CONSTANTS &amp; REFERENCES'!$C$7,IF(AK94="Married Filing Jointly",'CONSTANTS &amp; REFERENCES'!$H$7,IF(AK94="Head of Household",'CONSTANTS &amp; REFERENCES'!$M$7,""))),_xlfn.FLOOR.MATH(AS94,IF(AK94="Married Filing Separately",Bracket_Round_MFS,Bracket_Round_Standard))))</f>
        <v/>
      </c>
      <c r="AU94" s="24" t="str">
        <f>IF(A94="","",(IF(OR(AK94="Single",AK94="Married Filing Separately"),'CONSTANTS &amp; REFERENCES'!$C$8,IF(AK94="Married Filing Jointly",'CONSTANTS &amp; REFERENCES'!$H$8,IF(AK94="Head of Household",'CONSTANTS &amp; REFERENCES'!$M$8,""))))*AL94)</f>
        <v/>
      </c>
      <c r="AV94" s="21" t="str">
        <f>IF(AU94="","",IF(A94=0,IF(OR(AK94="Single",AK94="Married Filing Separately"),'CONSTANTS &amp; REFERENCES'!$C$8,IF(AK94="Married Filing Jointly",'CONSTANTS &amp; REFERENCES'!$H$8,IF(AK94="Head of Household",'CONSTANTS &amp; REFERENCES'!$M$8,""))),_xlfn.FLOOR.MATH(AU94,IF(AK94="Married Filing Separately",Bracket_Round_MFS,Bracket_Round_Standard))))</f>
        <v/>
      </c>
      <c r="AW94" s="24" t="str">
        <f>IF(A94="","",(IF(OR(AK94="Single",AK94="Married Filing Separately"),'CONSTANTS &amp; REFERENCES'!$C$9,IF(AK94="Married Filing Jointly",'CONSTANTS &amp; REFERENCES'!$H$9,IF(AK94="Head of Household",'CONSTANTS &amp; REFERENCES'!$M$9,""))))*AL94)</f>
        <v/>
      </c>
      <c r="AX94" s="21" t="str">
        <f>IF(AW94="","",IF(A94=0,IF(OR(AK94="Single",AK94="Married Filing Separately"),'CONSTANTS &amp; REFERENCES'!$C$9,IF(AK94="Married Filing Jointly",'CONSTANTS &amp; REFERENCES'!$H$9,IF(AK94="Head of Household",'CONSTANTS &amp; REFERENCES'!$M$9,""))),_xlfn.FLOOR.MATH(AW94,IF(AK94="Married Filing Separately",Bracket_Round_MFS,Bracket_Round_Standard))))</f>
        <v/>
      </c>
      <c r="AY94" s="24" t="str">
        <f>IF(A94="","",(IF(OR(AK94="Single",AK94="Married Filing Separately"),'CONSTANTS &amp; REFERENCES'!$C$10,IF(AK94="Married Filing Jointly",'CONSTANTS &amp; REFERENCES'!$H$10,IF(AK94="Head of Household",'CONSTANTS &amp; REFERENCES'!$M$10,""))))*AL94)</f>
        <v/>
      </c>
      <c r="AZ94" s="21" t="str">
        <f>IF(AY94="","",IF(A94=0,IF(OR(AK94="Single",AK94="Married Filing Separately"),'CONSTANTS &amp; REFERENCES'!$C$10,IF(AK94="Married Filing Jointly",'CONSTANTS &amp; REFERENCES'!$H$10,IF(AK94="Head of Household",'CONSTANTS &amp; REFERENCES'!$M$10,""))),_xlfn.FLOOR.MATH(AY94,IF(AK94="Married Filing Separately",Bracket_Round_MFS,Bracket_Round_Standard))))</f>
        <v/>
      </c>
      <c r="BA94" s="7" t="str">
        <f t="shared" si="43"/>
        <v/>
      </c>
      <c r="BB94" s="7" t="str">
        <f>IF(A94="","",'CONSTANTS &amp; REFERENCES'!$C$22*AL94)</f>
        <v/>
      </c>
      <c r="BC94" s="21" t="str">
        <f t="shared" si="54"/>
        <v/>
      </c>
    </row>
    <row r="95" spans="1:55" ht="18" customHeight="1" x14ac:dyDescent="0.3">
      <c r="A95" s="10" t="str">
        <f>IF(A94&lt;INPUTS!$C$7-INPUTS!$C$6,A94+1,"")</f>
        <v/>
      </c>
      <c r="B95" s="10" t="str">
        <f>IF(A95="","",INPUTS!$C$6+A95)</f>
        <v/>
      </c>
      <c r="C95" s="11" t="str">
        <f t="shared" si="44"/>
        <v/>
      </c>
      <c r="D95" s="11" t="str">
        <f>IF(A95="","",IF(A95&lt;INPUTS!$C$13,0,J95))</f>
        <v/>
      </c>
      <c r="E95" s="12" t="str">
        <f>IF(A95="","",IF(D95=0,"—",IF(Y95&lt;IF(AK95="Married Filing Jointly",'CONSTANTS &amp; REFERENCES'!$B$44,IF(AK95="Married Filing Separately",'CONSTANTS &amp; REFERENCES'!$B$45,'CONSTANTS &amp; REFERENCES'!$B$43)),"Direct","Backdoor")))</f>
        <v/>
      </c>
      <c r="F95" s="13" t="str">
        <f t="shared" si="35"/>
        <v/>
      </c>
      <c r="G95" s="14" t="str">
        <f t="shared" si="36"/>
        <v/>
      </c>
      <c r="H95" s="13" t="str">
        <f t="shared" si="37"/>
        <v/>
      </c>
      <c r="I95" s="14" t="str">
        <f t="shared" si="38"/>
        <v/>
      </c>
      <c r="J95" s="14" t="str">
        <f t="shared" si="39"/>
        <v/>
      </c>
      <c r="K95" s="11" t="str">
        <f>IF(A95="","",IF(INPUTS!$C$12="Beginning",(C95+D95)*INPUTS!$C$10,C95*INPUTS!$C$10))</f>
        <v/>
      </c>
      <c r="L95" s="11" t="str">
        <f>IF(A95="","",IF(INPUTS!$C$12="Beginning",(C95+D95)*(1+INPUTS!$C$10),C95*(1+INPUTS!$C$10)+D95))</f>
        <v/>
      </c>
      <c r="M95" s="15" t="str">
        <f>IF(A95="","",(1+INPUTS!$C$11)^A95)</f>
        <v/>
      </c>
      <c r="N95" s="11" t="str">
        <f t="shared" si="45"/>
        <v/>
      </c>
      <c r="O95" s="11" t="str">
        <f t="shared" si="46"/>
        <v/>
      </c>
      <c r="P95" s="11" t="str">
        <f>IF(A95="","",L95-INPUTS!$C$8-O95)</f>
        <v/>
      </c>
      <c r="Q95" s="16"/>
      <c r="R95" s="16"/>
      <c r="S95" s="16" t="str">
        <f t="shared" si="47"/>
        <v/>
      </c>
      <c r="T95" s="18" t="str">
        <f t="shared" si="48"/>
        <v/>
      </c>
      <c r="U95" s="18" t="str">
        <f t="shared" si="49"/>
        <v/>
      </c>
      <c r="V95" s="19" t="str">
        <f>IF(A95="","",FV(INPUTS!$C$10,INPUTS!$C$7-INPUTS!$C$6-A95+IF(INPUTS!$C$12="Beginning",1,0),0,-D95,0))</f>
        <v/>
      </c>
      <c r="W95" s="7"/>
      <c r="X95" s="7"/>
      <c r="Y95" s="21" t="str">
        <f>IF(A95="","",IF(INPUTS!$C$17="Yes",MIN(Y94*(1+INPUTS!$C$15)+IF(INPUTS!$C$27="Yes",(Z95-Z94)*INPUTS!$C$31+IF(AND(INPUTS!$C$28="Not yet credentialed",A95=INPUTS!$C$33),INPUTS!$C$32,0)+IF(AND(INPUTS!$C$28&lt;&gt;"FSA / FCAS",A95=INPUTS!$C$35),INPUTS!$C$34,0),0),INPUTS!$C$18),Y94*(1+INPUTS!$C$15)+IF(INPUTS!$C$27="Yes",(Z95-Z94)*INPUTS!$C$31+IF(AND(INPUTS!$C$28="Not yet credentialed",A95=INPUTS!$C$33),INPUTS!$C$32,0)+IF(AND(INPUTS!$C$28&lt;&gt;"FSA / FCAS",A95=INPUTS!$C$35),INPUTS!$C$34,0),0)))</f>
        <v/>
      </c>
      <c r="Z95" s="22" t="str">
        <f>IF(A95="","",IF(AND(INPUTS!$C$27="Yes",INPUTS!$C$28&lt;&gt;"FSA / FCAS",ISNUMBER(INPUTS!$C$37)),MIN(A95*INPUTS!$C$37,INPUTS!$C$30),0))</f>
        <v/>
      </c>
      <c r="AA95" s="21" t="str">
        <f t="shared" si="40"/>
        <v/>
      </c>
      <c r="AB95" s="21" t="str">
        <f t="shared" si="41"/>
        <v/>
      </c>
      <c r="AC95" s="21" t="str">
        <f>IF(A95="","",MIN(AB95,AP95)*'CONSTANTS &amp; REFERENCES'!$A$5+MAX(MIN(AB95,AR95)-AP95,0)*'CONSTANTS &amp; REFERENCES'!$A$6+MAX(MIN(AB95,AT95)-AR95,0)*'CONSTANTS &amp; REFERENCES'!$A$7+MAX(MIN(AB95,AV95)-AT95,0)*'CONSTANTS &amp; REFERENCES'!$A$8+MAX(MIN(AB95,AX95)-AV95,0)*'CONSTANTS &amp; REFERENCES'!$A$9+MAX(MIN(AB95,AZ95)-AX95,0)*'CONSTANTS &amp; REFERENCES'!$A$10+MAX(AB95-AZ95,0)*'CONSTANTS &amp; REFERENCES'!$A$11)</f>
        <v/>
      </c>
      <c r="AD95" s="21" t="str">
        <f>IF(AB95="","",IF(INPUTS!$C$20="Yes",AB95*INPUTS!$C$21,0))</f>
        <v/>
      </c>
      <c r="AE95" s="21" t="str">
        <f>IF(Y95="","",MIN(Y95,BC95)*'CONSTANTS &amp; REFERENCES'!$B$22)</f>
        <v/>
      </c>
      <c r="AF95" s="21" t="str">
        <f>IF(Y95="","",Y95*'CONSTANTS &amp; REFERENCES'!$B$24+MAX(0,Y95-IF(AK95="Married Filing Jointly",'CONSTANTS &amp; REFERENCES'!$C$26,IF(AK95="Married Filing Separately",'CONSTANTS &amp; REFERENCES'!$C$27,IF(AK95="Head of Household",'CONSTANTS &amp; REFERENCES'!$C$28,'CONSTANTS &amp; REFERENCES'!$C$25))))*'CONSTANTS &amp; REFERENCES'!$B$25)</f>
        <v/>
      </c>
      <c r="AG95" s="21" t="str">
        <f t="shared" si="50"/>
        <v/>
      </c>
      <c r="AH95" s="21" t="str">
        <f t="shared" si="51"/>
        <v/>
      </c>
      <c r="AI95" s="21" t="str">
        <f t="shared" si="52"/>
        <v/>
      </c>
      <c r="AJ95" s="21" t="str">
        <f t="shared" si="53"/>
        <v/>
      </c>
      <c r="AK95" s="7" t="str">
        <f>IF(A95="","",IF(AND(INPUTS!$C$43="Yes",A95&gt;=INPUTS!$C$45),INPUTS!$C$44,INPUTS!$C$19))</f>
        <v/>
      </c>
      <c r="AL95" s="23" t="str">
        <f t="shared" si="42"/>
        <v/>
      </c>
      <c r="AM95" s="24" t="str">
        <f>IF(A95="","",(IF(OR(AK95="Single",AK95="Married Filing Separately"),'CONSTANTS &amp; REFERENCES'!$B$13,IF(AK95="Married Filing Jointly",'CONSTANTS &amp; REFERENCES'!$G$13,IF(AK95="Head of Household",'CONSTANTS &amp; REFERENCES'!$L$13,""))))*AL95)</f>
        <v/>
      </c>
      <c r="AN95" s="21" t="str">
        <f>IF(AM95="","",IF(A95=0,IF(OR(AK95="Single",AK95="Married Filing Separately"),'CONSTANTS &amp; REFERENCES'!$B$13,IF(AK95="Married Filing Jointly",'CONSTANTS &amp; REFERENCES'!$G$13,IF(AK95="Head of Household",'CONSTANTS &amp; REFERENCES'!$L$13,""))),_xlfn.FLOOR.MATH(AM95,IF(AK95="Married Filing Separately",Bracket_Round_MFS,Bracket_Round_Standard))))</f>
        <v/>
      </c>
      <c r="AO95" s="24" t="str">
        <f>IF(A95="","",(IF(OR(AK95="Single",AK95="Married Filing Separately"),'CONSTANTS &amp; REFERENCES'!$C$5,IF(AK95="Married Filing Jointly",'CONSTANTS &amp; REFERENCES'!$H$5,IF(AK95="Head of Household",'CONSTANTS &amp; REFERENCES'!$M$5,""))))*AL95)</f>
        <v/>
      </c>
      <c r="AP95" s="21" t="str">
        <f>IF(AO95="","",IF(A95=0,IF(OR(AK95="Single",AK95="Married Filing Separately"),'CONSTANTS &amp; REFERENCES'!$C$5,IF(AK95="Married Filing Jointly",'CONSTANTS &amp; REFERENCES'!$H$5,IF(AK95="Head of Household",'CONSTANTS &amp; REFERENCES'!$M$5,""))),_xlfn.FLOOR.MATH(AO95,IF(AK95="Married Filing Separately",Bracket_Round_MFS,Bracket_Round_Standard))))</f>
        <v/>
      </c>
      <c r="AQ95" s="24" t="str">
        <f>IF(A95="","",(IF(OR(AK95="Single",AK95="Married Filing Separately"),'CONSTANTS &amp; REFERENCES'!$C$6,IF(AK95="Married Filing Jointly",'CONSTANTS &amp; REFERENCES'!$H$6,IF(AK95="Head of Household",'CONSTANTS &amp; REFERENCES'!$M$6,""))))*AL95)</f>
        <v/>
      </c>
      <c r="AR95" s="21" t="str">
        <f>IF(AQ95="","",IF(A95=0,IF(OR(AK95="Single",AK95="Married Filing Separately"),'CONSTANTS &amp; REFERENCES'!$C$6,IF(AK95="Married Filing Jointly",'CONSTANTS &amp; REFERENCES'!$H$6,IF(AK95="Head of Household",'CONSTANTS &amp; REFERENCES'!$M$6,""))),_xlfn.FLOOR.MATH(AQ95,IF(AK95="Married Filing Separately",Bracket_Round_MFS,Bracket_Round_Standard))))</f>
        <v/>
      </c>
      <c r="AS95" s="24" t="str">
        <f>IF(A95="","",(IF(OR(AK95="Single",AK95="Married Filing Separately"),'CONSTANTS &amp; REFERENCES'!$C$7,IF(AK95="Married Filing Jointly",'CONSTANTS &amp; REFERENCES'!$H$7,IF(AK95="Head of Household",'CONSTANTS &amp; REFERENCES'!$M$7,""))))*AL95)</f>
        <v/>
      </c>
      <c r="AT95" s="21" t="str">
        <f>IF(AS95="","",IF(A95=0,IF(OR(AK95="Single",AK95="Married Filing Separately"),'CONSTANTS &amp; REFERENCES'!$C$7,IF(AK95="Married Filing Jointly",'CONSTANTS &amp; REFERENCES'!$H$7,IF(AK95="Head of Household",'CONSTANTS &amp; REFERENCES'!$M$7,""))),_xlfn.FLOOR.MATH(AS95,IF(AK95="Married Filing Separately",Bracket_Round_MFS,Bracket_Round_Standard))))</f>
        <v/>
      </c>
      <c r="AU95" s="24" t="str">
        <f>IF(A95="","",(IF(OR(AK95="Single",AK95="Married Filing Separately"),'CONSTANTS &amp; REFERENCES'!$C$8,IF(AK95="Married Filing Jointly",'CONSTANTS &amp; REFERENCES'!$H$8,IF(AK95="Head of Household",'CONSTANTS &amp; REFERENCES'!$M$8,""))))*AL95)</f>
        <v/>
      </c>
      <c r="AV95" s="21" t="str">
        <f>IF(AU95="","",IF(A95=0,IF(OR(AK95="Single",AK95="Married Filing Separately"),'CONSTANTS &amp; REFERENCES'!$C$8,IF(AK95="Married Filing Jointly",'CONSTANTS &amp; REFERENCES'!$H$8,IF(AK95="Head of Household",'CONSTANTS &amp; REFERENCES'!$M$8,""))),_xlfn.FLOOR.MATH(AU95,IF(AK95="Married Filing Separately",Bracket_Round_MFS,Bracket_Round_Standard))))</f>
        <v/>
      </c>
      <c r="AW95" s="24" t="str">
        <f>IF(A95="","",(IF(OR(AK95="Single",AK95="Married Filing Separately"),'CONSTANTS &amp; REFERENCES'!$C$9,IF(AK95="Married Filing Jointly",'CONSTANTS &amp; REFERENCES'!$H$9,IF(AK95="Head of Household",'CONSTANTS &amp; REFERENCES'!$M$9,""))))*AL95)</f>
        <v/>
      </c>
      <c r="AX95" s="21" t="str">
        <f>IF(AW95="","",IF(A95=0,IF(OR(AK95="Single",AK95="Married Filing Separately"),'CONSTANTS &amp; REFERENCES'!$C$9,IF(AK95="Married Filing Jointly",'CONSTANTS &amp; REFERENCES'!$H$9,IF(AK95="Head of Household",'CONSTANTS &amp; REFERENCES'!$M$9,""))),_xlfn.FLOOR.MATH(AW95,IF(AK95="Married Filing Separately",Bracket_Round_MFS,Bracket_Round_Standard))))</f>
        <v/>
      </c>
      <c r="AY95" s="24" t="str">
        <f>IF(A95="","",(IF(OR(AK95="Single",AK95="Married Filing Separately"),'CONSTANTS &amp; REFERENCES'!$C$10,IF(AK95="Married Filing Jointly",'CONSTANTS &amp; REFERENCES'!$H$10,IF(AK95="Head of Household",'CONSTANTS &amp; REFERENCES'!$M$10,""))))*AL95)</f>
        <v/>
      </c>
      <c r="AZ95" s="21" t="str">
        <f>IF(AY95="","",IF(A95=0,IF(OR(AK95="Single",AK95="Married Filing Separately"),'CONSTANTS &amp; REFERENCES'!$C$10,IF(AK95="Married Filing Jointly",'CONSTANTS &amp; REFERENCES'!$H$10,IF(AK95="Head of Household",'CONSTANTS &amp; REFERENCES'!$M$10,""))),_xlfn.FLOOR.MATH(AY95,IF(AK95="Married Filing Separately",Bracket_Round_MFS,Bracket_Round_Standard))))</f>
        <v/>
      </c>
      <c r="BA95" s="7" t="str">
        <f t="shared" si="43"/>
        <v/>
      </c>
      <c r="BB95" s="7" t="str">
        <f>IF(A95="","",'CONSTANTS &amp; REFERENCES'!$C$22*AL95)</f>
        <v/>
      </c>
      <c r="BC95" s="21" t="str">
        <f t="shared" si="54"/>
        <v/>
      </c>
    </row>
    <row r="96" spans="1:55" ht="18" customHeight="1" x14ac:dyDescent="0.3">
      <c r="A96" s="10" t="str">
        <f>IF(A95&lt;INPUTS!$C$7-INPUTS!$C$6,A95+1,"")</f>
        <v/>
      </c>
      <c r="B96" s="10" t="str">
        <f>IF(A96="","",INPUTS!$C$6+A96)</f>
        <v/>
      </c>
      <c r="C96" s="11" t="str">
        <f t="shared" si="44"/>
        <v/>
      </c>
      <c r="D96" s="11" t="str">
        <f>IF(A96="","",IF(A96&lt;INPUTS!$C$13,0,J96))</f>
        <v/>
      </c>
      <c r="E96" s="12" t="str">
        <f>IF(A96="","",IF(D96=0,"—",IF(Y96&lt;IF(AK96="Married Filing Jointly",'CONSTANTS &amp; REFERENCES'!$B$44,IF(AK96="Married Filing Separately",'CONSTANTS &amp; REFERENCES'!$B$45,'CONSTANTS &amp; REFERENCES'!$B$43)),"Direct","Backdoor")))</f>
        <v/>
      </c>
      <c r="F96" s="13" t="str">
        <f t="shared" si="35"/>
        <v/>
      </c>
      <c r="G96" s="14" t="str">
        <f t="shared" si="36"/>
        <v/>
      </c>
      <c r="H96" s="13" t="str">
        <f t="shared" si="37"/>
        <v/>
      </c>
      <c r="I96" s="14" t="str">
        <f t="shared" si="38"/>
        <v/>
      </c>
      <c r="J96" s="14" t="str">
        <f t="shared" si="39"/>
        <v/>
      </c>
      <c r="K96" s="11" t="str">
        <f>IF(A96="","",IF(INPUTS!$C$12="Beginning",(C96+D96)*INPUTS!$C$10,C96*INPUTS!$C$10))</f>
        <v/>
      </c>
      <c r="L96" s="11" t="str">
        <f>IF(A96="","",IF(INPUTS!$C$12="Beginning",(C96+D96)*(1+INPUTS!$C$10),C96*(1+INPUTS!$C$10)+D96))</f>
        <v/>
      </c>
      <c r="M96" s="15" t="str">
        <f>IF(A96="","",(1+INPUTS!$C$11)^A96)</f>
        <v/>
      </c>
      <c r="N96" s="11" t="str">
        <f t="shared" si="45"/>
        <v/>
      </c>
      <c r="O96" s="11" t="str">
        <f t="shared" si="46"/>
        <v/>
      </c>
      <c r="P96" s="11" t="str">
        <f>IF(A96="","",L96-INPUTS!$C$8-O96)</f>
        <v/>
      </c>
      <c r="Q96" s="16"/>
      <c r="R96" s="16"/>
      <c r="S96" s="16" t="str">
        <f t="shared" si="47"/>
        <v/>
      </c>
      <c r="T96" s="18" t="str">
        <f t="shared" si="48"/>
        <v/>
      </c>
      <c r="U96" s="18" t="str">
        <f t="shared" si="49"/>
        <v/>
      </c>
      <c r="V96" s="19" t="str">
        <f>IF(A96="","",FV(INPUTS!$C$10,INPUTS!$C$7-INPUTS!$C$6-A96+IF(INPUTS!$C$12="Beginning",1,0),0,-D96,0))</f>
        <v/>
      </c>
      <c r="W96" s="7"/>
      <c r="X96" s="7"/>
      <c r="Y96" s="21" t="str">
        <f>IF(A96="","",IF(INPUTS!$C$17="Yes",MIN(Y95*(1+INPUTS!$C$15)+IF(INPUTS!$C$27="Yes",(Z96-Z95)*INPUTS!$C$31+IF(AND(INPUTS!$C$28="Not yet credentialed",A96=INPUTS!$C$33),INPUTS!$C$32,0)+IF(AND(INPUTS!$C$28&lt;&gt;"FSA / FCAS",A96=INPUTS!$C$35),INPUTS!$C$34,0),0),INPUTS!$C$18),Y95*(1+INPUTS!$C$15)+IF(INPUTS!$C$27="Yes",(Z96-Z95)*INPUTS!$C$31+IF(AND(INPUTS!$C$28="Not yet credentialed",A96=INPUTS!$C$33),INPUTS!$C$32,0)+IF(AND(INPUTS!$C$28&lt;&gt;"FSA / FCAS",A96=INPUTS!$C$35),INPUTS!$C$34,0),0)))</f>
        <v/>
      </c>
      <c r="Z96" s="22" t="str">
        <f>IF(A96="","",IF(AND(INPUTS!$C$27="Yes",INPUTS!$C$28&lt;&gt;"FSA / FCAS",ISNUMBER(INPUTS!$C$37)),MIN(A96*INPUTS!$C$37,INPUTS!$C$30),0))</f>
        <v/>
      </c>
      <c r="AA96" s="21" t="str">
        <f t="shared" si="40"/>
        <v/>
      </c>
      <c r="AB96" s="21" t="str">
        <f t="shared" si="41"/>
        <v/>
      </c>
      <c r="AC96" s="21" t="str">
        <f>IF(A96="","",MIN(AB96,AP96)*'CONSTANTS &amp; REFERENCES'!$A$5+MAX(MIN(AB96,AR96)-AP96,0)*'CONSTANTS &amp; REFERENCES'!$A$6+MAX(MIN(AB96,AT96)-AR96,0)*'CONSTANTS &amp; REFERENCES'!$A$7+MAX(MIN(AB96,AV96)-AT96,0)*'CONSTANTS &amp; REFERENCES'!$A$8+MAX(MIN(AB96,AX96)-AV96,0)*'CONSTANTS &amp; REFERENCES'!$A$9+MAX(MIN(AB96,AZ96)-AX96,0)*'CONSTANTS &amp; REFERENCES'!$A$10+MAX(AB96-AZ96,0)*'CONSTANTS &amp; REFERENCES'!$A$11)</f>
        <v/>
      </c>
      <c r="AD96" s="21" t="str">
        <f>IF(AB96="","",IF(INPUTS!$C$20="Yes",AB96*INPUTS!$C$21,0))</f>
        <v/>
      </c>
      <c r="AE96" s="21" t="str">
        <f>IF(Y96="","",MIN(Y96,BC96)*'CONSTANTS &amp; REFERENCES'!$B$22)</f>
        <v/>
      </c>
      <c r="AF96" s="21" t="str">
        <f>IF(Y96="","",Y96*'CONSTANTS &amp; REFERENCES'!$B$24+MAX(0,Y96-IF(AK96="Married Filing Jointly",'CONSTANTS &amp; REFERENCES'!$C$26,IF(AK96="Married Filing Separately",'CONSTANTS &amp; REFERENCES'!$C$27,IF(AK96="Head of Household",'CONSTANTS &amp; REFERENCES'!$C$28,'CONSTANTS &amp; REFERENCES'!$C$25))))*'CONSTANTS &amp; REFERENCES'!$B$25)</f>
        <v/>
      </c>
      <c r="AG96" s="21" t="str">
        <f t="shared" si="50"/>
        <v/>
      </c>
      <c r="AH96" s="21" t="str">
        <f t="shared" si="51"/>
        <v/>
      </c>
      <c r="AI96" s="21" t="str">
        <f t="shared" si="52"/>
        <v/>
      </c>
      <c r="AJ96" s="21" t="str">
        <f t="shared" si="53"/>
        <v/>
      </c>
      <c r="AK96" s="7" t="str">
        <f>IF(A96="","",IF(AND(INPUTS!$C$43="Yes",A96&gt;=INPUTS!$C$45),INPUTS!$C$44,INPUTS!$C$19))</f>
        <v/>
      </c>
      <c r="AL96" s="23" t="str">
        <f t="shared" si="42"/>
        <v/>
      </c>
      <c r="AM96" s="24" t="str">
        <f>IF(A96="","",(IF(OR(AK96="Single",AK96="Married Filing Separately"),'CONSTANTS &amp; REFERENCES'!$B$13,IF(AK96="Married Filing Jointly",'CONSTANTS &amp; REFERENCES'!$G$13,IF(AK96="Head of Household",'CONSTANTS &amp; REFERENCES'!$L$13,""))))*AL96)</f>
        <v/>
      </c>
      <c r="AN96" s="21" t="str">
        <f>IF(AM96="","",IF(A96=0,IF(OR(AK96="Single",AK96="Married Filing Separately"),'CONSTANTS &amp; REFERENCES'!$B$13,IF(AK96="Married Filing Jointly",'CONSTANTS &amp; REFERENCES'!$G$13,IF(AK96="Head of Household",'CONSTANTS &amp; REFERENCES'!$L$13,""))),_xlfn.FLOOR.MATH(AM96,IF(AK96="Married Filing Separately",Bracket_Round_MFS,Bracket_Round_Standard))))</f>
        <v/>
      </c>
      <c r="AO96" s="24" t="str">
        <f>IF(A96="","",(IF(OR(AK96="Single",AK96="Married Filing Separately"),'CONSTANTS &amp; REFERENCES'!$C$5,IF(AK96="Married Filing Jointly",'CONSTANTS &amp; REFERENCES'!$H$5,IF(AK96="Head of Household",'CONSTANTS &amp; REFERENCES'!$M$5,""))))*AL96)</f>
        <v/>
      </c>
      <c r="AP96" s="21" t="str">
        <f>IF(AO96="","",IF(A96=0,IF(OR(AK96="Single",AK96="Married Filing Separately"),'CONSTANTS &amp; REFERENCES'!$C$5,IF(AK96="Married Filing Jointly",'CONSTANTS &amp; REFERENCES'!$H$5,IF(AK96="Head of Household",'CONSTANTS &amp; REFERENCES'!$M$5,""))),_xlfn.FLOOR.MATH(AO96,IF(AK96="Married Filing Separately",Bracket_Round_MFS,Bracket_Round_Standard))))</f>
        <v/>
      </c>
      <c r="AQ96" s="24" t="str">
        <f>IF(A96="","",(IF(OR(AK96="Single",AK96="Married Filing Separately"),'CONSTANTS &amp; REFERENCES'!$C$6,IF(AK96="Married Filing Jointly",'CONSTANTS &amp; REFERENCES'!$H$6,IF(AK96="Head of Household",'CONSTANTS &amp; REFERENCES'!$M$6,""))))*AL96)</f>
        <v/>
      </c>
      <c r="AR96" s="21" t="str">
        <f>IF(AQ96="","",IF(A96=0,IF(OR(AK96="Single",AK96="Married Filing Separately"),'CONSTANTS &amp; REFERENCES'!$C$6,IF(AK96="Married Filing Jointly",'CONSTANTS &amp; REFERENCES'!$H$6,IF(AK96="Head of Household",'CONSTANTS &amp; REFERENCES'!$M$6,""))),_xlfn.FLOOR.MATH(AQ96,IF(AK96="Married Filing Separately",Bracket_Round_MFS,Bracket_Round_Standard))))</f>
        <v/>
      </c>
      <c r="AS96" s="24" t="str">
        <f>IF(A96="","",(IF(OR(AK96="Single",AK96="Married Filing Separately"),'CONSTANTS &amp; REFERENCES'!$C$7,IF(AK96="Married Filing Jointly",'CONSTANTS &amp; REFERENCES'!$H$7,IF(AK96="Head of Household",'CONSTANTS &amp; REFERENCES'!$M$7,""))))*AL96)</f>
        <v/>
      </c>
      <c r="AT96" s="21" t="str">
        <f>IF(AS96="","",IF(A96=0,IF(OR(AK96="Single",AK96="Married Filing Separately"),'CONSTANTS &amp; REFERENCES'!$C$7,IF(AK96="Married Filing Jointly",'CONSTANTS &amp; REFERENCES'!$H$7,IF(AK96="Head of Household",'CONSTANTS &amp; REFERENCES'!$M$7,""))),_xlfn.FLOOR.MATH(AS96,IF(AK96="Married Filing Separately",Bracket_Round_MFS,Bracket_Round_Standard))))</f>
        <v/>
      </c>
      <c r="AU96" s="24" t="str">
        <f>IF(A96="","",(IF(OR(AK96="Single",AK96="Married Filing Separately"),'CONSTANTS &amp; REFERENCES'!$C$8,IF(AK96="Married Filing Jointly",'CONSTANTS &amp; REFERENCES'!$H$8,IF(AK96="Head of Household",'CONSTANTS &amp; REFERENCES'!$M$8,""))))*AL96)</f>
        <v/>
      </c>
      <c r="AV96" s="21" t="str">
        <f>IF(AU96="","",IF(A96=0,IF(OR(AK96="Single",AK96="Married Filing Separately"),'CONSTANTS &amp; REFERENCES'!$C$8,IF(AK96="Married Filing Jointly",'CONSTANTS &amp; REFERENCES'!$H$8,IF(AK96="Head of Household",'CONSTANTS &amp; REFERENCES'!$M$8,""))),_xlfn.FLOOR.MATH(AU96,IF(AK96="Married Filing Separately",Bracket_Round_MFS,Bracket_Round_Standard))))</f>
        <v/>
      </c>
      <c r="AW96" s="24" t="str">
        <f>IF(A96="","",(IF(OR(AK96="Single",AK96="Married Filing Separately"),'CONSTANTS &amp; REFERENCES'!$C$9,IF(AK96="Married Filing Jointly",'CONSTANTS &amp; REFERENCES'!$H$9,IF(AK96="Head of Household",'CONSTANTS &amp; REFERENCES'!$M$9,""))))*AL96)</f>
        <v/>
      </c>
      <c r="AX96" s="21" t="str">
        <f>IF(AW96="","",IF(A96=0,IF(OR(AK96="Single",AK96="Married Filing Separately"),'CONSTANTS &amp; REFERENCES'!$C$9,IF(AK96="Married Filing Jointly",'CONSTANTS &amp; REFERENCES'!$H$9,IF(AK96="Head of Household",'CONSTANTS &amp; REFERENCES'!$M$9,""))),_xlfn.FLOOR.MATH(AW96,IF(AK96="Married Filing Separately",Bracket_Round_MFS,Bracket_Round_Standard))))</f>
        <v/>
      </c>
      <c r="AY96" s="24" t="str">
        <f>IF(A96="","",(IF(OR(AK96="Single",AK96="Married Filing Separately"),'CONSTANTS &amp; REFERENCES'!$C$10,IF(AK96="Married Filing Jointly",'CONSTANTS &amp; REFERENCES'!$H$10,IF(AK96="Head of Household",'CONSTANTS &amp; REFERENCES'!$M$10,""))))*AL96)</f>
        <v/>
      </c>
      <c r="AZ96" s="21" t="str">
        <f>IF(AY96="","",IF(A96=0,IF(OR(AK96="Single",AK96="Married Filing Separately"),'CONSTANTS &amp; REFERENCES'!$C$10,IF(AK96="Married Filing Jointly",'CONSTANTS &amp; REFERENCES'!$H$10,IF(AK96="Head of Household",'CONSTANTS &amp; REFERENCES'!$M$10,""))),_xlfn.FLOOR.MATH(AY96,IF(AK96="Married Filing Separately",Bracket_Round_MFS,Bracket_Round_Standard))))</f>
        <v/>
      </c>
      <c r="BA96" s="7" t="str">
        <f t="shared" si="43"/>
        <v/>
      </c>
      <c r="BB96" s="7" t="str">
        <f>IF(A96="","",'CONSTANTS &amp; REFERENCES'!$C$22*AL96)</f>
        <v/>
      </c>
      <c r="BC96" s="21" t="str">
        <f t="shared" si="54"/>
        <v/>
      </c>
    </row>
    <row r="97" spans="1:55" ht="18" customHeight="1" x14ac:dyDescent="0.3">
      <c r="A97" s="10" t="str">
        <f>IF(A96&lt;INPUTS!$C$7-INPUTS!$C$6,A96+1,"")</f>
        <v/>
      </c>
      <c r="B97" s="10" t="str">
        <f>IF(A97="","",INPUTS!$C$6+A97)</f>
        <v/>
      </c>
      <c r="C97" s="11" t="str">
        <f t="shared" si="44"/>
        <v/>
      </c>
      <c r="D97" s="11" t="str">
        <f>IF(A97="","",IF(A97&lt;INPUTS!$C$13,0,J97))</f>
        <v/>
      </c>
      <c r="E97" s="12" t="str">
        <f>IF(A97="","",IF(D97=0,"—",IF(Y97&lt;IF(AK97="Married Filing Jointly",'CONSTANTS &amp; REFERENCES'!$B$44,IF(AK97="Married Filing Separately",'CONSTANTS &amp; REFERENCES'!$B$45,'CONSTANTS &amp; REFERENCES'!$B$43)),"Direct","Backdoor")))</f>
        <v/>
      </c>
      <c r="F97" s="13" t="str">
        <f t="shared" si="35"/>
        <v/>
      </c>
      <c r="G97" s="14" t="str">
        <f t="shared" si="36"/>
        <v/>
      </c>
      <c r="H97" s="13" t="str">
        <f t="shared" si="37"/>
        <v/>
      </c>
      <c r="I97" s="14" t="str">
        <f t="shared" si="38"/>
        <v/>
      </c>
      <c r="J97" s="14" t="str">
        <f t="shared" si="39"/>
        <v/>
      </c>
      <c r="K97" s="11" t="str">
        <f>IF(A97="","",IF(INPUTS!$C$12="Beginning",(C97+D97)*INPUTS!$C$10,C97*INPUTS!$C$10))</f>
        <v/>
      </c>
      <c r="L97" s="11" t="str">
        <f>IF(A97="","",IF(INPUTS!$C$12="Beginning",(C97+D97)*(1+INPUTS!$C$10),C97*(1+INPUTS!$C$10)+D97))</f>
        <v/>
      </c>
      <c r="M97" s="15" t="str">
        <f>IF(A97="","",(1+INPUTS!$C$11)^A97)</f>
        <v/>
      </c>
      <c r="N97" s="11" t="str">
        <f t="shared" si="45"/>
        <v/>
      </c>
      <c r="O97" s="11" t="str">
        <f t="shared" si="46"/>
        <v/>
      </c>
      <c r="P97" s="11" t="str">
        <f>IF(A97="","",L97-INPUTS!$C$8-O97)</f>
        <v/>
      </c>
      <c r="Q97" s="16"/>
      <c r="R97" s="16"/>
      <c r="S97" s="16" t="str">
        <f t="shared" si="47"/>
        <v/>
      </c>
      <c r="T97" s="18" t="str">
        <f t="shared" si="48"/>
        <v/>
      </c>
      <c r="U97" s="18" t="str">
        <f t="shared" si="49"/>
        <v/>
      </c>
      <c r="V97" s="19" t="str">
        <f>IF(A97="","",FV(INPUTS!$C$10,INPUTS!$C$7-INPUTS!$C$6-A97+IF(INPUTS!$C$12="Beginning",1,0),0,-D97,0))</f>
        <v/>
      </c>
      <c r="W97" s="7"/>
      <c r="X97" s="7"/>
      <c r="Y97" s="21" t="str">
        <f>IF(A97="","",IF(INPUTS!$C$17="Yes",MIN(Y96*(1+INPUTS!$C$15)+IF(INPUTS!$C$27="Yes",(Z97-Z96)*INPUTS!$C$31+IF(AND(INPUTS!$C$28="Not yet credentialed",A97=INPUTS!$C$33),INPUTS!$C$32,0)+IF(AND(INPUTS!$C$28&lt;&gt;"FSA / FCAS",A97=INPUTS!$C$35),INPUTS!$C$34,0),0),INPUTS!$C$18),Y96*(1+INPUTS!$C$15)+IF(INPUTS!$C$27="Yes",(Z97-Z96)*INPUTS!$C$31+IF(AND(INPUTS!$C$28="Not yet credentialed",A97=INPUTS!$C$33),INPUTS!$C$32,0)+IF(AND(INPUTS!$C$28&lt;&gt;"FSA / FCAS",A97=INPUTS!$C$35),INPUTS!$C$34,0),0)))</f>
        <v/>
      </c>
      <c r="Z97" s="22" t="str">
        <f>IF(A97="","",IF(AND(INPUTS!$C$27="Yes",INPUTS!$C$28&lt;&gt;"FSA / FCAS",ISNUMBER(INPUTS!$C$37)),MIN(A97*INPUTS!$C$37,INPUTS!$C$30),0))</f>
        <v/>
      </c>
      <c r="AA97" s="21" t="str">
        <f t="shared" si="40"/>
        <v/>
      </c>
      <c r="AB97" s="21" t="str">
        <f t="shared" si="41"/>
        <v/>
      </c>
      <c r="AC97" s="21" t="str">
        <f>IF(A97="","",MIN(AB97,AP97)*'CONSTANTS &amp; REFERENCES'!$A$5+MAX(MIN(AB97,AR97)-AP97,0)*'CONSTANTS &amp; REFERENCES'!$A$6+MAX(MIN(AB97,AT97)-AR97,0)*'CONSTANTS &amp; REFERENCES'!$A$7+MAX(MIN(AB97,AV97)-AT97,0)*'CONSTANTS &amp; REFERENCES'!$A$8+MAX(MIN(AB97,AX97)-AV97,0)*'CONSTANTS &amp; REFERENCES'!$A$9+MAX(MIN(AB97,AZ97)-AX97,0)*'CONSTANTS &amp; REFERENCES'!$A$10+MAX(AB97-AZ97,0)*'CONSTANTS &amp; REFERENCES'!$A$11)</f>
        <v/>
      </c>
      <c r="AD97" s="21" t="str">
        <f>IF(AB97="","",IF(INPUTS!$C$20="Yes",AB97*INPUTS!$C$21,0))</f>
        <v/>
      </c>
      <c r="AE97" s="21" t="str">
        <f>IF(Y97="","",MIN(Y97,BC97)*'CONSTANTS &amp; REFERENCES'!$B$22)</f>
        <v/>
      </c>
      <c r="AF97" s="21" t="str">
        <f>IF(Y97="","",Y97*'CONSTANTS &amp; REFERENCES'!$B$24+MAX(0,Y97-IF(AK97="Married Filing Jointly",'CONSTANTS &amp; REFERENCES'!$C$26,IF(AK97="Married Filing Separately",'CONSTANTS &amp; REFERENCES'!$C$27,IF(AK97="Head of Household",'CONSTANTS &amp; REFERENCES'!$C$28,'CONSTANTS &amp; REFERENCES'!$C$25))))*'CONSTANTS &amp; REFERENCES'!$B$25)</f>
        <v/>
      </c>
      <c r="AG97" s="21" t="str">
        <f t="shared" si="50"/>
        <v/>
      </c>
      <c r="AH97" s="21" t="str">
        <f t="shared" si="51"/>
        <v/>
      </c>
      <c r="AI97" s="21" t="str">
        <f t="shared" si="52"/>
        <v/>
      </c>
      <c r="AJ97" s="21" t="str">
        <f t="shared" si="53"/>
        <v/>
      </c>
      <c r="AK97" s="7" t="str">
        <f>IF(A97="","",IF(AND(INPUTS!$C$43="Yes",A97&gt;=INPUTS!$C$45),INPUTS!$C$44,INPUTS!$C$19))</f>
        <v/>
      </c>
      <c r="AL97" s="23" t="str">
        <f t="shared" si="42"/>
        <v/>
      </c>
      <c r="AM97" s="24" t="str">
        <f>IF(A97="","",(IF(OR(AK97="Single",AK97="Married Filing Separately"),'CONSTANTS &amp; REFERENCES'!$B$13,IF(AK97="Married Filing Jointly",'CONSTANTS &amp; REFERENCES'!$G$13,IF(AK97="Head of Household",'CONSTANTS &amp; REFERENCES'!$L$13,""))))*AL97)</f>
        <v/>
      </c>
      <c r="AN97" s="21" t="str">
        <f>IF(AM97="","",IF(A97=0,IF(OR(AK97="Single",AK97="Married Filing Separately"),'CONSTANTS &amp; REFERENCES'!$B$13,IF(AK97="Married Filing Jointly",'CONSTANTS &amp; REFERENCES'!$G$13,IF(AK97="Head of Household",'CONSTANTS &amp; REFERENCES'!$L$13,""))),_xlfn.FLOOR.MATH(AM97,IF(AK97="Married Filing Separately",Bracket_Round_MFS,Bracket_Round_Standard))))</f>
        <v/>
      </c>
      <c r="AO97" s="24" t="str">
        <f>IF(A97="","",(IF(OR(AK97="Single",AK97="Married Filing Separately"),'CONSTANTS &amp; REFERENCES'!$C$5,IF(AK97="Married Filing Jointly",'CONSTANTS &amp; REFERENCES'!$H$5,IF(AK97="Head of Household",'CONSTANTS &amp; REFERENCES'!$M$5,""))))*AL97)</f>
        <v/>
      </c>
      <c r="AP97" s="21" t="str">
        <f>IF(AO97="","",IF(A97=0,IF(OR(AK97="Single",AK97="Married Filing Separately"),'CONSTANTS &amp; REFERENCES'!$C$5,IF(AK97="Married Filing Jointly",'CONSTANTS &amp; REFERENCES'!$H$5,IF(AK97="Head of Household",'CONSTANTS &amp; REFERENCES'!$M$5,""))),_xlfn.FLOOR.MATH(AO97,IF(AK97="Married Filing Separately",Bracket_Round_MFS,Bracket_Round_Standard))))</f>
        <v/>
      </c>
      <c r="AQ97" s="24" t="str">
        <f>IF(A97="","",(IF(OR(AK97="Single",AK97="Married Filing Separately"),'CONSTANTS &amp; REFERENCES'!$C$6,IF(AK97="Married Filing Jointly",'CONSTANTS &amp; REFERENCES'!$H$6,IF(AK97="Head of Household",'CONSTANTS &amp; REFERENCES'!$M$6,""))))*AL97)</f>
        <v/>
      </c>
      <c r="AR97" s="21" t="str">
        <f>IF(AQ97="","",IF(A97=0,IF(OR(AK97="Single",AK97="Married Filing Separately"),'CONSTANTS &amp; REFERENCES'!$C$6,IF(AK97="Married Filing Jointly",'CONSTANTS &amp; REFERENCES'!$H$6,IF(AK97="Head of Household",'CONSTANTS &amp; REFERENCES'!$M$6,""))),_xlfn.FLOOR.MATH(AQ97,IF(AK97="Married Filing Separately",Bracket_Round_MFS,Bracket_Round_Standard))))</f>
        <v/>
      </c>
      <c r="AS97" s="24" t="str">
        <f>IF(A97="","",(IF(OR(AK97="Single",AK97="Married Filing Separately"),'CONSTANTS &amp; REFERENCES'!$C$7,IF(AK97="Married Filing Jointly",'CONSTANTS &amp; REFERENCES'!$H$7,IF(AK97="Head of Household",'CONSTANTS &amp; REFERENCES'!$M$7,""))))*AL97)</f>
        <v/>
      </c>
      <c r="AT97" s="21" t="str">
        <f>IF(AS97="","",IF(A97=0,IF(OR(AK97="Single",AK97="Married Filing Separately"),'CONSTANTS &amp; REFERENCES'!$C$7,IF(AK97="Married Filing Jointly",'CONSTANTS &amp; REFERENCES'!$H$7,IF(AK97="Head of Household",'CONSTANTS &amp; REFERENCES'!$M$7,""))),_xlfn.FLOOR.MATH(AS97,IF(AK97="Married Filing Separately",Bracket_Round_MFS,Bracket_Round_Standard))))</f>
        <v/>
      </c>
      <c r="AU97" s="24" t="str">
        <f>IF(A97="","",(IF(OR(AK97="Single",AK97="Married Filing Separately"),'CONSTANTS &amp; REFERENCES'!$C$8,IF(AK97="Married Filing Jointly",'CONSTANTS &amp; REFERENCES'!$H$8,IF(AK97="Head of Household",'CONSTANTS &amp; REFERENCES'!$M$8,""))))*AL97)</f>
        <v/>
      </c>
      <c r="AV97" s="21" t="str">
        <f>IF(AU97="","",IF(A97=0,IF(OR(AK97="Single",AK97="Married Filing Separately"),'CONSTANTS &amp; REFERENCES'!$C$8,IF(AK97="Married Filing Jointly",'CONSTANTS &amp; REFERENCES'!$H$8,IF(AK97="Head of Household",'CONSTANTS &amp; REFERENCES'!$M$8,""))),_xlfn.FLOOR.MATH(AU97,IF(AK97="Married Filing Separately",Bracket_Round_MFS,Bracket_Round_Standard))))</f>
        <v/>
      </c>
      <c r="AW97" s="24" t="str">
        <f>IF(A97="","",(IF(OR(AK97="Single",AK97="Married Filing Separately"),'CONSTANTS &amp; REFERENCES'!$C$9,IF(AK97="Married Filing Jointly",'CONSTANTS &amp; REFERENCES'!$H$9,IF(AK97="Head of Household",'CONSTANTS &amp; REFERENCES'!$M$9,""))))*AL97)</f>
        <v/>
      </c>
      <c r="AX97" s="21" t="str">
        <f>IF(AW97="","",IF(A97=0,IF(OR(AK97="Single",AK97="Married Filing Separately"),'CONSTANTS &amp; REFERENCES'!$C$9,IF(AK97="Married Filing Jointly",'CONSTANTS &amp; REFERENCES'!$H$9,IF(AK97="Head of Household",'CONSTANTS &amp; REFERENCES'!$M$9,""))),_xlfn.FLOOR.MATH(AW97,IF(AK97="Married Filing Separately",Bracket_Round_MFS,Bracket_Round_Standard))))</f>
        <v/>
      </c>
      <c r="AY97" s="24" t="str">
        <f>IF(A97="","",(IF(OR(AK97="Single",AK97="Married Filing Separately"),'CONSTANTS &amp; REFERENCES'!$C$10,IF(AK97="Married Filing Jointly",'CONSTANTS &amp; REFERENCES'!$H$10,IF(AK97="Head of Household",'CONSTANTS &amp; REFERENCES'!$M$10,""))))*AL97)</f>
        <v/>
      </c>
      <c r="AZ97" s="21" t="str">
        <f>IF(AY97="","",IF(A97=0,IF(OR(AK97="Single",AK97="Married Filing Separately"),'CONSTANTS &amp; REFERENCES'!$C$10,IF(AK97="Married Filing Jointly",'CONSTANTS &amp; REFERENCES'!$H$10,IF(AK97="Head of Household",'CONSTANTS &amp; REFERENCES'!$M$10,""))),_xlfn.FLOOR.MATH(AY97,IF(AK97="Married Filing Separately",Bracket_Round_MFS,Bracket_Round_Standard))))</f>
        <v/>
      </c>
      <c r="BA97" s="7" t="str">
        <f t="shared" si="43"/>
        <v/>
      </c>
      <c r="BB97" s="7" t="str">
        <f>IF(A97="","",'CONSTANTS &amp; REFERENCES'!$C$22*AL97)</f>
        <v/>
      </c>
      <c r="BC97" s="21" t="str">
        <f t="shared" si="54"/>
        <v/>
      </c>
    </row>
    <row r="98" spans="1:55" ht="18" customHeight="1" x14ac:dyDescent="0.3">
      <c r="A98" s="10" t="str">
        <f>IF(A97&lt;INPUTS!$C$7-INPUTS!$C$6,A97+1,"")</f>
        <v/>
      </c>
      <c r="B98" s="10" t="str">
        <f>IF(A98="","",INPUTS!$C$6+A98)</f>
        <v/>
      </c>
      <c r="C98" s="11" t="str">
        <f t="shared" si="44"/>
        <v/>
      </c>
      <c r="D98" s="11" t="str">
        <f>IF(A98="","",IF(A98&lt;INPUTS!$C$13,0,J98))</f>
        <v/>
      </c>
      <c r="E98" s="12" t="str">
        <f>IF(A98="","",IF(D98=0,"—",IF(Y98&lt;IF(AK98="Married Filing Jointly",'CONSTANTS &amp; REFERENCES'!$B$44,IF(AK98="Married Filing Separately",'CONSTANTS &amp; REFERENCES'!$B$45,'CONSTANTS &amp; REFERENCES'!$B$43)),"Direct","Backdoor")))</f>
        <v/>
      </c>
      <c r="F98" s="13" t="str">
        <f t="shared" si="35"/>
        <v/>
      </c>
      <c r="G98" s="14" t="str">
        <f t="shared" ref="G98:G102" si="55">IF(F98="","",_xlfn.FLOOR.MATH(F98,500))</f>
        <v/>
      </c>
      <c r="H98" s="13" t="str">
        <f t="shared" si="37"/>
        <v/>
      </c>
      <c r="I98" s="14" t="str">
        <f t="shared" ref="I98:I102" si="56">IF(H98="","",_xlfn.FLOOR.MATH(H98,100))</f>
        <v/>
      </c>
      <c r="J98" s="14" t="str">
        <f t="shared" ref="J98:J102" si="57">IF(A98="","",G98+IF(B98&gt;=50,I98,0))</f>
        <v/>
      </c>
      <c r="K98" s="11" t="str">
        <f>IF(A98="","",IF(INPUTS!$C$12="Beginning",(C98+D98)*INPUTS!$C$10,C98*INPUTS!$C$10))</f>
        <v/>
      </c>
      <c r="L98" s="11" t="str">
        <f>IF(A98="","",IF(INPUTS!$C$12="Beginning",(C98+D98)*(1+INPUTS!$C$10),C98*(1+INPUTS!$C$10)+D98))</f>
        <v/>
      </c>
      <c r="M98" s="15" t="str">
        <f>IF(A98="","",(1+INPUTS!$C$11)^A98)</f>
        <v/>
      </c>
      <c r="N98" s="11" t="str">
        <f t="shared" si="45"/>
        <v/>
      </c>
      <c r="O98" s="11" t="str">
        <f t="shared" si="46"/>
        <v/>
      </c>
      <c r="P98" s="11" t="str">
        <f>IF(A98="","",L98-INPUTS!$C$8-O98)</f>
        <v/>
      </c>
      <c r="Q98" s="16"/>
      <c r="R98" s="16"/>
      <c r="S98" s="16" t="str">
        <f t="shared" si="47"/>
        <v/>
      </c>
      <c r="T98" s="18" t="str">
        <f t="shared" si="48"/>
        <v/>
      </c>
      <c r="U98" s="18" t="str">
        <f t="shared" si="49"/>
        <v/>
      </c>
      <c r="V98" s="19" t="str">
        <f>IF(A98="","",FV(INPUTS!$C$10,INPUTS!$C$7-INPUTS!$C$6-A98+IF(INPUTS!$C$12="Beginning",1,0),0,-D98,0))</f>
        <v/>
      </c>
      <c r="W98" s="7"/>
      <c r="X98" s="7"/>
      <c r="Y98" s="21" t="str">
        <f>IF(A98="","",IF(INPUTS!$C$17="Yes",MIN(Y97*(1+INPUTS!$C$15)+IF(INPUTS!$C$27="Yes",(Z98-Z97)*INPUTS!$C$31+IF(AND(INPUTS!$C$28="Not yet credentialed",A98=INPUTS!$C$33),INPUTS!$C$32,0)+IF(AND(INPUTS!$C$28&lt;&gt;"FSA / FCAS",A98=INPUTS!$C$35),INPUTS!$C$34,0),0),INPUTS!$C$18),Y97*(1+INPUTS!$C$15)+IF(INPUTS!$C$27="Yes",(Z98-Z97)*INPUTS!$C$31+IF(AND(INPUTS!$C$28="Not yet credentialed",A98=INPUTS!$C$33),INPUTS!$C$32,0)+IF(AND(INPUTS!$C$28&lt;&gt;"FSA / FCAS",A98=INPUTS!$C$35),INPUTS!$C$34,0),0)))</f>
        <v/>
      </c>
      <c r="Z98" s="22" t="str">
        <f>IF(A98="","",IF(AND(INPUTS!$C$27="Yes",INPUTS!$C$28&lt;&gt;"FSA / FCAS",ISNUMBER(INPUTS!$C$37)),MIN(A98*INPUTS!$C$37,INPUTS!$C$30),0))</f>
        <v/>
      </c>
      <c r="AA98" s="21" t="str">
        <f t="shared" si="40"/>
        <v/>
      </c>
      <c r="AB98" s="21" t="str">
        <f t="shared" ref="AB98:AB102" si="58">IF(OR(A98="",AA98=""),"",MAX(0,Y98-AA98))</f>
        <v/>
      </c>
      <c r="AC98" s="21" t="str">
        <f>IF(A98="","",MIN(AB98,AP98)*'CONSTANTS &amp; REFERENCES'!$A$5+MAX(MIN(AB98,AR98)-AP98,0)*'CONSTANTS &amp; REFERENCES'!$A$6+MAX(MIN(AB98,AT98)-AR98,0)*'CONSTANTS &amp; REFERENCES'!$A$7+MAX(MIN(AB98,AV98)-AT98,0)*'CONSTANTS &amp; REFERENCES'!$A$8+MAX(MIN(AB98,AX98)-AV98,0)*'CONSTANTS &amp; REFERENCES'!$A$9+MAX(MIN(AB98,AZ98)-AX98,0)*'CONSTANTS &amp; REFERENCES'!$A$10+MAX(AB98-AZ98,0)*'CONSTANTS &amp; REFERENCES'!$A$11)</f>
        <v/>
      </c>
      <c r="AD98" s="21" t="str">
        <f>IF(AB98="","",IF(INPUTS!$C$20="Yes",AB98*INPUTS!$C$21,0))</f>
        <v/>
      </c>
      <c r="AE98" s="21" t="str">
        <f>IF(Y98="","",MIN(Y98,BC98)*'CONSTANTS &amp; REFERENCES'!$B$22)</f>
        <v/>
      </c>
      <c r="AF98" s="21" t="str">
        <f>IF(Y98="","",Y98*'CONSTANTS &amp; REFERENCES'!$B$24+MAX(0,Y98-IF(AK98="Married Filing Jointly",'CONSTANTS &amp; REFERENCES'!$C$26,IF(AK98="Married Filing Separately",'CONSTANTS &amp; REFERENCES'!$C$27,IF(AK98="Head of Household",'CONSTANTS &amp; REFERENCES'!$C$28,'CONSTANTS &amp; REFERENCES'!$C$25))))*'CONSTANTS &amp; REFERENCES'!$B$25)</f>
        <v/>
      </c>
      <c r="AG98" s="21" t="str">
        <f t="shared" si="50"/>
        <v/>
      </c>
      <c r="AH98" s="21" t="str">
        <f t="shared" si="51"/>
        <v/>
      </c>
      <c r="AI98" s="21" t="str">
        <f t="shared" si="52"/>
        <v/>
      </c>
      <c r="AJ98" s="21" t="str">
        <f t="shared" si="53"/>
        <v/>
      </c>
      <c r="AK98" s="7" t="str">
        <f>IF(A98="","",IF(AND(INPUTS!$C$43="Yes",A98&gt;=INPUTS!$C$45),INPUTS!$C$44,INPUTS!$C$19))</f>
        <v/>
      </c>
      <c r="AL98" s="23" t="str">
        <f t="shared" si="42"/>
        <v/>
      </c>
      <c r="AM98" s="24" t="str">
        <f>IF(A98="","",(IF(OR(AK98="Single",AK98="Married Filing Separately"),'CONSTANTS &amp; REFERENCES'!$B$13,IF(AK98="Married Filing Jointly",'CONSTANTS &amp; REFERENCES'!$G$13,IF(AK98="Head of Household",'CONSTANTS &amp; REFERENCES'!$L$13,""))))*AL98)</f>
        <v/>
      </c>
      <c r="AN98" s="21" t="str">
        <f>IF(AM98="","",IF(A98=0,IF(OR(AK98="Single",AK98="Married Filing Separately"),'CONSTANTS &amp; REFERENCES'!$B$13,IF(AK98="Married Filing Jointly",'CONSTANTS &amp; REFERENCES'!$G$13,IF(AK98="Head of Household",'CONSTANTS &amp; REFERENCES'!$L$13,""))),_xlfn.FLOOR.MATH(AM98,IF(AK98="Married Filing Separately",Bracket_Round_MFS,Bracket_Round_Standard))))</f>
        <v/>
      </c>
      <c r="AO98" s="24" t="str">
        <f>IF(A98="","",(IF(OR(AK98="Single",AK98="Married Filing Separately"),'CONSTANTS &amp; REFERENCES'!$C$5,IF(AK98="Married Filing Jointly",'CONSTANTS &amp; REFERENCES'!$H$5,IF(AK98="Head of Household",'CONSTANTS &amp; REFERENCES'!$M$5,""))))*AL98)</f>
        <v/>
      </c>
      <c r="AP98" s="21" t="str">
        <f>IF(AO98="","",IF(A98=0,IF(OR(AK98="Single",AK98="Married Filing Separately"),'CONSTANTS &amp; REFERENCES'!$C$5,IF(AK98="Married Filing Jointly",'CONSTANTS &amp; REFERENCES'!$H$5,IF(AK98="Head of Household",'CONSTANTS &amp; REFERENCES'!$M$5,""))),_xlfn.FLOOR.MATH(AO98,IF(AK98="Married Filing Separately",Bracket_Round_MFS,Bracket_Round_Standard))))</f>
        <v/>
      </c>
      <c r="AQ98" s="24" t="str">
        <f>IF(A98="","",(IF(OR(AK98="Single",AK98="Married Filing Separately"),'CONSTANTS &amp; REFERENCES'!$C$6,IF(AK98="Married Filing Jointly",'CONSTANTS &amp; REFERENCES'!$H$6,IF(AK98="Head of Household",'CONSTANTS &amp; REFERENCES'!$M$6,""))))*AL98)</f>
        <v/>
      </c>
      <c r="AR98" s="21" t="str">
        <f>IF(AQ98="","",IF(A98=0,IF(OR(AK98="Single",AK98="Married Filing Separately"),'CONSTANTS &amp; REFERENCES'!$C$6,IF(AK98="Married Filing Jointly",'CONSTANTS &amp; REFERENCES'!$H$6,IF(AK98="Head of Household",'CONSTANTS &amp; REFERENCES'!$M$6,""))),_xlfn.FLOOR.MATH(AQ98,IF(AK98="Married Filing Separately",Bracket_Round_MFS,Bracket_Round_Standard))))</f>
        <v/>
      </c>
      <c r="AS98" s="24" t="str">
        <f>IF(A98="","",(IF(OR(AK98="Single",AK98="Married Filing Separately"),'CONSTANTS &amp; REFERENCES'!$C$7,IF(AK98="Married Filing Jointly",'CONSTANTS &amp; REFERENCES'!$H$7,IF(AK98="Head of Household",'CONSTANTS &amp; REFERENCES'!$M$7,""))))*AL98)</f>
        <v/>
      </c>
      <c r="AT98" s="21" t="str">
        <f>IF(AS98="","",IF(A98=0,IF(OR(AK98="Single",AK98="Married Filing Separately"),'CONSTANTS &amp; REFERENCES'!$C$7,IF(AK98="Married Filing Jointly",'CONSTANTS &amp; REFERENCES'!$H$7,IF(AK98="Head of Household",'CONSTANTS &amp; REFERENCES'!$M$7,""))),_xlfn.FLOOR.MATH(AS98,IF(AK98="Married Filing Separately",Bracket_Round_MFS,Bracket_Round_Standard))))</f>
        <v/>
      </c>
      <c r="AU98" s="24" t="str">
        <f>IF(A98="","",(IF(OR(AK98="Single",AK98="Married Filing Separately"),'CONSTANTS &amp; REFERENCES'!$C$8,IF(AK98="Married Filing Jointly",'CONSTANTS &amp; REFERENCES'!$H$8,IF(AK98="Head of Household",'CONSTANTS &amp; REFERENCES'!$M$8,""))))*AL98)</f>
        <v/>
      </c>
      <c r="AV98" s="21" t="str">
        <f>IF(AU98="","",IF(A98=0,IF(OR(AK98="Single",AK98="Married Filing Separately"),'CONSTANTS &amp; REFERENCES'!$C$8,IF(AK98="Married Filing Jointly",'CONSTANTS &amp; REFERENCES'!$H$8,IF(AK98="Head of Household",'CONSTANTS &amp; REFERENCES'!$M$8,""))),_xlfn.FLOOR.MATH(AU98,IF(AK98="Married Filing Separately",Bracket_Round_MFS,Bracket_Round_Standard))))</f>
        <v/>
      </c>
      <c r="AW98" s="24" t="str">
        <f>IF(A98="","",(IF(OR(AK98="Single",AK98="Married Filing Separately"),'CONSTANTS &amp; REFERENCES'!$C$9,IF(AK98="Married Filing Jointly",'CONSTANTS &amp; REFERENCES'!$H$9,IF(AK98="Head of Household",'CONSTANTS &amp; REFERENCES'!$M$9,""))))*AL98)</f>
        <v/>
      </c>
      <c r="AX98" s="21" t="str">
        <f>IF(AW98="","",IF(A98=0,IF(OR(AK98="Single",AK98="Married Filing Separately"),'CONSTANTS &amp; REFERENCES'!$C$9,IF(AK98="Married Filing Jointly",'CONSTANTS &amp; REFERENCES'!$H$9,IF(AK98="Head of Household",'CONSTANTS &amp; REFERENCES'!$M$9,""))),_xlfn.FLOOR.MATH(AW98,IF(AK98="Married Filing Separately",Bracket_Round_MFS,Bracket_Round_Standard))))</f>
        <v/>
      </c>
      <c r="AY98" s="24" t="str">
        <f>IF(A98="","",(IF(OR(AK98="Single",AK98="Married Filing Separately"),'CONSTANTS &amp; REFERENCES'!$C$10,IF(AK98="Married Filing Jointly",'CONSTANTS &amp; REFERENCES'!$H$10,IF(AK98="Head of Household",'CONSTANTS &amp; REFERENCES'!$M$10,""))))*AL98)</f>
        <v/>
      </c>
      <c r="AZ98" s="21" t="str">
        <f>IF(AY98="","",IF(A98=0,IF(OR(AK98="Single",AK98="Married Filing Separately"),'CONSTANTS &amp; REFERENCES'!$C$10,IF(AK98="Married Filing Jointly",'CONSTANTS &amp; REFERENCES'!$H$10,IF(AK98="Head of Household",'CONSTANTS &amp; REFERENCES'!$M$10,""))),_xlfn.FLOOR.MATH(AY98,IF(AK98="Married Filing Separately",Bracket_Round_MFS,Bracket_Round_Standard))))</f>
        <v/>
      </c>
      <c r="BA98" s="7" t="str">
        <f t="shared" si="43"/>
        <v/>
      </c>
      <c r="BB98" s="7" t="str">
        <f>IF(A98="","",'CONSTANTS &amp; REFERENCES'!$C$22*AL98)</f>
        <v/>
      </c>
      <c r="BC98" s="21" t="str">
        <f t="shared" si="54"/>
        <v/>
      </c>
    </row>
    <row r="99" spans="1:55" ht="18" customHeight="1" x14ac:dyDescent="0.3">
      <c r="A99" s="10" t="str">
        <f>IF(A98&lt;INPUTS!$C$7-INPUTS!$C$6,A98+1,"")</f>
        <v/>
      </c>
      <c r="B99" s="10" t="str">
        <f>IF(A99="","",INPUTS!$C$6+A99)</f>
        <v/>
      </c>
      <c r="C99" s="11" t="str">
        <f t="shared" si="44"/>
        <v/>
      </c>
      <c r="D99" s="11" t="str">
        <f>IF(A99="","",IF(A99&lt;INPUTS!$C$13,0,J99))</f>
        <v/>
      </c>
      <c r="E99" s="12" t="str">
        <f>IF(A99="","",IF(D99=0,"—",IF(Y99&lt;IF(AK99="Married Filing Jointly",'CONSTANTS &amp; REFERENCES'!$B$44,IF(AK99="Married Filing Separately",'CONSTANTS &amp; REFERENCES'!$B$45,'CONSTANTS &amp; REFERENCES'!$B$43)),"Direct","Backdoor")))</f>
        <v/>
      </c>
      <c r="F99" s="13" t="str">
        <f t="shared" si="35"/>
        <v/>
      </c>
      <c r="G99" s="14" t="str">
        <f t="shared" si="55"/>
        <v/>
      </c>
      <c r="H99" s="13" t="str">
        <f t="shared" si="37"/>
        <v/>
      </c>
      <c r="I99" s="14" t="str">
        <f t="shared" si="56"/>
        <v/>
      </c>
      <c r="J99" s="14" t="str">
        <f t="shared" si="57"/>
        <v/>
      </c>
      <c r="K99" s="11" t="str">
        <f>IF(A99="","",IF(INPUTS!$C$12="Beginning",(C99+D99)*INPUTS!$C$10,C99*INPUTS!$C$10))</f>
        <v/>
      </c>
      <c r="L99" s="11" t="str">
        <f>IF(A99="","",IF(INPUTS!$C$12="Beginning",(C99+D99)*(1+INPUTS!$C$10),C99*(1+INPUTS!$C$10)+D99))</f>
        <v/>
      </c>
      <c r="M99" s="15" t="str">
        <f>IF(A99="","",(1+INPUTS!$C$11)^A99)</f>
        <v/>
      </c>
      <c r="N99" s="11" t="str">
        <f t="shared" ref="N99:N102" si="59">IF(A99="","",L99/M99)</f>
        <v/>
      </c>
      <c r="O99" s="11" t="str">
        <f t="shared" si="46"/>
        <v/>
      </c>
      <c r="P99" s="11" t="str">
        <f>IF(A99="","",L99-INPUTS!$C$8-O99)</f>
        <v/>
      </c>
      <c r="Q99" s="16"/>
      <c r="R99" s="16"/>
      <c r="S99" s="16" t="str">
        <f t="shared" si="47"/>
        <v/>
      </c>
      <c r="T99" s="18" t="str">
        <f t="shared" si="48"/>
        <v/>
      </c>
      <c r="U99" s="18" t="str">
        <f t="shared" si="49"/>
        <v/>
      </c>
      <c r="V99" s="19" t="str">
        <f>IF(A99="","",FV(INPUTS!$C$10,INPUTS!$C$7-INPUTS!$C$6-A99+IF(INPUTS!$C$12="Beginning",1,0),0,-D99,0))</f>
        <v/>
      </c>
      <c r="W99" s="7"/>
      <c r="X99" s="7"/>
      <c r="Y99" s="21" t="str">
        <f>IF(A99="","",IF(INPUTS!$C$17="Yes",MIN(Y98*(1+INPUTS!$C$15)+IF(INPUTS!$C$27="Yes",(Z99-Z98)*INPUTS!$C$31+IF(AND(INPUTS!$C$28="Not yet credentialed",A99=INPUTS!$C$33),INPUTS!$C$32,0)+IF(AND(INPUTS!$C$28&lt;&gt;"FSA / FCAS",A99=INPUTS!$C$35),INPUTS!$C$34,0),0),INPUTS!$C$18),Y98*(1+INPUTS!$C$15)+IF(INPUTS!$C$27="Yes",(Z99-Z98)*INPUTS!$C$31+IF(AND(INPUTS!$C$28="Not yet credentialed",A99=INPUTS!$C$33),INPUTS!$C$32,0)+IF(AND(INPUTS!$C$28&lt;&gt;"FSA / FCAS",A99=INPUTS!$C$35),INPUTS!$C$34,0),0)))</f>
        <v/>
      </c>
      <c r="Z99" s="22" t="str">
        <f>IF(A99="","",IF(AND(INPUTS!$C$27="Yes",INPUTS!$C$28&lt;&gt;"FSA / FCAS",ISNUMBER(INPUTS!$C$37)),MIN(A99*INPUTS!$C$37,INPUTS!$C$30),0))</f>
        <v/>
      </c>
      <c r="AA99" s="21" t="str">
        <f t="shared" si="40"/>
        <v/>
      </c>
      <c r="AB99" s="21" t="str">
        <f t="shared" si="58"/>
        <v/>
      </c>
      <c r="AC99" s="21" t="str">
        <f>IF(A99="","",MIN(AB99,AP99)*'CONSTANTS &amp; REFERENCES'!$A$5+MAX(MIN(AB99,AR99)-AP99,0)*'CONSTANTS &amp; REFERENCES'!$A$6+MAX(MIN(AB99,AT99)-AR99,0)*'CONSTANTS &amp; REFERENCES'!$A$7+MAX(MIN(AB99,AV99)-AT99,0)*'CONSTANTS &amp; REFERENCES'!$A$8+MAX(MIN(AB99,AX99)-AV99,0)*'CONSTANTS &amp; REFERENCES'!$A$9+MAX(MIN(AB99,AZ99)-AX99,0)*'CONSTANTS &amp; REFERENCES'!$A$10+MAX(AB99-AZ99,0)*'CONSTANTS &amp; REFERENCES'!$A$11)</f>
        <v/>
      </c>
      <c r="AD99" s="21" t="str">
        <f>IF(AB99="","",IF(INPUTS!$C$20="Yes",AB99*INPUTS!$C$21,0))</f>
        <v/>
      </c>
      <c r="AE99" s="21" t="str">
        <f>IF(Y99="","",MIN(Y99,BC99)*'CONSTANTS &amp; REFERENCES'!$B$22)</f>
        <v/>
      </c>
      <c r="AF99" s="21" t="str">
        <f>IF(Y99="","",Y99*'CONSTANTS &amp; REFERENCES'!$B$24+MAX(0,Y99-IF(AK99="Married Filing Jointly",'CONSTANTS &amp; REFERENCES'!$C$26,IF(AK99="Married Filing Separately",'CONSTANTS &amp; REFERENCES'!$C$27,IF(AK99="Head of Household",'CONSTANTS &amp; REFERENCES'!$C$28,'CONSTANTS &amp; REFERENCES'!$C$25))))*'CONSTANTS &amp; REFERENCES'!$B$25)</f>
        <v/>
      </c>
      <c r="AG99" s="21" t="str">
        <f t="shared" si="50"/>
        <v/>
      </c>
      <c r="AH99" s="21" t="str">
        <f t="shared" si="51"/>
        <v/>
      </c>
      <c r="AI99" s="21" t="str">
        <f t="shared" si="52"/>
        <v/>
      </c>
      <c r="AJ99" s="21" t="str">
        <f t="shared" si="53"/>
        <v/>
      </c>
      <c r="AK99" s="7" t="str">
        <f>IF(A99="","",IF(AND(INPUTS!$C$43="Yes",A99&gt;=INPUTS!$C$45),INPUTS!$C$44,INPUTS!$C$19))</f>
        <v/>
      </c>
      <c r="AL99" s="23" t="str">
        <f t="shared" si="42"/>
        <v/>
      </c>
      <c r="AM99" s="24" t="str">
        <f>IF(A99="","",(IF(OR(AK99="Single",AK99="Married Filing Separately"),'CONSTANTS &amp; REFERENCES'!$B$13,IF(AK99="Married Filing Jointly",'CONSTANTS &amp; REFERENCES'!$G$13,IF(AK99="Head of Household",'CONSTANTS &amp; REFERENCES'!$L$13,""))))*AL99)</f>
        <v/>
      </c>
      <c r="AN99" s="21" t="str">
        <f>IF(AM99="","",IF(A99=0,IF(OR(AK99="Single",AK99="Married Filing Separately"),'CONSTANTS &amp; REFERENCES'!$B$13,IF(AK99="Married Filing Jointly",'CONSTANTS &amp; REFERENCES'!$G$13,IF(AK99="Head of Household",'CONSTANTS &amp; REFERENCES'!$L$13,""))),_xlfn.FLOOR.MATH(AM99,IF(AK99="Married Filing Separately",Bracket_Round_MFS,Bracket_Round_Standard))))</f>
        <v/>
      </c>
      <c r="AO99" s="24" t="str">
        <f>IF(A99="","",(IF(OR(AK99="Single",AK99="Married Filing Separately"),'CONSTANTS &amp; REFERENCES'!$C$5,IF(AK99="Married Filing Jointly",'CONSTANTS &amp; REFERENCES'!$H$5,IF(AK99="Head of Household",'CONSTANTS &amp; REFERENCES'!$M$5,""))))*AL99)</f>
        <v/>
      </c>
      <c r="AP99" s="21" t="str">
        <f>IF(AO99="","",IF(A99=0,IF(OR(AK99="Single",AK99="Married Filing Separately"),'CONSTANTS &amp; REFERENCES'!$C$5,IF(AK99="Married Filing Jointly",'CONSTANTS &amp; REFERENCES'!$H$5,IF(AK99="Head of Household",'CONSTANTS &amp; REFERENCES'!$M$5,""))),_xlfn.FLOOR.MATH(AO99,IF(AK99="Married Filing Separately",Bracket_Round_MFS,Bracket_Round_Standard))))</f>
        <v/>
      </c>
      <c r="AQ99" s="24" t="str">
        <f>IF(A99="","",(IF(OR(AK99="Single",AK99="Married Filing Separately"),'CONSTANTS &amp; REFERENCES'!$C$6,IF(AK99="Married Filing Jointly",'CONSTANTS &amp; REFERENCES'!$H$6,IF(AK99="Head of Household",'CONSTANTS &amp; REFERENCES'!$M$6,""))))*AL99)</f>
        <v/>
      </c>
      <c r="AR99" s="21" t="str">
        <f>IF(AQ99="","",IF(A99=0,IF(OR(AK99="Single",AK99="Married Filing Separately"),'CONSTANTS &amp; REFERENCES'!$C$6,IF(AK99="Married Filing Jointly",'CONSTANTS &amp; REFERENCES'!$H$6,IF(AK99="Head of Household",'CONSTANTS &amp; REFERENCES'!$M$6,""))),_xlfn.FLOOR.MATH(AQ99,IF(AK99="Married Filing Separately",Bracket_Round_MFS,Bracket_Round_Standard))))</f>
        <v/>
      </c>
      <c r="AS99" s="24" t="str">
        <f>IF(A99="","",(IF(OR(AK99="Single",AK99="Married Filing Separately"),'CONSTANTS &amp; REFERENCES'!$C$7,IF(AK99="Married Filing Jointly",'CONSTANTS &amp; REFERENCES'!$H$7,IF(AK99="Head of Household",'CONSTANTS &amp; REFERENCES'!$M$7,""))))*AL99)</f>
        <v/>
      </c>
      <c r="AT99" s="21" t="str">
        <f>IF(AS99="","",IF(A99=0,IF(OR(AK99="Single",AK99="Married Filing Separately"),'CONSTANTS &amp; REFERENCES'!$C$7,IF(AK99="Married Filing Jointly",'CONSTANTS &amp; REFERENCES'!$H$7,IF(AK99="Head of Household",'CONSTANTS &amp; REFERENCES'!$M$7,""))),_xlfn.FLOOR.MATH(AS99,IF(AK99="Married Filing Separately",Bracket_Round_MFS,Bracket_Round_Standard))))</f>
        <v/>
      </c>
      <c r="AU99" s="24" t="str">
        <f>IF(A99="","",(IF(OR(AK99="Single",AK99="Married Filing Separately"),'CONSTANTS &amp; REFERENCES'!$C$8,IF(AK99="Married Filing Jointly",'CONSTANTS &amp; REFERENCES'!$H$8,IF(AK99="Head of Household",'CONSTANTS &amp; REFERENCES'!$M$8,""))))*AL99)</f>
        <v/>
      </c>
      <c r="AV99" s="21" t="str">
        <f>IF(AU99="","",IF(A99=0,IF(OR(AK99="Single",AK99="Married Filing Separately"),'CONSTANTS &amp; REFERENCES'!$C$8,IF(AK99="Married Filing Jointly",'CONSTANTS &amp; REFERENCES'!$H$8,IF(AK99="Head of Household",'CONSTANTS &amp; REFERENCES'!$M$8,""))),_xlfn.FLOOR.MATH(AU99,IF(AK99="Married Filing Separately",Bracket_Round_MFS,Bracket_Round_Standard))))</f>
        <v/>
      </c>
      <c r="AW99" s="24" t="str">
        <f>IF(A99="","",(IF(OR(AK99="Single",AK99="Married Filing Separately"),'CONSTANTS &amp; REFERENCES'!$C$9,IF(AK99="Married Filing Jointly",'CONSTANTS &amp; REFERENCES'!$H$9,IF(AK99="Head of Household",'CONSTANTS &amp; REFERENCES'!$M$9,""))))*AL99)</f>
        <v/>
      </c>
      <c r="AX99" s="21" t="str">
        <f>IF(AW99="","",IF(A99=0,IF(OR(AK99="Single",AK99="Married Filing Separately"),'CONSTANTS &amp; REFERENCES'!$C$9,IF(AK99="Married Filing Jointly",'CONSTANTS &amp; REFERENCES'!$H$9,IF(AK99="Head of Household",'CONSTANTS &amp; REFERENCES'!$M$9,""))),_xlfn.FLOOR.MATH(AW99,IF(AK99="Married Filing Separately",Bracket_Round_MFS,Bracket_Round_Standard))))</f>
        <v/>
      </c>
      <c r="AY99" s="24" t="str">
        <f>IF(A99="","",(IF(OR(AK99="Single",AK99="Married Filing Separately"),'CONSTANTS &amp; REFERENCES'!$C$10,IF(AK99="Married Filing Jointly",'CONSTANTS &amp; REFERENCES'!$H$10,IF(AK99="Head of Household",'CONSTANTS &amp; REFERENCES'!$M$10,""))))*AL99)</f>
        <v/>
      </c>
      <c r="AZ99" s="21" t="str">
        <f>IF(AY99="","",IF(A99=0,IF(OR(AK99="Single",AK99="Married Filing Separately"),'CONSTANTS &amp; REFERENCES'!$C$10,IF(AK99="Married Filing Jointly",'CONSTANTS &amp; REFERENCES'!$H$10,IF(AK99="Head of Household",'CONSTANTS &amp; REFERENCES'!$M$10,""))),_xlfn.FLOOR.MATH(AY99,IF(AK99="Married Filing Separately",Bracket_Round_MFS,Bracket_Round_Standard))))</f>
        <v/>
      </c>
      <c r="BA99" s="7" t="str">
        <f t="shared" si="43"/>
        <v/>
      </c>
      <c r="BB99" s="7" t="str">
        <f>IF(A99="","",'CONSTANTS &amp; REFERENCES'!$C$22*AL99)</f>
        <v/>
      </c>
      <c r="BC99" s="21" t="str">
        <f t="shared" si="54"/>
        <v/>
      </c>
    </row>
    <row r="100" spans="1:55" ht="18" customHeight="1" x14ac:dyDescent="0.3">
      <c r="A100" s="10" t="str">
        <f>IF(A99&lt;INPUTS!$C$7-INPUTS!$C$6,A99+1,"")</f>
        <v/>
      </c>
      <c r="B100" s="10" t="str">
        <f>IF(A100="","",INPUTS!$C$6+A100)</f>
        <v/>
      </c>
      <c r="C100" s="11" t="str">
        <f t="shared" si="44"/>
        <v/>
      </c>
      <c r="D100" s="11" t="str">
        <f>IF(A100="","",IF(A100&lt;INPUTS!$C$13,0,J100))</f>
        <v/>
      </c>
      <c r="E100" s="12" t="str">
        <f>IF(A100="","",IF(D100=0,"—",IF(Y100&lt;IF(AK100="Married Filing Jointly",'CONSTANTS &amp; REFERENCES'!$B$44,IF(AK100="Married Filing Separately",'CONSTANTS &amp; REFERENCES'!$B$45,'CONSTANTS &amp; REFERENCES'!$B$43)),"Direct","Backdoor")))</f>
        <v/>
      </c>
      <c r="F100" s="13" t="str">
        <f t="shared" si="35"/>
        <v/>
      </c>
      <c r="G100" s="14" t="str">
        <f t="shared" si="55"/>
        <v/>
      </c>
      <c r="H100" s="13" t="str">
        <f t="shared" si="37"/>
        <v/>
      </c>
      <c r="I100" s="14" t="str">
        <f t="shared" si="56"/>
        <v/>
      </c>
      <c r="J100" s="14" t="str">
        <f t="shared" si="57"/>
        <v/>
      </c>
      <c r="K100" s="11" t="str">
        <f>IF(A100="","",IF(INPUTS!$C$12="Beginning",(C100+D100)*INPUTS!$C$10,C100*INPUTS!$C$10))</f>
        <v/>
      </c>
      <c r="L100" s="11" t="str">
        <f>IF(A100="","",IF(INPUTS!$C$12="Beginning",(C100+D100)*(1+INPUTS!$C$10),C100*(1+INPUTS!$C$10)+D100))</f>
        <v/>
      </c>
      <c r="M100" s="15" t="str">
        <f>IF(A100="","",(1+INPUTS!$C$11)^A100)</f>
        <v/>
      </c>
      <c r="N100" s="11" t="str">
        <f t="shared" si="59"/>
        <v/>
      </c>
      <c r="O100" s="11" t="str">
        <f t="shared" si="46"/>
        <v/>
      </c>
      <c r="P100" s="11" t="str">
        <f>IF(A100="","",L100-INPUTS!$C$8-O100)</f>
        <v/>
      </c>
      <c r="Q100" s="16"/>
      <c r="R100" s="16"/>
      <c r="S100" s="16" t="str">
        <f t="shared" si="47"/>
        <v/>
      </c>
      <c r="T100" s="18" t="str">
        <f t="shared" si="48"/>
        <v/>
      </c>
      <c r="U100" s="18" t="str">
        <f t="shared" si="49"/>
        <v/>
      </c>
      <c r="V100" s="19" t="str">
        <f>IF(A100="","",FV(INPUTS!$C$10,INPUTS!$C$7-INPUTS!$C$6-A100+IF(INPUTS!$C$12="Beginning",1,0),0,-D100,0))</f>
        <v/>
      </c>
      <c r="W100" s="7"/>
      <c r="X100" s="7"/>
      <c r="Y100" s="21" t="str">
        <f>IF(A100="","",IF(INPUTS!$C$17="Yes",MIN(Y99*(1+INPUTS!$C$15)+IF(INPUTS!$C$27="Yes",(Z100-Z99)*INPUTS!$C$31+IF(AND(INPUTS!$C$28="Not yet credentialed",A100=INPUTS!$C$33),INPUTS!$C$32,0)+IF(AND(INPUTS!$C$28&lt;&gt;"FSA / FCAS",A100=INPUTS!$C$35),INPUTS!$C$34,0),0),INPUTS!$C$18),Y99*(1+INPUTS!$C$15)+IF(INPUTS!$C$27="Yes",(Z100-Z99)*INPUTS!$C$31+IF(AND(INPUTS!$C$28="Not yet credentialed",A100=INPUTS!$C$33),INPUTS!$C$32,0)+IF(AND(INPUTS!$C$28&lt;&gt;"FSA / FCAS",A100=INPUTS!$C$35),INPUTS!$C$34,0),0)))</f>
        <v/>
      </c>
      <c r="Z100" s="22" t="str">
        <f>IF(A100="","",IF(AND(INPUTS!$C$27="Yes",INPUTS!$C$28&lt;&gt;"FSA / FCAS",ISNUMBER(INPUTS!$C$37)),MIN(A100*INPUTS!$C$37,INPUTS!$C$30),0))</f>
        <v/>
      </c>
      <c r="AA100" s="21" t="str">
        <f t="shared" si="40"/>
        <v/>
      </c>
      <c r="AB100" s="21" t="str">
        <f t="shared" si="58"/>
        <v/>
      </c>
      <c r="AC100" s="21" t="str">
        <f>IF(A100="","",MIN(AB100,AP100)*'CONSTANTS &amp; REFERENCES'!$A$5+MAX(MIN(AB100,AR100)-AP100,0)*'CONSTANTS &amp; REFERENCES'!$A$6+MAX(MIN(AB100,AT100)-AR100,0)*'CONSTANTS &amp; REFERENCES'!$A$7+MAX(MIN(AB100,AV100)-AT100,0)*'CONSTANTS &amp; REFERENCES'!$A$8+MAX(MIN(AB100,AX100)-AV100,0)*'CONSTANTS &amp; REFERENCES'!$A$9+MAX(MIN(AB100,AZ100)-AX100,0)*'CONSTANTS &amp; REFERENCES'!$A$10+MAX(AB100-AZ100,0)*'CONSTANTS &amp; REFERENCES'!$A$11)</f>
        <v/>
      </c>
      <c r="AD100" s="21" t="str">
        <f>IF(AB100="","",IF(INPUTS!$C$20="Yes",AB100*INPUTS!$C$21,0))</f>
        <v/>
      </c>
      <c r="AE100" s="21" t="str">
        <f>IF(Y100="","",MIN(Y100,BC100)*'CONSTANTS &amp; REFERENCES'!$B$22)</f>
        <v/>
      </c>
      <c r="AF100" s="21" t="str">
        <f>IF(Y100="","",Y100*'CONSTANTS &amp; REFERENCES'!$B$24+MAX(0,Y100-IF(AK100="Married Filing Jointly",'CONSTANTS &amp; REFERENCES'!$C$26,IF(AK100="Married Filing Separately",'CONSTANTS &amp; REFERENCES'!$C$27,IF(AK100="Head of Household",'CONSTANTS &amp; REFERENCES'!$C$28,'CONSTANTS &amp; REFERENCES'!$C$25))))*'CONSTANTS &amp; REFERENCES'!$B$25)</f>
        <v/>
      </c>
      <c r="AG100" s="21" t="str">
        <f t="shared" si="50"/>
        <v/>
      </c>
      <c r="AH100" s="21" t="str">
        <f t="shared" si="51"/>
        <v/>
      </c>
      <c r="AI100" s="21" t="str">
        <f t="shared" si="52"/>
        <v/>
      </c>
      <c r="AJ100" s="21" t="str">
        <f t="shared" si="53"/>
        <v/>
      </c>
      <c r="AK100" s="7" t="str">
        <f>IF(A100="","",IF(AND(INPUTS!$C$43="Yes",A100&gt;=INPUTS!$C$45),INPUTS!$C$44,INPUTS!$C$19))</f>
        <v/>
      </c>
      <c r="AL100" s="23" t="str">
        <f t="shared" si="42"/>
        <v/>
      </c>
      <c r="AM100" s="24" t="str">
        <f>IF(A100="","",(IF(OR(AK100="Single",AK100="Married Filing Separately"),'CONSTANTS &amp; REFERENCES'!$B$13,IF(AK100="Married Filing Jointly",'CONSTANTS &amp; REFERENCES'!$G$13,IF(AK100="Head of Household",'CONSTANTS &amp; REFERENCES'!$L$13,""))))*AL100)</f>
        <v/>
      </c>
      <c r="AN100" s="21" t="str">
        <f>IF(AM100="","",IF(A100=0,IF(OR(AK100="Single",AK100="Married Filing Separately"),'CONSTANTS &amp; REFERENCES'!$B$13,IF(AK100="Married Filing Jointly",'CONSTANTS &amp; REFERENCES'!$G$13,IF(AK100="Head of Household",'CONSTANTS &amp; REFERENCES'!$L$13,""))),_xlfn.FLOOR.MATH(AM100,IF(AK100="Married Filing Separately",Bracket_Round_MFS,Bracket_Round_Standard))))</f>
        <v/>
      </c>
      <c r="AO100" s="24" t="str">
        <f>IF(A100="","",(IF(OR(AK100="Single",AK100="Married Filing Separately"),'CONSTANTS &amp; REFERENCES'!$C$5,IF(AK100="Married Filing Jointly",'CONSTANTS &amp; REFERENCES'!$H$5,IF(AK100="Head of Household",'CONSTANTS &amp; REFERENCES'!$M$5,""))))*AL100)</f>
        <v/>
      </c>
      <c r="AP100" s="21" t="str">
        <f>IF(AO100="","",IF(A100=0,IF(OR(AK100="Single",AK100="Married Filing Separately"),'CONSTANTS &amp; REFERENCES'!$C$5,IF(AK100="Married Filing Jointly",'CONSTANTS &amp; REFERENCES'!$H$5,IF(AK100="Head of Household",'CONSTANTS &amp; REFERENCES'!$M$5,""))),_xlfn.FLOOR.MATH(AO100,IF(AK100="Married Filing Separately",Bracket_Round_MFS,Bracket_Round_Standard))))</f>
        <v/>
      </c>
      <c r="AQ100" s="24" t="str">
        <f>IF(A100="","",(IF(OR(AK100="Single",AK100="Married Filing Separately"),'CONSTANTS &amp; REFERENCES'!$C$6,IF(AK100="Married Filing Jointly",'CONSTANTS &amp; REFERENCES'!$H$6,IF(AK100="Head of Household",'CONSTANTS &amp; REFERENCES'!$M$6,""))))*AL100)</f>
        <v/>
      </c>
      <c r="AR100" s="21" t="str">
        <f>IF(AQ100="","",IF(A100=0,IF(OR(AK100="Single",AK100="Married Filing Separately"),'CONSTANTS &amp; REFERENCES'!$C$6,IF(AK100="Married Filing Jointly",'CONSTANTS &amp; REFERENCES'!$H$6,IF(AK100="Head of Household",'CONSTANTS &amp; REFERENCES'!$M$6,""))),_xlfn.FLOOR.MATH(AQ100,IF(AK100="Married Filing Separately",Bracket_Round_MFS,Bracket_Round_Standard))))</f>
        <v/>
      </c>
      <c r="AS100" s="24" t="str">
        <f>IF(A100="","",(IF(OR(AK100="Single",AK100="Married Filing Separately"),'CONSTANTS &amp; REFERENCES'!$C$7,IF(AK100="Married Filing Jointly",'CONSTANTS &amp; REFERENCES'!$H$7,IF(AK100="Head of Household",'CONSTANTS &amp; REFERENCES'!$M$7,""))))*AL100)</f>
        <v/>
      </c>
      <c r="AT100" s="21" t="str">
        <f>IF(AS100="","",IF(A100=0,IF(OR(AK100="Single",AK100="Married Filing Separately"),'CONSTANTS &amp; REFERENCES'!$C$7,IF(AK100="Married Filing Jointly",'CONSTANTS &amp; REFERENCES'!$H$7,IF(AK100="Head of Household",'CONSTANTS &amp; REFERENCES'!$M$7,""))),_xlfn.FLOOR.MATH(AS100,IF(AK100="Married Filing Separately",Bracket_Round_MFS,Bracket_Round_Standard))))</f>
        <v/>
      </c>
      <c r="AU100" s="24" t="str">
        <f>IF(A100="","",(IF(OR(AK100="Single",AK100="Married Filing Separately"),'CONSTANTS &amp; REFERENCES'!$C$8,IF(AK100="Married Filing Jointly",'CONSTANTS &amp; REFERENCES'!$H$8,IF(AK100="Head of Household",'CONSTANTS &amp; REFERENCES'!$M$8,""))))*AL100)</f>
        <v/>
      </c>
      <c r="AV100" s="21" t="str">
        <f>IF(AU100="","",IF(A100=0,IF(OR(AK100="Single",AK100="Married Filing Separately"),'CONSTANTS &amp; REFERENCES'!$C$8,IF(AK100="Married Filing Jointly",'CONSTANTS &amp; REFERENCES'!$H$8,IF(AK100="Head of Household",'CONSTANTS &amp; REFERENCES'!$M$8,""))),_xlfn.FLOOR.MATH(AU100,IF(AK100="Married Filing Separately",Bracket_Round_MFS,Bracket_Round_Standard))))</f>
        <v/>
      </c>
      <c r="AW100" s="24" t="str">
        <f>IF(A100="","",(IF(OR(AK100="Single",AK100="Married Filing Separately"),'CONSTANTS &amp; REFERENCES'!$C$9,IF(AK100="Married Filing Jointly",'CONSTANTS &amp; REFERENCES'!$H$9,IF(AK100="Head of Household",'CONSTANTS &amp; REFERENCES'!$M$9,""))))*AL100)</f>
        <v/>
      </c>
      <c r="AX100" s="21" t="str">
        <f>IF(AW100="","",IF(A100=0,IF(OR(AK100="Single",AK100="Married Filing Separately"),'CONSTANTS &amp; REFERENCES'!$C$9,IF(AK100="Married Filing Jointly",'CONSTANTS &amp; REFERENCES'!$H$9,IF(AK100="Head of Household",'CONSTANTS &amp; REFERENCES'!$M$9,""))),_xlfn.FLOOR.MATH(AW100,IF(AK100="Married Filing Separately",Bracket_Round_MFS,Bracket_Round_Standard))))</f>
        <v/>
      </c>
      <c r="AY100" s="24" t="str">
        <f>IF(A100="","",(IF(OR(AK100="Single",AK100="Married Filing Separately"),'CONSTANTS &amp; REFERENCES'!$C$10,IF(AK100="Married Filing Jointly",'CONSTANTS &amp; REFERENCES'!$H$10,IF(AK100="Head of Household",'CONSTANTS &amp; REFERENCES'!$M$10,""))))*AL100)</f>
        <v/>
      </c>
      <c r="AZ100" s="21" t="str">
        <f>IF(AY100="","",IF(A100=0,IF(OR(AK100="Single",AK100="Married Filing Separately"),'CONSTANTS &amp; REFERENCES'!$C$10,IF(AK100="Married Filing Jointly",'CONSTANTS &amp; REFERENCES'!$H$10,IF(AK100="Head of Household",'CONSTANTS &amp; REFERENCES'!$M$10,""))),_xlfn.FLOOR.MATH(AY100,IF(AK100="Married Filing Separately",Bracket_Round_MFS,Bracket_Round_Standard))))</f>
        <v/>
      </c>
      <c r="BA100" s="7" t="str">
        <f t="shared" si="43"/>
        <v/>
      </c>
      <c r="BB100" s="7" t="str">
        <f>IF(A100="","",'CONSTANTS &amp; REFERENCES'!$C$22*AL100)</f>
        <v/>
      </c>
      <c r="BC100" s="21" t="str">
        <f t="shared" si="54"/>
        <v/>
      </c>
    </row>
    <row r="101" spans="1:55" ht="18" customHeight="1" x14ac:dyDescent="0.3">
      <c r="A101" s="10" t="str">
        <f>IF(A100&lt;INPUTS!$C$7-INPUTS!$C$6,A100+1,"")</f>
        <v/>
      </c>
      <c r="B101" s="10" t="str">
        <f>IF(A101="","",INPUTS!$C$6+A101)</f>
        <v/>
      </c>
      <c r="C101" s="11" t="str">
        <f t="shared" si="44"/>
        <v/>
      </c>
      <c r="D101" s="11" t="str">
        <f>IF(A101="","",IF(A101&lt;INPUTS!$C$13,0,J101))</f>
        <v/>
      </c>
      <c r="E101" s="12" t="str">
        <f>IF(A101="","",IF(D101=0,"—",IF(Y101&lt;IF(AK101="Married Filing Jointly",'CONSTANTS &amp; REFERENCES'!$B$44,IF(AK101="Married Filing Separately",'CONSTANTS &amp; REFERENCES'!$B$45,'CONSTANTS &amp; REFERENCES'!$B$43)),"Direct","Backdoor")))</f>
        <v/>
      </c>
      <c r="F101" s="13" t="str">
        <f t="shared" si="35"/>
        <v/>
      </c>
      <c r="G101" s="14" t="str">
        <f t="shared" si="55"/>
        <v/>
      </c>
      <c r="H101" s="13" t="str">
        <f t="shared" si="37"/>
        <v/>
      </c>
      <c r="I101" s="14" t="str">
        <f t="shared" si="56"/>
        <v/>
      </c>
      <c r="J101" s="14" t="str">
        <f t="shared" si="57"/>
        <v/>
      </c>
      <c r="K101" s="11" t="str">
        <f>IF(A101="","",IF(INPUTS!$C$12="Beginning",(C101+D101)*INPUTS!$C$10,C101*INPUTS!$C$10))</f>
        <v/>
      </c>
      <c r="L101" s="11" t="str">
        <f>IF(A101="","",IF(INPUTS!$C$12="Beginning",(C101+D101)*(1+INPUTS!$C$10),C101*(1+INPUTS!$C$10)+D101))</f>
        <v/>
      </c>
      <c r="M101" s="15" t="str">
        <f>IF(A101="","",(1+INPUTS!$C$11)^A101)</f>
        <v/>
      </c>
      <c r="N101" s="11" t="str">
        <f t="shared" si="59"/>
        <v/>
      </c>
      <c r="O101" s="11" t="str">
        <f t="shared" si="46"/>
        <v/>
      </c>
      <c r="P101" s="11" t="str">
        <f>IF(A101="","",L101-INPUTS!$C$8-O101)</f>
        <v/>
      </c>
      <c r="Q101" s="16"/>
      <c r="R101" s="16"/>
      <c r="S101" s="16" t="str">
        <f t="shared" si="47"/>
        <v/>
      </c>
      <c r="T101" s="18" t="str">
        <f t="shared" si="48"/>
        <v/>
      </c>
      <c r="U101" s="18" t="str">
        <f t="shared" si="49"/>
        <v/>
      </c>
      <c r="V101" s="19" t="str">
        <f>IF(A101="","",FV(INPUTS!$C$10,INPUTS!$C$7-INPUTS!$C$6-A101+IF(INPUTS!$C$12="Beginning",1,0),0,-D101,0))</f>
        <v/>
      </c>
      <c r="W101" s="7"/>
      <c r="X101" s="7"/>
      <c r="Y101" s="21" t="str">
        <f>IF(A101="","",IF(INPUTS!$C$17="Yes",MIN(Y100*(1+INPUTS!$C$15)+IF(INPUTS!$C$27="Yes",(Z101-Z100)*INPUTS!$C$31+IF(AND(INPUTS!$C$28="Not yet credentialed",A101=INPUTS!$C$33),INPUTS!$C$32,0)+IF(AND(INPUTS!$C$28&lt;&gt;"FSA / FCAS",A101=INPUTS!$C$35),INPUTS!$C$34,0),0),INPUTS!$C$18),Y100*(1+INPUTS!$C$15)+IF(INPUTS!$C$27="Yes",(Z101-Z100)*INPUTS!$C$31+IF(AND(INPUTS!$C$28="Not yet credentialed",A101=INPUTS!$C$33),INPUTS!$C$32,0)+IF(AND(INPUTS!$C$28&lt;&gt;"FSA / FCAS",A101=INPUTS!$C$35),INPUTS!$C$34,0),0)))</f>
        <v/>
      </c>
      <c r="Z101" s="22" t="str">
        <f>IF(A101="","",IF(AND(INPUTS!$C$27="Yes",INPUTS!$C$28&lt;&gt;"FSA / FCAS",ISNUMBER(INPUTS!$C$37)),MIN(A101*INPUTS!$C$37,INPUTS!$C$30),0))</f>
        <v/>
      </c>
      <c r="AA101" s="21" t="str">
        <f t="shared" si="40"/>
        <v/>
      </c>
      <c r="AB101" s="21" t="str">
        <f t="shared" si="58"/>
        <v/>
      </c>
      <c r="AC101" s="21" t="str">
        <f>IF(A101="","",MIN(AB101,AP101)*'CONSTANTS &amp; REFERENCES'!$A$5+MAX(MIN(AB101,AR101)-AP101,0)*'CONSTANTS &amp; REFERENCES'!$A$6+MAX(MIN(AB101,AT101)-AR101,0)*'CONSTANTS &amp; REFERENCES'!$A$7+MAX(MIN(AB101,AV101)-AT101,0)*'CONSTANTS &amp; REFERENCES'!$A$8+MAX(MIN(AB101,AX101)-AV101,0)*'CONSTANTS &amp; REFERENCES'!$A$9+MAX(MIN(AB101,AZ101)-AX101,0)*'CONSTANTS &amp; REFERENCES'!$A$10+MAX(AB101-AZ101,0)*'CONSTANTS &amp; REFERENCES'!$A$11)</f>
        <v/>
      </c>
      <c r="AD101" s="21" t="str">
        <f>IF(AB101="","",IF(INPUTS!$C$20="Yes",AB101*INPUTS!$C$21,0))</f>
        <v/>
      </c>
      <c r="AE101" s="21" t="str">
        <f>IF(Y101="","",MIN(Y101,BC101)*'CONSTANTS &amp; REFERENCES'!$B$22)</f>
        <v/>
      </c>
      <c r="AF101" s="21" t="str">
        <f>IF(Y101="","",Y101*'CONSTANTS &amp; REFERENCES'!$B$24+MAX(0,Y101-IF(AK101="Married Filing Jointly",'CONSTANTS &amp; REFERENCES'!$C$26,IF(AK101="Married Filing Separately",'CONSTANTS &amp; REFERENCES'!$C$27,IF(AK101="Head of Household",'CONSTANTS &amp; REFERENCES'!$C$28,'CONSTANTS &amp; REFERENCES'!$C$25))))*'CONSTANTS &amp; REFERENCES'!$B$25)</f>
        <v/>
      </c>
      <c r="AG101" s="21" t="str">
        <f t="shared" si="50"/>
        <v/>
      </c>
      <c r="AH101" s="21" t="str">
        <f t="shared" si="51"/>
        <v/>
      </c>
      <c r="AI101" s="21" t="str">
        <f t="shared" si="52"/>
        <v/>
      </c>
      <c r="AJ101" s="21" t="str">
        <f t="shared" si="53"/>
        <v/>
      </c>
      <c r="AK101" s="7" t="str">
        <f>IF(A101="","",IF(AND(INPUTS!$C$43="Yes",A101&gt;=INPUTS!$C$45),INPUTS!$C$44,INPUTS!$C$19))</f>
        <v/>
      </c>
      <c r="AL101" s="23" t="str">
        <f t="shared" si="42"/>
        <v/>
      </c>
      <c r="AM101" s="24" t="str">
        <f>IF(A101="","",(IF(OR(AK101="Single",AK101="Married Filing Separately"),'CONSTANTS &amp; REFERENCES'!$B$13,IF(AK101="Married Filing Jointly",'CONSTANTS &amp; REFERENCES'!$G$13,IF(AK101="Head of Household",'CONSTANTS &amp; REFERENCES'!$L$13,""))))*AL101)</f>
        <v/>
      </c>
      <c r="AN101" s="21" t="str">
        <f>IF(AM101="","",IF(A101=0,IF(OR(AK101="Single",AK101="Married Filing Separately"),'CONSTANTS &amp; REFERENCES'!$B$13,IF(AK101="Married Filing Jointly",'CONSTANTS &amp; REFERENCES'!$G$13,IF(AK101="Head of Household",'CONSTANTS &amp; REFERENCES'!$L$13,""))),_xlfn.FLOOR.MATH(AM101,IF(AK101="Married Filing Separately",Bracket_Round_MFS,Bracket_Round_Standard))))</f>
        <v/>
      </c>
      <c r="AO101" s="24" t="str">
        <f>IF(A101="","",(IF(OR(AK101="Single",AK101="Married Filing Separately"),'CONSTANTS &amp; REFERENCES'!$C$5,IF(AK101="Married Filing Jointly",'CONSTANTS &amp; REFERENCES'!$H$5,IF(AK101="Head of Household",'CONSTANTS &amp; REFERENCES'!$M$5,""))))*AL101)</f>
        <v/>
      </c>
      <c r="AP101" s="21" t="str">
        <f>IF(AO101="","",IF(A101=0,IF(OR(AK101="Single",AK101="Married Filing Separately"),'CONSTANTS &amp; REFERENCES'!$C$5,IF(AK101="Married Filing Jointly",'CONSTANTS &amp; REFERENCES'!$H$5,IF(AK101="Head of Household",'CONSTANTS &amp; REFERENCES'!$M$5,""))),_xlfn.FLOOR.MATH(AO101,IF(AK101="Married Filing Separately",Bracket_Round_MFS,Bracket_Round_Standard))))</f>
        <v/>
      </c>
      <c r="AQ101" s="24" t="str">
        <f>IF(A101="","",(IF(OR(AK101="Single",AK101="Married Filing Separately"),'CONSTANTS &amp; REFERENCES'!$C$6,IF(AK101="Married Filing Jointly",'CONSTANTS &amp; REFERENCES'!$H$6,IF(AK101="Head of Household",'CONSTANTS &amp; REFERENCES'!$M$6,""))))*AL101)</f>
        <v/>
      </c>
      <c r="AR101" s="21" t="str">
        <f>IF(AQ101="","",IF(A101=0,IF(OR(AK101="Single",AK101="Married Filing Separately"),'CONSTANTS &amp; REFERENCES'!$C$6,IF(AK101="Married Filing Jointly",'CONSTANTS &amp; REFERENCES'!$H$6,IF(AK101="Head of Household",'CONSTANTS &amp; REFERENCES'!$M$6,""))),_xlfn.FLOOR.MATH(AQ101,IF(AK101="Married Filing Separately",Bracket_Round_MFS,Bracket_Round_Standard))))</f>
        <v/>
      </c>
      <c r="AS101" s="24" t="str">
        <f>IF(A101="","",(IF(OR(AK101="Single",AK101="Married Filing Separately"),'CONSTANTS &amp; REFERENCES'!$C$7,IF(AK101="Married Filing Jointly",'CONSTANTS &amp; REFERENCES'!$H$7,IF(AK101="Head of Household",'CONSTANTS &amp; REFERENCES'!$M$7,""))))*AL101)</f>
        <v/>
      </c>
      <c r="AT101" s="21" t="str">
        <f>IF(AS101="","",IF(A101=0,IF(OR(AK101="Single",AK101="Married Filing Separately"),'CONSTANTS &amp; REFERENCES'!$C$7,IF(AK101="Married Filing Jointly",'CONSTANTS &amp; REFERENCES'!$H$7,IF(AK101="Head of Household",'CONSTANTS &amp; REFERENCES'!$M$7,""))),_xlfn.FLOOR.MATH(AS101,IF(AK101="Married Filing Separately",Bracket_Round_MFS,Bracket_Round_Standard))))</f>
        <v/>
      </c>
      <c r="AU101" s="24" t="str">
        <f>IF(A101="","",(IF(OR(AK101="Single",AK101="Married Filing Separately"),'CONSTANTS &amp; REFERENCES'!$C$8,IF(AK101="Married Filing Jointly",'CONSTANTS &amp; REFERENCES'!$H$8,IF(AK101="Head of Household",'CONSTANTS &amp; REFERENCES'!$M$8,""))))*AL101)</f>
        <v/>
      </c>
      <c r="AV101" s="21" t="str">
        <f>IF(AU101="","",IF(A101=0,IF(OR(AK101="Single",AK101="Married Filing Separately"),'CONSTANTS &amp; REFERENCES'!$C$8,IF(AK101="Married Filing Jointly",'CONSTANTS &amp; REFERENCES'!$H$8,IF(AK101="Head of Household",'CONSTANTS &amp; REFERENCES'!$M$8,""))),_xlfn.FLOOR.MATH(AU101,IF(AK101="Married Filing Separately",Bracket_Round_MFS,Bracket_Round_Standard))))</f>
        <v/>
      </c>
      <c r="AW101" s="24" t="str">
        <f>IF(A101="","",(IF(OR(AK101="Single",AK101="Married Filing Separately"),'CONSTANTS &amp; REFERENCES'!$C$9,IF(AK101="Married Filing Jointly",'CONSTANTS &amp; REFERENCES'!$H$9,IF(AK101="Head of Household",'CONSTANTS &amp; REFERENCES'!$M$9,""))))*AL101)</f>
        <v/>
      </c>
      <c r="AX101" s="21" t="str">
        <f>IF(AW101="","",IF(A101=0,IF(OR(AK101="Single",AK101="Married Filing Separately"),'CONSTANTS &amp; REFERENCES'!$C$9,IF(AK101="Married Filing Jointly",'CONSTANTS &amp; REFERENCES'!$H$9,IF(AK101="Head of Household",'CONSTANTS &amp; REFERENCES'!$M$9,""))),_xlfn.FLOOR.MATH(AW101,IF(AK101="Married Filing Separately",Bracket_Round_MFS,Bracket_Round_Standard))))</f>
        <v/>
      </c>
      <c r="AY101" s="24" t="str">
        <f>IF(A101="","",(IF(OR(AK101="Single",AK101="Married Filing Separately"),'CONSTANTS &amp; REFERENCES'!$C$10,IF(AK101="Married Filing Jointly",'CONSTANTS &amp; REFERENCES'!$H$10,IF(AK101="Head of Household",'CONSTANTS &amp; REFERENCES'!$M$10,""))))*AL101)</f>
        <v/>
      </c>
      <c r="AZ101" s="21" t="str">
        <f>IF(AY101="","",IF(A101=0,IF(OR(AK101="Single",AK101="Married Filing Separately"),'CONSTANTS &amp; REFERENCES'!$C$10,IF(AK101="Married Filing Jointly",'CONSTANTS &amp; REFERENCES'!$H$10,IF(AK101="Head of Household",'CONSTANTS &amp; REFERENCES'!$M$10,""))),_xlfn.FLOOR.MATH(AY101,IF(AK101="Married Filing Separately",Bracket_Round_MFS,Bracket_Round_Standard))))</f>
        <v/>
      </c>
      <c r="BA101" s="7" t="str">
        <f t="shared" si="43"/>
        <v/>
      </c>
      <c r="BB101" s="7" t="str">
        <f>IF(A101="","",'CONSTANTS &amp; REFERENCES'!$C$22*AL101)</f>
        <v/>
      </c>
      <c r="BC101" s="21" t="str">
        <f t="shared" si="54"/>
        <v/>
      </c>
    </row>
    <row r="102" spans="1:55" ht="18" customHeight="1" x14ac:dyDescent="0.3">
      <c r="A102" s="10" t="str">
        <f>IF(A101&lt;INPUTS!$C$7-INPUTS!$C$6,A101+1,"")</f>
        <v/>
      </c>
      <c r="B102" s="10" t="str">
        <f>IF(A102="","",INPUTS!$C$6+A102)</f>
        <v/>
      </c>
      <c r="C102" s="11" t="str">
        <f t="shared" si="44"/>
        <v/>
      </c>
      <c r="D102" s="11" t="str">
        <f>IF(A102="","",IF(A102&lt;INPUTS!$C$13,0,J102))</f>
        <v/>
      </c>
      <c r="E102" s="12" t="str">
        <f>IF(A102="","",IF(D102=0,"—",IF(Y102&lt;IF(AK102="Married Filing Jointly",'CONSTANTS &amp; REFERENCES'!$B$44,IF(AK102="Married Filing Separately",'CONSTANTS &amp; REFERENCES'!$B$45,'CONSTANTS &amp; REFERENCES'!$B$43)),"Direct","Backdoor")))</f>
        <v/>
      </c>
      <c r="F102" s="13" t="str">
        <f t="shared" si="35"/>
        <v/>
      </c>
      <c r="G102" s="14" t="str">
        <f t="shared" si="55"/>
        <v/>
      </c>
      <c r="H102" s="13" t="str">
        <f t="shared" si="37"/>
        <v/>
      </c>
      <c r="I102" s="14" t="str">
        <f t="shared" si="56"/>
        <v/>
      </c>
      <c r="J102" s="14" t="str">
        <f t="shared" si="57"/>
        <v/>
      </c>
      <c r="K102" s="11" t="str">
        <f>IF(A102="","",IF(INPUTS!$C$12="Beginning",(C102+D102)*INPUTS!$C$10,C102*INPUTS!$C$10))</f>
        <v/>
      </c>
      <c r="L102" s="11" t="str">
        <f>IF(A102="","",IF(INPUTS!$C$12="Beginning",(C102+D102)*(1+INPUTS!$C$10),C102*(1+INPUTS!$C$10)+D102))</f>
        <v/>
      </c>
      <c r="M102" s="15" t="str">
        <f>IF(A102="","",(1+INPUTS!$C$11)^A102)</f>
        <v/>
      </c>
      <c r="N102" s="11" t="str">
        <f t="shared" si="59"/>
        <v/>
      </c>
      <c r="O102" s="11" t="str">
        <f t="shared" si="46"/>
        <v/>
      </c>
      <c r="P102" s="11" t="str">
        <f>IF(A102="","",L102-INPUTS!$C$8-O102)</f>
        <v/>
      </c>
      <c r="Q102" s="16"/>
      <c r="R102" s="16"/>
      <c r="S102" s="16" t="str">
        <f t="shared" si="47"/>
        <v/>
      </c>
      <c r="T102" s="18" t="str">
        <f t="shared" si="48"/>
        <v/>
      </c>
      <c r="U102" s="18" t="str">
        <f t="shared" si="49"/>
        <v/>
      </c>
      <c r="V102" s="19" t="str">
        <f>IF(A102="","",FV(INPUTS!$C$10,INPUTS!$C$7-INPUTS!$C$6-A102+IF(INPUTS!$C$12="Beginning",1,0),0,-D102,0))</f>
        <v/>
      </c>
      <c r="W102" s="7"/>
      <c r="X102" s="7"/>
      <c r="Y102" s="21" t="str">
        <f>IF(A102="","",IF(INPUTS!$C$17="Yes",MIN(Y101*(1+INPUTS!$C$15)+IF(INPUTS!$C$27="Yes",(Z102-Z101)*INPUTS!$C$31+IF(AND(INPUTS!$C$28="Not yet credentialed",A102=INPUTS!$C$33),INPUTS!$C$32,0)+IF(AND(INPUTS!$C$28&lt;&gt;"FSA / FCAS",A102=INPUTS!$C$35),INPUTS!$C$34,0),0),INPUTS!$C$18),Y101*(1+INPUTS!$C$15)+IF(INPUTS!$C$27="Yes",(Z102-Z101)*INPUTS!$C$31+IF(AND(INPUTS!$C$28="Not yet credentialed",A102=INPUTS!$C$33),INPUTS!$C$32,0)+IF(AND(INPUTS!$C$28&lt;&gt;"FSA / FCAS",A102=INPUTS!$C$35),INPUTS!$C$34,0),0)))</f>
        <v/>
      </c>
      <c r="Z102" s="22" t="str">
        <f>IF(A102="","",IF(AND(INPUTS!$C$27="Yes",INPUTS!$C$28&lt;&gt;"FSA / FCAS",ISNUMBER(INPUTS!$C$37)),MIN(A102*INPUTS!$C$37,INPUTS!$C$30),0))</f>
        <v/>
      </c>
      <c r="AA102" s="21" t="str">
        <f t="shared" si="40"/>
        <v/>
      </c>
      <c r="AB102" s="21" t="str">
        <f t="shared" si="58"/>
        <v/>
      </c>
      <c r="AC102" s="21" t="str">
        <f>IF(A102="","",MIN(AB102,AP102)*'CONSTANTS &amp; REFERENCES'!$A$5+MAX(MIN(AB102,AR102)-AP102,0)*'CONSTANTS &amp; REFERENCES'!$A$6+MAX(MIN(AB102,AT102)-AR102,0)*'CONSTANTS &amp; REFERENCES'!$A$7+MAX(MIN(AB102,AV102)-AT102,0)*'CONSTANTS &amp; REFERENCES'!$A$8+MAX(MIN(AB102,AX102)-AV102,0)*'CONSTANTS &amp; REFERENCES'!$A$9+MAX(MIN(AB102,AZ102)-AX102,0)*'CONSTANTS &amp; REFERENCES'!$A$10+MAX(AB102-AZ102,0)*'CONSTANTS &amp; REFERENCES'!$A$11)</f>
        <v/>
      </c>
      <c r="AD102" s="21" t="str">
        <f>IF(AB102="","",IF(INPUTS!$C$20="Yes",AB102*INPUTS!$C$21,0))</f>
        <v/>
      </c>
      <c r="AE102" s="21" t="str">
        <f>IF(Y102="","",MIN(Y102,BC102)*'CONSTANTS &amp; REFERENCES'!$B$22)</f>
        <v/>
      </c>
      <c r="AF102" s="21" t="str">
        <f>IF(Y102="","",Y102*'CONSTANTS &amp; REFERENCES'!$B$24+MAX(0,Y102-IF(AK102="Married Filing Jointly",'CONSTANTS &amp; REFERENCES'!$C$26,IF(AK102="Married Filing Separately",'CONSTANTS &amp; REFERENCES'!$C$27,IF(AK102="Head of Household",'CONSTANTS &amp; REFERENCES'!$C$28,'CONSTANTS &amp; REFERENCES'!$C$25))))*'CONSTANTS &amp; REFERENCES'!$B$25)</f>
        <v/>
      </c>
      <c r="AG102" s="21" t="str">
        <f t="shared" si="50"/>
        <v/>
      </c>
      <c r="AH102" s="21" t="str">
        <f t="shared" si="51"/>
        <v/>
      </c>
      <c r="AI102" s="21" t="str">
        <f t="shared" si="52"/>
        <v/>
      </c>
      <c r="AJ102" s="21" t="str">
        <f t="shared" si="53"/>
        <v/>
      </c>
      <c r="AK102" s="7" t="str">
        <f>IF(A102="","",IF(AND(INPUTS!$C$43="Yes",A102&gt;=INPUTS!$C$45),INPUTS!$C$44,INPUTS!$C$19))</f>
        <v/>
      </c>
      <c r="AL102" s="23" t="str">
        <f t="shared" si="42"/>
        <v/>
      </c>
      <c r="AM102" s="24" t="str">
        <f>IF(A102="","",(IF(OR(AK102="Single",AK102="Married Filing Separately"),'CONSTANTS &amp; REFERENCES'!$B$13,IF(AK102="Married Filing Jointly",'CONSTANTS &amp; REFERENCES'!$G$13,IF(AK102="Head of Household",'CONSTANTS &amp; REFERENCES'!$L$13,""))))*AL102)</f>
        <v/>
      </c>
      <c r="AN102" s="21" t="str">
        <f>IF(AM102="","",IF(A102=0,IF(OR(AK102="Single",AK102="Married Filing Separately"),'CONSTANTS &amp; REFERENCES'!$B$13,IF(AK102="Married Filing Jointly",'CONSTANTS &amp; REFERENCES'!$G$13,IF(AK102="Head of Household",'CONSTANTS &amp; REFERENCES'!$L$13,""))),_xlfn.FLOOR.MATH(AM102,IF(AK102="Married Filing Separately",Bracket_Round_MFS,Bracket_Round_Standard))))</f>
        <v/>
      </c>
      <c r="AO102" s="24" t="str">
        <f>IF(A102="","",(IF(OR(AK102="Single",AK102="Married Filing Separately"),'CONSTANTS &amp; REFERENCES'!$C$5,IF(AK102="Married Filing Jointly",'CONSTANTS &amp; REFERENCES'!$H$5,IF(AK102="Head of Household",'CONSTANTS &amp; REFERENCES'!$M$5,""))))*AL102)</f>
        <v/>
      </c>
      <c r="AP102" s="21" t="str">
        <f>IF(AO102="","",IF(A102=0,IF(OR(AK102="Single",AK102="Married Filing Separately"),'CONSTANTS &amp; REFERENCES'!$C$5,IF(AK102="Married Filing Jointly",'CONSTANTS &amp; REFERENCES'!$H$5,IF(AK102="Head of Household",'CONSTANTS &amp; REFERENCES'!$M$5,""))),_xlfn.FLOOR.MATH(AO102,IF(AK102="Married Filing Separately",Bracket_Round_MFS,Bracket_Round_Standard))))</f>
        <v/>
      </c>
      <c r="AQ102" s="24" t="str">
        <f>IF(A102="","",(IF(OR(AK102="Single",AK102="Married Filing Separately"),'CONSTANTS &amp; REFERENCES'!$C$6,IF(AK102="Married Filing Jointly",'CONSTANTS &amp; REFERENCES'!$H$6,IF(AK102="Head of Household",'CONSTANTS &amp; REFERENCES'!$M$6,""))))*AL102)</f>
        <v/>
      </c>
      <c r="AR102" s="21" t="str">
        <f>IF(AQ102="","",IF(A102=0,IF(OR(AK102="Single",AK102="Married Filing Separately"),'CONSTANTS &amp; REFERENCES'!$C$6,IF(AK102="Married Filing Jointly",'CONSTANTS &amp; REFERENCES'!$H$6,IF(AK102="Head of Household",'CONSTANTS &amp; REFERENCES'!$M$6,""))),_xlfn.FLOOR.MATH(AQ102,IF(AK102="Married Filing Separately",Bracket_Round_MFS,Bracket_Round_Standard))))</f>
        <v/>
      </c>
      <c r="AS102" s="24" t="str">
        <f>IF(A102="","",(IF(OR(AK102="Single",AK102="Married Filing Separately"),'CONSTANTS &amp; REFERENCES'!$C$7,IF(AK102="Married Filing Jointly",'CONSTANTS &amp; REFERENCES'!$H$7,IF(AK102="Head of Household",'CONSTANTS &amp; REFERENCES'!$M$7,""))))*AL102)</f>
        <v/>
      </c>
      <c r="AT102" s="21" t="str">
        <f>IF(AS102="","",IF(A102=0,IF(OR(AK102="Single",AK102="Married Filing Separately"),'CONSTANTS &amp; REFERENCES'!$C$7,IF(AK102="Married Filing Jointly",'CONSTANTS &amp; REFERENCES'!$H$7,IF(AK102="Head of Household",'CONSTANTS &amp; REFERENCES'!$M$7,""))),_xlfn.FLOOR.MATH(AS102,IF(AK102="Married Filing Separately",Bracket_Round_MFS,Bracket_Round_Standard))))</f>
        <v/>
      </c>
      <c r="AU102" s="24" t="str">
        <f>IF(A102="","",(IF(OR(AK102="Single",AK102="Married Filing Separately"),'CONSTANTS &amp; REFERENCES'!$C$8,IF(AK102="Married Filing Jointly",'CONSTANTS &amp; REFERENCES'!$H$8,IF(AK102="Head of Household",'CONSTANTS &amp; REFERENCES'!$M$8,""))))*AL102)</f>
        <v/>
      </c>
      <c r="AV102" s="21" t="str">
        <f>IF(AU102="","",IF(A102=0,IF(OR(AK102="Single",AK102="Married Filing Separately"),'CONSTANTS &amp; REFERENCES'!$C$8,IF(AK102="Married Filing Jointly",'CONSTANTS &amp; REFERENCES'!$H$8,IF(AK102="Head of Household",'CONSTANTS &amp; REFERENCES'!$M$8,""))),_xlfn.FLOOR.MATH(AU102,IF(AK102="Married Filing Separately",Bracket_Round_MFS,Bracket_Round_Standard))))</f>
        <v/>
      </c>
      <c r="AW102" s="24" t="str">
        <f>IF(A102="","",(IF(OR(AK102="Single",AK102="Married Filing Separately"),'CONSTANTS &amp; REFERENCES'!$C$9,IF(AK102="Married Filing Jointly",'CONSTANTS &amp; REFERENCES'!$H$9,IF(AK102="Head of Household",'CONSTANTS &amp; REFERENCES'!$M$9,""))))*AL102)</f>
        <v/>
      </c>
      <c r="AX102" s="21" t="str">
        <f>IF(AW102="","",IF(A102=0,IF(OR(AK102="Single",AK102="Married Filing Separately"),'CONSTANTS &amp; REFERENCES'!$C$9,IF(AK102="Married Filing Jointly",'CONSTANTS &amp; REFERENCES'!$H$9,IF(AK102="Head of Household",'CONSTANTS &amp; REFERENCES'!$M$9,""))),_xlfn.FLOOR.MATH(AW102,IF(AK102="Married Filing Separately",Bracket_Round_MFS,Bracket_Round_Standard))))</f>
        <v/>
      </c>
      <c r="AY102" s="24" t="str">
        <f>IF(A102="","",(IF(OR(AK102="Single",AK102="Married Filing Separately"),'CONSTANTS &amp; REFERENCES'!$C$10,IF(AK102="Married Filing Jointly",'CONSTANTS &amp; REFERENCES'!$H$10,IF(AK102="Head of Household",'CONSTANTS &amp; REFERENCES'!$M$10,""))))*AL102)</f>
        <v/>
      </c>
      <c r="AZ102" s="21" t="str">
        <f>IF(AY102="","",IF(A102=0,IF(OR(AK102="Single",AK102="Married Filing Separately"),'CONSTANTS &amp; REFERENCES'!$C$10,IF(AK102="Married Filing Jointly",'CONSTANTS &amp; REFERENCES'!$H$10,IF(AK102="Head of Household",'CONSTANTS &amp; REFERENCES'!$M$10,""))),_xlfn.FLOOR.MATH(AY102,IF(AK102="Married Filing Separately",Bracket_Round_MFS,Bracket_Round_Standard))))</f>
        <v/>
      </c>
      <c r="BA102" s="7" t="str">
        <f t="shared" si="43"/>
        <v/>
      </c>
      <c r="BB102" s="7" t="str">
        <f>IF(A102="","",'CONSTANTS &amp; REFERENCES'!$C$22*AL102)</f>
        <v/>
      </c>
      <c r="BC102" s="21" t="str">
        <f t="shared" si="54"/>
        <v/>
      </c>
    </row>
  </sheetData>
  <conditionalFormatting sqref="AJ2:AJ102">
    <cfRule type="cellIs" dxfId="8" priority="1" operator="between">
      <formula>-0.01</formula>
      <formula>0.01</formula>
    </cfRule>
    <cfRule type="cellIs" dxfId="7" priority="2" operator="lessThan">
      <formula>-0.01</formula>
    </cfRule>
    <cfRule type="cellIs" dxfId="6" priority="3" operator="greaterThan">
      <formula>0.01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9137-C149-470C-8B56-A6835F46E0CB}">
  <sheetPr>
    <tabColor rgb="FFA24200"/>
  </sheetPr>
  <dimension ref="A1:AC102"/>
  <sheetViews>
    <sheetView topLeftCell="P1" workbookViewId="0">
      <pane ySplit="1" topLeftCell="A2" activePane="bottomLeft" state="frozen"/>
      <selection activeCell="AJ10" sqref="AJ10"/>
      <selection pane="bottomLeft" activeCell="AJ10" sqref="AJ10"/>
    </sheetView>
  </sheetViews>
  <sheetFormatPr defaultRowHeight="12.75" x14ac:dyDescent="0.2"/>
  <cols>
    <col min="1" max="1" width="14.5703125" bestFit="1" customWidth="1"/>
    <col min="2" max="2" width="4.5703125" bestFit="1" customWidth="1"/>
    <col min="3" max="3" width="17.7109375" bestFit="1" customWidth="1"/>
    <col min="4" max="4" width="24.85546875" bestFit="1" customWidth="1"/>
    <col min="5" max="5" width="15.7109375" bestFit="1" customWidth="1"/>
    <col min="6" max="6" width="22.7109375" bestFit="1" customWidth="1"/>
    <col min="7" max="7" width="34.28515625" bestFit="1" customWidth="1"/>
    <col min="8" max="8" width="20.7109375" bestFit="1" customWidth="1"/>
    <col min="9" max="9" width="18.28515625" bestFit="1" customWidth="1"/>
    <col min="10" max="10" width="14.7109375" bestFit="1" customWidth="1"/>
    <col min="11" max="11" width="24.28515625" bestFit="1" customWidth="1"/>
    <col min="12" max="12" width="29.28515625" bestFit="1" customWidth="1"/>
    <col min="13" max="13" width="14.5703125" bestFit="1" customWidth="1"/>
    <col min="14" max="14" width="24.85546875" bestFit="1" customWidth="1"/>
    <col min="15" max="15" width="26.5703125" bestFit="1" customWidth="1"/>
    <col min="16" max="16" width="18.5703125" bestFit="1" customWidth="1"/>
    <col min="17" max="17" width="36" bestFit="1" customWidth="1"/>
    <col min="18" max="18" width="35" bestFit="1" customWidth="1"/>
    <col min="19" max="19" width="9.5703125" bestFit="1" customWidth="1"/>
    <col min="20" max="20" width="36.140625" bestFit="1" customWidth="1"/>
    <col min="21" max="21" width="43.85546875" bestFit="1" customWidth="1"/>
    <col min="22" max="22" width="20.5703125" bestFit="1" customWidth="1"/>
    <col min="23" max="23" width="19.140625" bestFit="1" customWidth="1"/>
    <col min="24" max="24" width="20" bestFit="1" customWidth="1"/>
    <col min="25" max="25" width="18.5703125" bestFit="1" customWidth="1"/>
    <col min="26" max="26" width="25.7109375" bestFit="1" customWidth="1"/>
    <col min="27" max="27" width="27.7109375" bestFit="1" customWidth="1"/>
    <col min="28" max="28" width="31.7109375" bestFit="1" customWidth="1"/>
    <col min="29" max="29" width="33.7109375" bestFit="1" customWidth="1"/>
  </cols>
  <sheetData>
    <row r="1" spans="1:29" ht="14.25" x14ac:dyDescent="0.25">
      <c r="A1" s="5" t="s">
        <v>218</v>
      </c>
      <c r="B1" s="5" t="s">
        <v>1</v>
      </c>
      <c r="C1" s="5" t="s">
        <v>74</v>
      </c>
      <c r="D1" s="5" t="s">
        <v>260</v>
      </c>
      <c r="E1" s="5" t="s">
        <v>318</v>
      </c>
      <c r="F1" s="5" t="s">
        <v>261</v>
      </c>
      <c r="G1" s="5" t="s">
        <v>262</v>
      </c>
      <c r="H1" s="5" t="s">
        <v>319</v>
      </c>
      <c r="I1" s="5" t="s">
        <v>75</v>
      </c>
      <c r="J1" s="5" t="s">
        <v>76</v>
      </c>
      <c r="K1" s="5" t="s">
        <v>79</v>
      </c>
      <c r="L1" s="5" t="s">
        <v>353</v>
      </c>
      <c r="M1" s="5" t="s">
        <v>218</v>
      </c>
      <c r="N1" s="5" t="s">
        <v>260</v>
      </c>
      <c r="O1" s="5" t="s">
        <v>263</v>
      </c>
      <c r="P1" s="5" t="s">
        <v>264</v>
      </c>
      <c r="Q1" s="5" t="s">
        <v>356</v>
      </c>
      <c r="R1" s="220" t="s">
        <v>265</v>
      </c>
      <c r="S1" s="220"/>
      <c r="T1" s="5" t="s">
        <v>368</v>
      </c>
      <c r="U1" s="5" t="s">
        <v>369</v>
      </c>
      <c r="V1" s="5" t="s">
        <v>393</v>
      </c>
      <c r="W1" s="5" t="s">
        <v>394</v>
      </c>
      <c r="X1" s="5" t="s">
        <v>395</v>
      </c>
      <c r="Y1" s="5" t="s">
        <v>396</v>
      </c>
      <c r="Z1" s="5" t="s">
        <v>405</v>
      </c>
      <c r="AA1" s="5" t="s">
        <v>406</v>
      </c>
      <c r="AB1" s="5" t="s">
        <v>413</v>
      </c>
      <c r="AC1" s="5" t="s">
        <v>414</v>
      </c>
    </row>
    <row r="2" spans="1:29" ht="18" customHeight="1" x14ac:dyDescent="0.25">
      <c r="A2" s="7">
        <f>IF(ENGINE!A2="","",ENGINE!A2)</f>
        <v>0</v>
      </c>
      <c r="B2" s="7">
        <f>IF(A2="","",ENGINE!B2)</f>
        <v>22</v>
      </c>
      <c r="C2" s="7">
        <f>IF(A2="","",IF(A2=0,INPUTS!$C$8,J1))</f>
        <v>0</v>
      </c>
      <c r="D2" s="7">
        <f>IF(A2="","",ENGINE!D2)</f>
        <v>7500</v>
      </c>
      <c r="E2" s="26">
        <f>IF(A2="","",$S$3)</f>
        <v>1</v>
      </c>
      <c r="F2" s="26">
        <f>IF(A2="","",D2/E2)</f>
        <v>7500</v>
      </c>
      <c r="G2" s="26">
        <f>IF(A2="","",$S$5)</f>
        <v>0.10000000000000009</v>
      </c>
      <c r="H2" s="28">
        <f>IF(A2="","",(1+G2)^E2)</f>
        <v>1.1000000000000001</v>
      </c>
      <c r="I2" s="26">
        <f>IF(A2="","",J2-C2-D2)</f>
        <v>750</v>
      </c>
      <c r="J2" s="26">
        <f>IF(A2="","",IF(G2=0,C2+D2,C2*H2+IF(INPUTS!$C$12="Beginning",F2*(1+G2)*(H2-1)/G2,F2*(H2-1)/G2)))</f>
        <v>8250</v>
      </c>
      <c r="K2" s="26">
        <f>IF(A2="","",SUM($D$2:D2))</f>
        <v>7500</v>
      </c>
      <c r="L2" s="27">
        <f>IF(A2="","",(1+G2)^((Horizon_Rows+1-ROW())*E2)*IF(INPUTS!$C$12="Beginning",1+G2,1))</f>
        <v>66.26407607736661</v>
      </c>
      <c r="M2" s="7">
        <f>A2</f>
        <v>0</v>
      </c>
      <c r="N2" s="26">
        <f>D2</f>
        <v>7500</v>
      </c>
      <c r="O2" s="26">
        <f>IF(A2="","",F2*E2)</f>
        <v>7500</v>
      </c>
      <c r="P2" s="26">
        <f>IF(A2="","",ROUND(N2-O2,2))</f>
        <v>0</v>
      </c>
      <c r="Q2" s="21">
        <f>IF(A2="","",F2*IF(G2=0,E2,(H2-1)/G2)*L2)</f>
        <v>496980.57058024959</v>
      </c>
      <c r="R2" s="7" t="s">
        <v>266</v>
      </c>
      <c r="S2" s="7" t="str">
        <f>IF(INPUTS!C39="On","Every "&amp;INPUTS!C40&amp;" trading days",INPUTS!C9)</f>
        <v>Annual</v>
      </c>
      <c r="T2" s="27">
        <f>IF(A2="","",(1+'WHAT-IF SCENARIOS'!$B$8)^((Horizon_Rows+1-ROW())*E2+IF(INPUTS!$C$12="Beginning",1,0)))</f>
        <v>66.26407607736661</v>
      </c>
      <c r="U2" s="21">
        <f>IF(A2="","",D2*T2)</f>
        <v>496980.57058024959</v>
      </c>
      <c r="V2" s="27">
        <f>IF(A2="","",(1+'WHAT-IF SCENARIOS'!$B$25)^((Horizon_Rows+1-ROW())*E2+IF(INPUTS!$C$12="Beginning",1,0)))</f>
        <v>19.628459587545695</v>
      </c>
      <c r="W2" s="21">
        <f>IF(A2="","",D2*V2)</f>
        <v>147213.44690659273</v>
      </c>
      <c r="X2" s="27">
        <f>IF(A2="","",(1+'WHAT-IF SCENARIOS'!$B$27)^((Horizon_Rows+1-ROW())*E2+IF(INPUTS!$C$12="Beginning",1,0)))</f>
        <v>216.49681583330167</v>
      </c>
      <c r="Y2" s="21">
        <f>IF(A2="","",D2*X2)</f>
        <v>1623726.1187497624</v>
      </c>
      <c r="Z2" s="21">
        <f>IF(A2="","",IF(AND(A2&gt;='WHAT-IF SCENARIOS'!$B$41,A2&lt;'WHAT-IF SCENARIOS'!$B$41+'WHAT-IF SCENARIOS'!$B$42),0,D2))</f>
        <v>7500</v>
      </c>
      <c r="AA2" s="21">
        <f>IF(A2="","",Z2*L2)</f>
        <v>496980.57058024959</v>
      </c>
      <c r="AB2" s="21">
        <f>IF(A2="","",IF(B2&gt;'WHAT-IF SCENARIOS'!$B$49,0,D2))</f>
        <v>7500</v>
      </c>
      <c r="AC2" s="21">
        <f>IF(A2="","",AB2*L2)</f>
        <v>496980.57058024959</v>
      </c>
    </row>
    <row r="3" spans="1:29" ht="18" customHeight="1" x14ac:dyDescent="0.25">
      <c r="A3" s="7">
        <f>IF(ENGINE!A3="","",ENGINE!A3)</f>
        <v>1</v>
      </c>
      <c r="B3" s="7">
        <f>IF(A3="","",ENGINE!B3)</f>
        <v>23</v>
      </c>
      <c r="C3" s="7">
        <f>IF(A3="","",IF(A3=0,INPUTS!$C$8,J2))</f>
        <v>8250</v>
      </c>
      <c r="D3" s="7">
        <f>IF(A3="","",ENGINE!D3)</f>
        <v>7500</v>
      </c>
      <c r="E3" s="26">
        <f t="shared" ref="E3:E66" si="0">IF(A3="","",$S$3)</f>
        <v>1</v>
      </c>
      <c r="F3" s="26">
        <f t="shared" ref="F3:F66" si="1">IF(A3="","",D3/E3)</f>
        <v>7500</v>
      </c>
      <c r="G3" s="26">
        <f t="shared" ref="G3:G66" si="2">IF(A3="","",$S$5)</f>
        <v>0.10000000000000009</v>
      </c>
      <c r="H3" s="28">
        <f t="shared" ref="H3:H66" si="3">IF(A3="","",(1+G3)^E3)</f>
        <v>1.1000000000000001</v>
      </c>
      <c r="I3" s="26">
        <f t="shared" ref="I3:I66" si="4">IF(A3="","",J3-C3-D3)</f>
        <v>1575</v>
      </c>
      <c r="J3" s="26">
        <f>IF(A3="","",IF(G3=0,C3+D3,C3*H3+IF(INPUTS!$C$12="Beginning",F3*(1+G3)*(H3-1)/G3,F3*(H3-1)/G3)))</f>
        <v>17325</v>
      </c>
      <c r="K3" s="26">
        <f>IF(A3="","",SUM($D$2:D3))</f>
        <v>15000</v>
      </c>
      <c r="L3" s="7">
        <f>IF(A3="","",(1+G3)^((Horizon_Rows+1-ROW())*E3)*IF(INPUTS!$C$12="Beginning",1+G3,1))</f>
        <v>60.240069161242367</v>
      </c>
      <c r="M3" s="7">
        <f t="shared" ref="M3:M66" si="5">A3</f>
        <v>1</v>
      </c>
      <c r="N3" s="26">
        <f t="shared" ref="N3:N66" si="6">D3</f>
        <v>7500</v>
      </c>
      <c r="O3" s="26">
        <f t="shared" ref="O3:O66" si="7">IF(A3="","",F3*E3)</f>
        <v>7500</v>
      </c>
      <c r="P3" s="26">
        <f t="shared" ref="P3:P66" si="8">IF(A3="","",ROUND(N3-O3,2))</f>
        <v>0</v>
      </c>
      <c r="Q3" s="21">
        <f t="shared" ref="Q3:Q66" si="9">IF(A3="","",F3*IF(G3=0,E3,(H3-1)/G3)*L3)</f>
        <v>451800.51870931778</v>
      </c>
      <c r="R3" s="7" t="s">
        <v>267</v>
      </c>
      <c r="S3" s="7" cm="1">
        <f t="array" ref="S3">IF(INPUTS!C39="On",INPUTS!C41,_xlfn.SWITCH(INPUTS!C9,"Annual",1,"Semiannual",2,"Quarterly",4,"Monthly",12,"Biweekly",26,"Weekly",52,12))</f>
        <v>1</v>
      </c>
      <c r="T3" s="7">
        <f>IF(A3="","",(1+'WHAT-IF SCENARIOS'!$B$8)^((Horizon_Rows+1-ROW())*E3+IF(INPUTS!$C$12="Beginning",1,0)))</f>
        <v>60.240069161242374</v>
      </c>
      <c r="U3" s="7">
        <f t="shared" ref="U3:U66" si="10">IF(A3="","",D3*T3)</f>
        <v>451800.51870931778</v>
      </c>
      <c r="V3" s="7">
        <f>IF(A3="","",(1+'WHAT-IF SCENARIOS'!$B$25)^((Horizon_Rows+1-ROW())*E3+IF(INPUTS!$C$12="Beginning",1,0)))</f>
        <v>18.344354754715607</v>
      </c>
      <c r="W3" s="7">
        <f t="shared" ref="W3:W66" si="11">IF(A3="","",D3*V3)</f>
        <v>137582.66066036705</v>
      </c>
      <c r="X3" s="7">
        <f>IF(A3="","",(1+'WHAT-IF SCENARIOS'!$B$27)^((Horizon_Rows+1-ROW())*E3+IF(INPUTS!$C$12="Beginning",1,0)))</f>
        <v>191.59010250734664</v>
      </c>
      <c r="Y3" s="7">
        <f t="shared" ref="Y3:Y66" si="12">IF(A3="","",D3*X3)</f>
        <v>1436925.7688050999</v>
      </c>
      <c r="Z3" s="7">
        <f>IF(A3="","",IF(AND(A3&gt;='WHAT-IF SCENARIOS'!$B$41,A3&lt;'WHAT-IF SCENARIOS'!$B$41+'WHAT-IF SCENARIOS'!$B$42),0,D3))</f>
        <v>7500</v>
      </c>
      <c r="AA3" s="7">
        <f t="shared" ref="AA3:AA66" si="13">IF(A3="","",Z3*L3)</f>
        <v>451800.51870931778</v>
      </c>
      <c r="AB3" s="7">
        <f>IF(A3="","",IF(B3&gt;'WHAT-IF SCENARIOS'!$B$49,0,D3))</f>
        <v>7500</v>
      </c>
      <c r="AC3" s="7">
        <f t="shared" ref="AC3:AC66" si="14">IF(A3="","",AB3*L3)</f>
        <v>451800.51870931778</v>
      </c>
    </row>
    <row r="4" spans="1:29" ht="18" customHeight="1" x14ac:dyDescent="0.25">
      <c r="A4" s="7">
        <f>IF(ENGINE!A4="","",ENGINE!A4)</f>
        <v>2</v>
      </c>
      <c r="B4" s="7">
        <f>IF(A4="","",ENGINE!B4)</f>
        <v>24</v>
      </c>
      <c r="C4" s="7">
        <f>IF(A4="","",IF(A4=0,INPUTS!$C$8,J3))</f>
        <v>17325</v>
      </c>
      <c r="D4" s="7">
        <f>IF(A4="","",ENGINE!D4)</f>
        <v>8000</v>
      </c>
      <c r="E4" s="26">
        <f t="shared" si="0"/>
        <v>1</v>
      </c>
      <c r="F4" s="26">
        <f t="shared" si="1"/>
        <v>8000</v>
      </c>
      <c r="G4" s="26">
        <f t="shared" si="2"/>
        <v>0.10000000000000009</v>
      </c>
      <c r="H4" s="28">
        <f t="shared" si="3"/>
        <v>1.1000000000000001</v>
      </c>
      <c r="I4" s="26">
        <f t="shared" si="4"/>
        <v>2532.5</v>
      </c>
      <c r="J4" s="26">
        <f>IF(A4="","",IF(G4=0,C4+D4,C4*H4+IF(INPUTS!$C$12="Beginning",F4*(1+G4)*(H4-1)/G4,F4*(H4-1)/G4)))</f>
        <v>27857.5</v>
      </c>
      <c r="K4" s="26">
        <f>IF(A4="","",SUM($D$2:D4))</f>
        <v>23000</v>
      </c>
      <c r="L4" s="7">
        <f>IF(A4="","",(1+G4)^((Horizon_Rows+1-ROW())*E4)*IF(INPUTS!$C$12="Beginning",1+G4,1))</f>
        <v>54.763699237493057</v>
      </c>
      <c r="M4" s="7">
        <f t="shared" si="5"/>
        <v>2</v>
      </c>
      <c r="N4" s="26">
        <f t="shared" si="6"/>
        <v>8000</v>
      </c>
      <c r="O4" s="26">
        <f t="shared" si="7"/>
        <v>8000</v>
      </c>
      <c r="P4" s="26">
        <f t="shared" si="8"/>
        <v>0</v>
      </c>
      <c r="Q4" s="21">
        <f t="shared" si="9"/>
        <v>438109.59389994445</v>
      </c>
      <c r="R4" s="7" t="s">
        <v>268</v>
      </c>
      <c r="S4" s="28">
        <f>INPUTS!C10</f>
        <v>0.1</v>
      </c>
      <c r="T4" s="7">
        <f>IF(A4="","",(1+'WHAT-IF SCENARIOS'!$B$8)^((Horizon_Rows+1-ROW())*E4+IF(INPUTS!$C$12="Beginning",1,0)))</f>
        <v>54.763699237493057</v>
      </c>
      <c r="U4" s="7">
        <f t="shared" si="10"/>
        <v>438109.59389994445</v>
      </c>
      <c r="V4" s="7">
        <f>IF(A4="","",(1+'WHAT-IF SCENARIOS'!$B$25)^((Horizon_Rows+1-ROW())*E4+IF(INPUTS!$C$12="Beginning",1,0)))</f>
        <v>17.144256780108041</v>
      </c>
      <c r="W4" s="7">
        <f t="shared" si="11"/>
        <v>137154.05424086432</v>
      </c>
      <c r="X4" s="7">
        <f>IF(A4="","",(1+'WHAT-IF SCENARIOS'!$B$27)^((Horizon_Rows+1-ROW())*E4+IF(INPUTS!$C$12="Beginning",1,0)))</f>
        <v>169.54876328083776</v>
      </c>
      <c r="Y4" s="7">
        <f t="shared" si="12"/>
        <v>1356390.1062467021</v>
      </c>
      <c r="Z4" s="7">
        <f>IF(A4="","",IF(AND(A4&gt;='WHAT-IF SCENARIOS'!$B$41,A4&lt;'WHAT-IF SCENARIOS'!$B$41+'WHAT-IF SCENARIOS'!$B$42),0,D4))</f>
        <v>8000</v>
      </c>
      <c r="AA4" s="7">
        <f t="shared" si="13"/>
        <v>438109.59389994445</v>
      </c>
      <c r="AB4" s="7">
        <f>IF(A4="","",IF(B4&gt;'WHAT-IF SCENARIOS'!$B$49,0,D4))</f>
        <v>8000</v>
      </c>
      <c r="AC4" s="7">
        <f t="shared" si="14"/>
        <v>438109.59389994445</v>
      </c>
    </row>
    <row r="5" spans="1:29" ht="18" customHeight="1" x14ac:dyDescent="0.25">
      <c r="A5" s="7">
        <f>IF(ENGINE!A5="","",ENGINE!A5)</f>
        <v>3</v>
      </c>
      <c r="B5" s="7">
        <f>IF(A5="","",ENGINE!B5)</f>
        <v>25</v>
      </c>
      <c r="C5" s="7">
        <f>IF(A5="","",IF(A5=0,INPUTS!$C$8,J4))</f>
        <v>27857.5</v>
      </c>
      <c r="D5" s="7">
        <f>IF(A5="","",ENGINE!D5)</f>
        <v>8500</v>
      </c>
      <c r="E5" s="26">
        <f t="shared" si="0"/>
        <v>1</v>
      </c>
      <c r="F5" s="26">
        <f t="shared" si="1"/>
        <v>8500</v>
      </c>
      <c r="G5" s="26">
        <f t="shared" si="2"/>
        <v>0.10000000000000009</v>
      </c>
      <c r="H5" s="28">
        <f t="shared" si="3"/>
        <v>1.1000000000000001</v>
      </c>
      <c r="I5" s="26">
        <f t="shared" si="4"/>
        <v>3635.75</v>
      </c>
      <c r="J5" s="26">
        <f>IF(A5="","",IF(G5=0,C5+D5,C5*H5+IF(INPUTS!$C$12="Beginning",F5*(1+G5)*(H5-1)/G5,F5*(H5-1)/G5)))</f>
        <v>39993.25</v>
      </c>
      <c r="K5" s="26">
        <f>IF(A5="","",SUM($D$2:D5))</f>
        <v>31500</v>
      </c>
      <c r="L5" s="7">
        <f>IF(A5="","",(1+G5)^((Horizon_Rows+1-ROW())*E5)*IF(INPUTS!$C$12="Beginning",1+G5,1))</f>
        <v>49.785181124993684</v>
      </c>
      <c r="M5" s="7">
        <f t="shared" si="5"/>
        <v>3</v>
      </c>
      <c r="N5" s="26">
        <f t="shared" si="6"/>
        <v>8500</v>
      </c>
      <c r="O5" s="26">
        <f t="shared" si="7"/>
        <v>8500</v>
      </c>
      <c r="P5" s="26">
        <f t="shared" si="8"/>
        <v>0</v>
      </c>
      <c r="Q5" s="21">
        <f t="shared" si="9"/>
        <v>423174.0395624463</v>
      </c>
      <c r="R5" s="7" t="s">
        <v>269</v>
      </c>
      <c r="S5" s="28">
        <f>(1+S4)^(1/S3)-1</f>
        <v>0.10000000000000009</v>
      </c>
      <c r="T5" s="7">
        <f>IF(A5="","",(1+'WHAT-IF SCENARIOS'!$B$8)^((Horizon_Rows+1-ROW())*E5+IF(INPUTS!$C$12="Beginning",1,0)))</f>
        <v>49.785181124993684</v>
      </c>
      <c r="U5" s="7">
        <f t="shared" si="10"/>
        <v>423174.0395624463</v>
      </c>
      <c r="V5" s="7">
        <f>IF(A5="","",(1+'WHAT-IF SCENARIOS'!$B$25)^((Horizon_Rows+1-ROW())*E5+IF(INPUTS!$C$12="Beginning",1,0)))</f>
        <v>16.022669887951441</v>
      </c>
      <c r="W5" s="7">
        <f t="shared" si="11"/>
        <v>136192.69404758725</v>
      </c>
      <c r="X5" s="7">
        <f>IF(A5="","",(1+'WHAT-IF SCENARIOS'!$B$27)^((Horizon_Rows+1-ROW())*E5+IF(INPUTS!$C$12="Beginning",1,0)))</f>
        <v>150.04315334587415</v>
      </c>
      <c r="Y5" s="7">
        <f t="shared" si="12"/>
        <v>1275366.8034399303</v>
      </c>
      <c r="Z5" s="7">
        <f>IF(A5="","",IF(AND(A5&gt;='WHAT-IF SCENARIOS'!$B$41,A5&lt;'WHAT-IF SCENARIOS'!$B$41+'WHAT-IF SCENARIOS'!$B$42),0,D5))</f>
        <v>8500</v>
      </c>
      <c r="AA5" s="7">
        <f t="shared" si="13"/>
        <v>423174.0395624463</v>
      </c>
      <c r="AB5" s="7">
        <f>IF(A5="","",IF(B5&gt;'WHAT-IF SCENARIOS'!$B$49,0,D5))</f>
        <v>8500</v>
      </c>
      <c r="AC5" s="7">
        <f t="shared" si="14"/>
        <v>423174.0395624463</v>
      </c>
    </row>
    <row r="6" spans="1:29" ht="18" customHeight="1" x14ac:dyDescent="0.25">
      <c r="A6" s="7">
        <f>IF(ENGINE!A6="","",ENGINE!A6)</f>
        <v>4</v>
      </c>
      <c r="B6" s="7">
        <f>IF(A6="","",ENGINE!B6)</f>
        <v>26</v>
      </c>
      <c r="C6" s="7">
        <f>IF(A6="","",IF(A6=0,INPUTS!$C$8,J5))</f>
        <v>39993.25</v>
      </c>
      <c r="D6" s="7">
        <f>IF(A6="","",ENGINE!D6)</f>
        <v>9000</v>
      </c>
      <c r="E6" s="26">
        <f t="shared" si="0"/>
        <v>1</v>
      </c>
      <c r="F6" s="26">
        <f t="shared" si="1"/>
        <v>9000</v>
      </c>
      <c r="G6" s="26">
        <f t="shared" si="2"/>
        <v>0.10000000000000009</v>
      </c>
      <c r="H6" s="28">
        <f t="shared" si="3"/>
        <v>1.1000000000000001</v>
      </c>
      <c r="I6" s="26">
        <f t="shared" si="4"/>
        <v>4899.3250000000044</v>
      </c>
      <c r="J6" s="26">
        <f>IF(A6="","",IF(G6=0,C6+D6,C6*H6+IF(INPUTS!$C$12="Beginning",F6*(1+G6)*(H6-1)/G6,F6*(H6-1)/G6)))</f>
        <v>53892.575000000004</v>
      </c>
      <c r="K6" s="26">
        <f>IF(A6="","",SUM($D$2:D6))</f>
        <v>40500</v>
      </c>
      <c r="L6" s="7">
        <f>IF(A6="","",(1+G6)^((Horizon_Rows+1-ROW())*E6)*IF(INPUTS!$C$12="Beginning",1+G6,1))</f>
        <v>45.25925556817608</v>
      </c>
      <c r="M6" s="7">
        <f t="shared" si="5"/>
        <v>4</v>
      </c>
      <c r="N6" s="26">
        <f t="shared" si="6"/>
        <v>9000</v>
      </c>
      <c r="O6" s="26">
        <f t="shared" si="7"/>
        <v>9000</v>
      </c>
      <c r="P6" s="26">
        <f t="shared" si="8"/>
        <v>0</v>
      </c>
      <c r="Q6" s="21">
        <f t="shared" si="9"/>
        <v>407333.30011358473</v>
      </c>
      <c r="R6" s="7" t="s">
        <v>270</v>
      </c>
      <c r="S6" s="7" t="str">
        <f>INPUTS!C12</f>
        <v>Beginning</v>
      </c>
      <c r="T6" s="7">
        <f>IF(A6="","",(1+'WHAT-IF SCENARIOS'!$B$8)^((Horizon_Rows+1-ROW())*E6+IF(INPUTS!$C$12="Beginning",1,0)))</f>
        <v>45.259255568176073</v>
      </c>
      <c r="U6" s="7">
        <f t="shared" si="10"/>
        <v>407333.30011358467</v>
      </c>
      <c r="V6" s="7">
        <f>IF(A6="","",(1+'WHAT-IF SCENARIOS'!$B$25)^((Horizon_Rows+1-ROW())*E6+IF(INPUTS!$C$12="Beginning",1,0)))</f>
        <v>14.974457839206954</v>
      </c>
      <c r="W6" s="7">
        <f t="shared" si="11"/>
        <v>134770.12055286259</v>
      </c>
      <c r="X6" s="7">
        <f>IF(A6="","",(1+'WHAT-IF SCENARIOS'!$B$27)^((Horizon_Rows+1-ROW())*E6+IF(INPUTS!$C$12="Beginning",1,0)))</f>
        <v>132.78155163351695</v>
      </c>
      <c r="Y6" s="7">
        <f t="shared" si="12"/>
        <v>1195033.9647016525</v>
      </c>
      <c r="Z6" s="7">
        <f>IF(A6="","",IF(AND(A6&gt;='WHAT-IF SCENARIOS'!$B$41,A6&lt;'WHAT-IF SCENARIOS'!$B$41+'WHAT-IF SCENARIOS'!$B$42),0,D6))</f>
        <v>9000</v>
      </c>
      <c r="AA6" s="7">
        <f t="shared" si="13"/>
        <v>407333.30011358473</v>
      </c>
      <c r="AB6" s="7">
        <f>IF(A6="","",IF(B6&gt;'WHAT-IF SCENARIOS'!$B$49,0,D6))</f>
        <v>9000</v>
      </c>
      <c r="AC6" s="7">
        <f t="shared" si="14"/>
        <v>407333.30011358473</v>
      </c>
    </row>
    <row r="7" spans="1:29" ht="18" customHeight="1" x14ac:dyDescent="0.25">
      <c r="A7" s="7">
        <f>IF(ENGINE!A7="","",ENGINE!A7)</f>
        <v>5</v>
      </c>
      <c r="B7" s="7">
        <f>IF(A7="","",ENGINE!B7)</f>
        <v>27</v>
      </c>
      <c r="C7" s="7">
        <f>IF(A7="","",IF(A7=0,INPUTS!$C$8,J6))</f>
        <v>53892.575000000004</v>
      </c>
      <c r="D7" s="7">
        <f>IF(A7="","",ENGINE!D7)</f>
        <v>10000</v>
      </c>
      <c r="E7" s="26">
        <f t="shared" si="0"/>
        <v>1</v>
      </c>
      <c r="F7" s="26">
        <f t="shared" si="1"/>
        <v>10000</v>
      </c>
      <c r="G7" s="26">
        <f t="shared" si="2"/>
        <v>0.10000000000000009</v>
      </c>
      <c r="H7" s="28">
        <f t="shared" si="3"/>
        <v>1.1000000000000001</v>
      </c>
      <c r="I7" s="26">
        <f t="shared" si="4"/>
        <v>6389.2575000000143</v>
      </c>
      <c r="J7" s="26">
        <f>IF(A7="","",IF(G7=0,C7+D7,C7*H7+IF(INPUTS!$C$12="Beginning",F7*(1+G7)*(H7-1)/G7,F7*(H7-1)/G7)))</f>
        <v>70281.832500000019</v>
      </c>
      <c r="K7" s="26">
        <f>IF(A7="","",SUM($D$2:D7))</f>
        <v>50500</v>
      </c>
      <c r="L7" s="7">
        <f>IF(A7="","",(1+G7)^((Horizon_Rows+1-ROW())*E7)*IF(INPUTS!$C$12="Beginning",1+G7,1))</f>
        <v>41.144777789250981</v>
      </c>
      <c r="M7" s="7">
        <f t="shared" si="5"/>
        <v>5</v>
      </c>
      <c r="N7" s="26">
        <f t="shared" si="6"/>
        <v>10000</v>
      </c>
      <c r="O7" s="26">
        <f t="shared" si="7"/>
        <v>10000</v>
      </c>
      <c r="P7" s="26">
        <f t="shared" si="8"/>
        <v>0</v>
      </c>
      <c r="Q7" s="21">
        <f t="shared" si="9"/>
        <v>411447.77789250982</v>
      </c>
      <c r="R7" s="7"/>
      <c r="S7" s="7"/>
      <c r="T7" s="7">
        <f>IF(A7="","",(1+'WHAT-IF SCENARIOS'!$B$8)^((Horizon_Rows+1-ROW())*E7+IF(INPUTS!$C$12="Beginning",1,0)))</f>
        <v>41.144777789250981</v>
      </c>
      <c r="U7" s="7">
        <f t="shared" si="10"/>
        <v>411447.77789250982</v>
      </c>
      <c r="V7" s="7">
        <f>IF(A7="","",(1+'WHAT-IF SCENARIOS'!$B$25)^((Horizon_Rows+1-ROW())*E7+IF(INPUTS!$C$12="Beginning",1,0)))</f>
        <v>13.994820410473789</v>
      </c>
      <c r="W7" s="7">
        <f t="shared" si="11"/>
        <v>139948.2041047379</v>
      </c>
      <c r="X7" s="7">
        <f>IF(A7="","",(1+'WHAT-IF SCENARIOS'!$B$27)^((Horizon_Rows+1-ROW())*E7+IF(INPUTS!$C$12="Beginning",1,0)))</f>
        <v>117.50579790576721</v>
      </c>
      <c r="Y7" s="7">
        <f t="shared" si="12"/>
        <v>1175057.9790576722</v>
      </c>
      <c r="Z7" s="7">
        <f>IF(A7="","",IF(AND(A7&gt;='WHAT-IF SCENARIOS'!$B$41,A7&lt;'WHAT-IF SCENARIOS'!$B$41+'WHAT-IF SCENARIOS'!$B$42),0,D7))</f>
        <v>10000</v>
      </c>
      <c r="AA7" s="7">
        <f t="shared" si="13"/>
        <v>411447.77789250982</v>
      </c>
      <c r="AB7" s="7">
        <f>IF(A7="","",IF(B7&gt;'WHAT-IF SCENARIOS'!$B$49,0,D7))</f>
        <v>10000</v>
      </c>
      <c r="AC7" s="7">
        <f t="shared" si="14"/>
        <v>411447.77789250982</v>
      </c>
    </row>
    <row r="8" spans="1:29" ht="18" customHeight="1" x14ac:dyDescent="0.25">
      <c r="A8" s="7">
        <f>IF(ENGINE!A8="","",ENGINE!A8)</f>
        <v>6</v>
      </c>
      <c r="B8" s="7">
        <f>IF(A8="","",ENGINE!B8)</f>
        <v>28</v>
      </c>
      <c r="C8" s="7">
        <f>IF(A8="","",IF(A8=0,INPUTS!$C$8,J7))</f>
        <v>70281.832500000019</v>
      </c>
      <c r="D8" s="7">
        <f>IF(A8="","",ENGINE!D8)</f>
        <v>10500</v>
      </c>
      <c r="E8" s="26">
        <f t="shared" si="0"/>
        <v>1</v>
      </c>
      <c r="F8" s="26">
        <f t="shared" si="1"/>
        <v>10500</v>
      </c>
      <c r="G8" s="26">
        <f t="shared" si="2"/>
        <v>0.10000000000000009</v>
      </c>
      <c r="H8" s="28">
        <f t="shared" si="3"/>
        <v>1.1000000000000001</v>
      </c>
      <c r="I8" s="26">
        <f t="shared" si="4"/>
        <v>8078.1832500000019</v>
      </c>
      <c r="J8" s="26">
        <f>IF(A8="","",IF(G8=0,C8+D8,C8*H8+IF(INPUTS!$C$12="Beginning",F8*(1+G8)*(H8-1)/G8,F8*(H8-1)/G8)))</f>
        <v>88860.01575000002</v>
      </c>
      <c r="K8" s="26">
        <f>IF(A8="","",SUM($D$2:D8))</f>
        <v>61000</v>
      </c>
      <c r="L8" s="7">
        <f>IF(A8="","",(1+G8)^((Horizon_Rows+1-ROW())*E8)*IF(INPUTS!$C$12="Beginning",1+G8,1))</f>
        <v>37.404343444773609</v>
      </c>
      <c r="M8" s="7">
        <f t="shared" si="5"/>
        <v>6</v>
      </c>
      <c r="N8" s="26">
        <f t="shared" si="6"/>
        <v>10500</v>
      </c>
      <c r="O8" s="26">
        <f t="shared" si="7"/>
        <v>10500</v>
      </c>
      <c r="P8" s="26">
        <f t="shared" si="8"/>
        <v>0</v>
      </c>
      <c r="Q8" s="21">
        <f t="shared" si="9"/>
        <v>392745.60617012292</v>
      </c>
      <c r="R8" s="7" t="s">
        <v>271</v>
      </c>
      <c r="S8" s="26">
        <f>MAX(MAX(P2:P102),-MIN(P2:P102))</f>
        <v>0</v>
      </c>
      <c r="T8" s="7">
        <f>IF(A8="","",(1+'WHAT-IF SCENARIOS'!$B$8)^((Horizon_Rows+1-ROW())*E8+IF(INPUTS!$C$12="Beginning",1,0)))</f>
        <v>37.404343444773616</v>
      </c>
      <c r="U8" s="7">
        <f t="shared" si="10"/>
        <v>392745.60617012298</v>
      </c>
      <c r="V8" s="7">
        <f>IF(A8="","",(1+'WHAT-IF SCENARIOS'!$B$25)^((Horizon_Rows+1-ROW())*E8+IF(INPUTS!$C$12="Beginning",1,0)))</f>
        <v>13.079271411657746</v>
      </c>
      <c r="W8" s="7">
        <f t="shared" si="11"/>
        <v>137332.34982240634</v>
      </c>
      <c r="X8" s="7">
        <f>IF(A8="","",(1+'WHAT-IF SCENARIOS'!$B$27)^((Horizon_Rows+1-ROW())*E8+IF(INPUTS!$C$12="Beginning",1,0)))</f>
        <v>103.98743177501524</v>
      </c>
      <c r="Y8" s="7">
        <f t="shared" si="12"/>
        <v>1091868.0336376601</v>
      </c>
      <c r="Z8" s="7">
        <f>IF(A8="","",IF(AND(A8&gt;='WHAT-IF SCENARIOS'!$B$41,A8&lt;'WHAT-IF SCENARIOS'!$B$41+'WHAT-IF SCENARIOS'!$B$42),0,D8))</f>
        <v>10500</v>
      </c>
      <c r="AA8" s="7">
        <f t="shared" si="13"/>
        <v>392745.60617012292</v>
      </c>
      <c r="AB8" s="7">
        <f>IF(A8="","",IF(B8&gt;'WHAT-IF SCENARIOS'!$B$49,0,D8))</f>
        <v>10500</v>
      </c>
      <c r="AC8" s="7">
        <f t="shared" si="14"/>
        <v>392745.60617012292</v>
      </c>
    </row>
    <row r="9" spans="1:29" ht="18" customHeight="1" x14ac:dyDescent="0.25">
      <c r="A9" s="7">
        <f>IF(ENGINE!A9="","",ENGINE!A9)</f>
        <v>7</v>
      </c>
      <c r="B9" s="7">
        <f>IF(A9="","",ENGINE!B9)</f>
        <v>29</v>
      </c>
      <c r="C9" s="7">
        <f>IF(A9="","",IF(A9=0,INPUTS!$C$8,J8))</f>
        <v>88860.01575000002</v>
      </c>
      <c r="D9" s="7">
        <f>IF(A9="","",ENGINE!D9)</f>
        <v>11000</v>
      </c>
      <c r="E9" s="26">
        <f t="shared" si="0"/>
        <v>1</v>
      </c>
      <c r="F9" s="26">
        <f t="shared" si="1"/>
        <v>11000</v>
      </c>
      <c r="G9" s="26">
        <f t="shared" si="2"/>
        <v>0.10000000000000009</v>
      </c>
      <c r="H9" s="28">
        <f t="shared" si="3"/>
        <v>1.1000000000000001</v>
      </c>
      <c r="I9" s="26">
        <f t="shared" si="4"/>
        <v>9986.0015750000166</v>
      </c>
      <c r="J9" s="26">
        <f>IF(A9="","",IF(G9=0,C9+D9,C9*H9+IF(INPUTS!$C$12="Beginning",F9*(1+G9)*(H9-1)/G9,F9*(H9-1)/G9)))</f>
        <v>109846.01732500004</v>
      </c>
      <c r="K9" s="26">
        <f>IF(A9="","",SUM($D$2:D9))</f>
        <v>72000</v>
      </c>
      <c r="L9" s="7">
        <f>IF(A9="","",(1+G9)^((Horizon_Rows+1-ROW())*E9)*IF(INPUTS!$C$12="Beginning",1+G9,1))</f>
        <v>34.003948586157826</v>
      </c>
      <c r="M9" s="7">
        <f t="shared" si="5"/>
        <v>7</v>
      </c>
      <c r="N9" s="26">
        <f t="shared" si="6"/>
        <v>11000</v>
      </c>
      <c r="O9" s="26">
        <f t="shared" si="7"/>
        <v>11000</v>
      </c>
      <c r="P9" s="26">
        <f t="shared" si="8"/>
        <v>0</v>
      </c>
      <c r="Q9" s="21">
        <f t="shared" si="9"/>
        <v>374043.43444773607</v>
      </c>
      <c r="R9" s="7"/>
      <c r="S9" s="29"/>
      <c r="T9" s="7">
        <f>IF(A9="","",(1+'WHAT-IF SCENARIOS'!$B$8)^((Horizon_Rows+1-ROW())*E9+IF(INPUTS!$C$12="Beginning",1,0)))</f>
        <v>34.003948586157826</v>
      </c>
      <c r="U9" s="7">
        <f t="shared" si="10"/>
        <v>374043.43444773607</v>
      </c>
      <c r="V9" s="7">
        <f>IF(A9="","",(1+'WHAT-IF SCENARIOS'!$B$25)^((Horizon_Rows+1-ROW())*E9+IF(INPUTS!$C$12="Beginning",1,0)))</f>
        <v>12.223618141736212</v>
      </c>
      <c r="W9" s="7">
        <f t="shared" si="11"/>
        <v>134459.79955909835</v>
      </c>
      <c r="X9" s="7">
        <f>IF(A9="","",(1+'WHAT-IF SCENARIOS'!$B$27)^((Horizon_Rows+1-ROW())*E9+IF(INPUTS!$C$12="Beginning",1,0)))</f>
        <v>92.024275907093156</v>
      </c>
      <c r="Y9" s="7">
        <f t="shared" si="12"/>
        <v>1012267.0349780247</v>
      </c>
      <c r="Z9" s="7">
        <f>IF(A9="","",IF(AND(A9&gt;='WHAT-IF SCENARIOS'!$B$41,A9&lt;'WHAT-IF SCENARIOS'!$B$41+'WHAT-IF SCENARIOS'!$B$42),0,D9))</f>
        <v>11000</v>
      </c>
      <c r="AA9" s="7">
        <f t="shared" si="13"/>
        <v>374043.43444773607</v>
      </c>
      <c r="AB9" s="7">
        <f>IF(A9="","",IF(B9&gt;'WHAT-IF SCENARIOS'!$B$49,0,D9))</f>
        <v>11000</v>
      </c>
      <c r="AC9" s="7">
        <f t="shared" si="14"/>
        <v>374043.43444773607</v>
      </c>
    </row>
    <row r="10" spans="1:29" ht="18" customHeight="1" x14ac:dyDescent="0.25">
      <c r="A10" s="7">
        <f>IF(ENGINE!A10="","",ENGINE!A10)</f>
        <v>8</v>
      </c>
      <c r="B10" s="7">
        <f>IF(A10="","",ENGINE!B10)</f>
        <v>30</v>
      </c>
      <c r="C10" s="7">
        <f>IF(A10="","",IF(A10=0,INPUTS!$C$8,J9))</f>
        <v>109846.01732500004</v>
      </c>
      <c r="D10" s="7">
        <f>IF(A10="","",ENGINE!D10)</f>
        <v>11500</v>
      </c>
      <c r="E10" s="26">
        <f t="shared" si="0"/>
        <v>1</v>
      </c>
      <c r="F10" s="26">
        <f t="shared" si="1"/>
        <v>11500</v>
      </c>
      <c r="G10" s="26">
        <f t="shared" si="2"/>
        <v>0.10000000000000009</v>
      </c>
      <c r="H10" s="28">
        <f t="shared" si="3"/>
        <v>1.1000000000000001</v>
      </c>
      <c r="I10" s="26">
        <f t="shared" si="4"/>
        <v>12134.601732500028</v>
      </c>
      <c r="J10" s="26">
        <f>IF(A10="","",IF(G10=0,C10+D10,C10*H10+IF(INPUTS!$C$12="Beginning",F10*(1+G10)*(H10-1)/G10,F10*(H10-1)/G10)))</f>
        <v>133480.61905750007</v>
      </c>
      <c r="K10" s="26">
        <f>IF(A10="","",SUM($D$2:D10))</f>
        <v>83500</v>
      </c>
      <c r="L10" s="7">
        <f>IF(A10="","",(1+G10)^((Horizon_Rows+1-ROW())*E10)*IF(INPUTS!$C$12="Beginning",1+G10,1))</f>
        <v>30.912680532870752</v>
      </c>
      <c r="M10" s="7">
        <f t="shared" si="5"/>
        <v>8</v>
      </c>
      <c r="N10" s="26">
        <f t="shared" si="6"/>
        <v>11500</v>
      </c>
      <c r="O10" s="26">
        <f t="shared" si="7"/>
        <v>11500</v>
      </c>
      <c r="P10" s="26">
        <f t="shared" si="8"/>
        <v>0</v>
      </c>
      <c r="Q10" s="21">
        <f t="shared" si="9"/>
        <v>355495.82612801366</v>
      </c>
      <c r="R10" s="7" t="s">
        <v>357</v>
      </c>
      <c r="S10" s="24" cm="1">
        <f t="array" ref="S10">SUM($Q$2:$Q$102)+INPUTS!$C$8*(1+S5)^(Horizon_Rows*S3)-INDEX($J$2:$J$102,Horizon_Rows)</f>
        <v>0</v>
      </c>
      <c r="T10" s="7">
        <f>IF(A10="","",(1+'WHAT-IF SCENARIOS'!$B$8)^((Horizon_Rows+1-ROW())*E10+IF(INPUTS!$C$12="Beginning",1,0)))</f>
        <v>30.912680532870748</v>
      </c>
      <c r="U10" s="7">
        <f t="shared" si="10"/>
        <v>355495.82612801361</v>
      </c>
      <c r="V10" s="7">
        <f>IF(A10="","",(1+'WHAT-IF SCENARIOS'!$B$25)^((Horizon_Rows+1-ROW())*E10+IF(INPUTS!$C$12="Beginning",1,0)))</f>
        <v>11.423942188538515</v>
      </c>
      <c r="W10" s="7">
        <f t="shared" si="11"/>
        <v>131375.33516819292</v>
      </c>
      <c r="X10" s="7">
        <f>IF(A10="","",(1+'WHAT-IF SCENARIOS'!$B$27)^((Horizon_Rows+1-ROW())*E10+IF(INPUTS!$C$12="Beginning",1,0)))</f>
        <v>81.437412307162091</v>
      </c>
      <c r="Y10" s="7">
        <f t="shared" si="12"/>
        <v>936530.24153236405</v>
      </c>
      <c r="Z10" s="7">
        <f>IF(A10="","",IF(AND(A10&gt;='WHAT-IF SCENARIOS'!$B$41,A10&lt;'WHAT-IF SCENARIOS'!$B$41+'WHAT-IF SCENARIOS'!$B$42),0,D10))</f>
        <v>11500</v>
      </c>
      <c r="AA10" s="7">
        <f t="shared" si="13"/>
        <v>355495.82612801366</v>
      </c>
      <c r="AB10" s="7">
        <f>IF(A10="","",IF(B10&gt;'WHAT-IF SCENARIOS'!$B$49,0,D10))</f>
        <v>11500</v>
      </c>
      <c r="AC10" s="7">
        <f t="shared" si="14"/>
        <v>355495.82612801366</v>
      </c>
    </row>
    <row r="11" spans="1:29" ht="18" customHeight="1" x14ac:dyDescent="0.25">
      <c r="A11" s="7">
        <f>IF(ENGINE!A11="","",ENGINE!A11)</f>
        <v>9</v>
      </c>
      <c r="B11" s="7">
        <f>IF(A11="","",ENGINE!B11)</f>
        <v>31</v>
      </c>
      <c r="C11" s="7">
        <f>IF(A11="","",IF(A11=0,INPUTS!$C$8,J10))</f>
        <v>133480.61905750007</v>
      </c>
      <c r="D11" s="7">
        <f>IF(A11="","",ENGINE!D11)</f>
        <v>12500</v>
      </c>
      <c r="E11" s="26">
        <f t="shared" si="0"/>
        <v>1</v>
      </c>
      <c r="F11" s="26">
        <f t="shared" si="1"/>
        <v>12500</v>
      </c>
      <c r="G11" s="26">
        <f t="shared" si="2"/>
        <v>0.10000000000000009</v>
      </c>
      <c r="H11" s="28">
        <f t="shared" si="3"/>
        <v>1.1000000000000001</v>
      </c>
      <c r="I11" s="26">
        <f t="shared" si="4"/>
        <v>14598.061905750015</v>
      </c>
      <c r="J11" s="26">
        <f>IF(A11="","",IF(G11=0,C11+D11,C11*H11+IF(INPUTS!$C$12="Beginning",F11*(1+G11)*(H11-1)/G11,F11*(H11-1)/G11)))</f>
        <v>160578.68096325008</v>
      </c>
      <c r="K11" s="26">
        <f>IF(A11="","",SUM($D$2:D11))</f>
        <v>96000</v>
      </c>
      <c r="L11" s="7">
        <f>IF(A11="","",(1+G11)^((Horizon_Rows+1-ROW())*E11)*IF(INPUTS!$C$12="Beginning",1+G11,1))</f>
        <v>28.102436848064315</v>
      </c>
      <c r="M11" s="7">
        <f t="shared" si="5"/>
        <v>9</v>
      </c>
      <c r="N11" s="26">
        <f t="shared" si="6"/>
        <v>12500</v>
      </c>
      <c r="O11" s="26">
        <f t="shared" si="7"/>
        <v>12500</v>
      </c>
      <c r="P11" s="26">
        <f t="shared" si="8"/>
        <v>0</v>
      </c>
      <c r="Q11" s="21">
        <f t="shared" si="9"/>
        <v>351280.46060080396</v>
      </c>
      <c r="R11" s="7"/>
      <c r="S11" s="7"/>
      <c r="T11" s="7">
        <f>IF(A11="","",(1+'WHAT-IF SCENARIOS'!$B$8)^((Horizon_Rows+1-ROW())*E11+IF(INPUTS!$C$12="Beginning",1,0)))</f>
        <v>28.102436848064318</v>
      </c>
      <c r="U11" s="7">
        <f t="shared" si="10"/>
        <v>351280.46060080396</v>
      </c>
      <c r="V11" s="7">
        <f>IF(A11="","",(1+'WHAT-IF SCENARIOS'!$B$25)^((Horizon_Rows+1-ROW())*E11+IF(INPUTS!$C$12="Beginning",1,0)))</f>
        <v>10.676581484615435</v>
      </c>
      <c r="W11" s="7">
        <f t="shared" si="11"/>
        <v>133457.26855769294</v>
      </c>
      <c r="X11" s="7">
        <f>IF(A11="","",(1+'WHAT-IF SCENARIOS'!$B$27)^((Horizon_Rows+1-ROW())*E11+IF(INPUTS!$C$12="Beginning",1,0)))</f>
        <v>72.068506466515132</v>
      </c>
      <c r="Y11" s="7">
        <f t="shared" si="12"/>
        <v>900856.33083143912</v>
      </c>
      <c r="Z11" s="7">
        <f>IF(A11="","",IF(AND(A11&gt;='WHAT-IF SCENARIOS'!$B$41,A11&lt;'WHAT-IF SCENARIOS'!$B$41+'WHAT-IF SCENARIOS'!$B$42),0,D11))</f>
        <v>12500</v>
      </c>
      <c r="AA11" s="7">
        <f t="shared" si="13"/>
        <v>351280.46060080396</v>
      </c>
      <c r="AB11" s="7">
        <f>IF(A11="","",IF(B11&gt;'WHAT-IF SCENARIOS'!$B$49,0,D11))</f>
        <v>12500</v>
      </c>
      <c r="AC11" s="7">
        <f t="shared" si="14"/>
        <v>351280.46060080396</v>
      </c>
    </row>
    <row r="12" spans="1:29" ht="18" customHeight="1" x14ac:dyDescent="0.25">
      <c r="A12" s="7">
        <f>IF(ENGINE!A12="","",ENGINE!A12)</f>
        <v>10</v>
      </c>
      <c r="B12" s="7">
        <f>IF(A12="","",ENGINE!B12)</f>
        <v>32</v>
      </c>
      <c r="C12" s="7">
        <f>IF(A12="","",IF(A12=0,INPUTS!$C$8,J11))</f>
        <v>160578.68096325008</v>
      </c>
      <c r="D12" s="7">
        <f>IF(A12="","",ENGINE!D12)</f>
        <v>13000</v>
      </c>
      <c r="E12" s="26">
        <f t="shared" si="0"/>
        <v>1</v>
      </c>
      <c r="F12" s="26">
        <f t="shared" si="1"/>
        <v>13000</v>
      </c>
      <c r="G12" s="26">
        <f t="shared" si="2"/>
        <v>0.10000000000000009</v>
      </c>
      <c r="H12" s="28">
        <f t="shared" si="3"/>
        <v>1.1000000000000001</v>
      </c>
      <c r="I12" s="26">
        <f t="shared" si="4"/>
        <v>17357.868096325023</v>
      </c>
      <c r="J12" s="26">
        <f>IF(A12="","",IF(G12=0,C12+D12,C12*H12+IF(INPUTS!$C$12="Beginning",F12*(1+G12)*(H12-1)/G12,F12*(H12-1)/G12)))</f>
        <v>190936.5490595751</v>
      </c>
      <c r="K12" s="26">
        <f>IF(A12="","",SUM($D$2:D12))</f>
        <v>109000</v>
      </c>
      <c r="L12" s="7">
        <f>IF(A12="","",(1+G12)^((Horizon_Rows+1-ROW())*E12)*IF(INPUTS!$C$12="Beginning",1+G12,1))</f>
        <v>25.547669861876649</v>
      </c>
      <c r="M12" s="7">
        <f t="shared" si="5"/>
        <v>10</v>
      </c>
      <c r="N12" s="26">
        <f t="shared" si="6"/>
        <v>13000</v>
      </c>
      <c r="O12" s="26">
        <f t="shared" si="7"/>
        <v>13000</v>
      </c>
      <c r="P12" s="26">
        <f t="shared" si="8"/>
        <v>0</v>
      </c>
      <c r="Q12" s="21">
        <f t="shared" si="9"/>
        <v>332119.70820439642</v>
      </c>
      <c r="R12" s="7"/>
      <c r="S12" s="7"/>
      <c r="T12" s="7">
        <f>IF(A12="","",(1+'WHAT-IF SCENARIOS'!$B$8)^((Horizon_Rows+1-ROW())*E12+IF(INPUTS!$C$12="Beginning",1,0)))</f>
        <v>25.547669861876649</v>
      </c>
      <c r="U12" s="7">
        <f t="shared" si="10"/>
        <v>332119.70820439642</v>
      </c>
      <c r="V12" s="7">
        <f>IF(A12="","",(1+'WHAT-IF SCENARIOS'!$B$25)^((Horizon_Rows+1-ROW())*E12+IF(INPUTS!$C$12="Beginning",1,0)))</f>
        <v>9.9781135370237699</v>
      </c>
      <c r="W12" s="7">
        <f t="shared" si="11"/>
        <v>129715.47598130901</v>
      </c>
      <c r="X12" s="7">
        <f>IF(A12="","",(1+'WHAT-IF SCENARIOS'!$B$27)^((Horizon_Rows+1-ROW())*E12+IF(INPUTS!$C$12="Beginning",1,0)))</f>
        <v>63.777439350898355</v>
      </c>
      <c r="Y12" s="7">
        <f t="shared" si="12"/>
        <v>829106.71156167856</v>
      </c>
      <c r="Z12" s="7">
        <f>IF(A12="","",IF(AND(A12&gt;='WHAT-IF SCENARIOS'!$B$41,A12&lt;'WHAT-IF SCENARIOS'!$B$41+'WHAT-IF SCENARIOS'!$B$42),0,D12))</f>
        <v>13000</v>
      </c>
      <c r="AA12" s="7">
        <f t="shared" si="13"/>
        <v>332119.70820439642</v>
      </c>
      <c r="AB12" s="7">
        <f>IF(A12="","",IF(B12&gt;'WHAT-IF SCENARIOS'!$B$49,0,D12))</f>
        <v>13000</v>
      </c>
      <c r="AC12" s="7">
        <f t="shared" si="14"/>
        <v>332119.70820439642</v>
      </c>
    </row>
    <row r="13" spans="1:29" ht="18" customHeight="1" x14ac:dyDescent="0.25">
      <c r="A13" s="7">
        <f>IF(ENGINE!A13="","",ENGINE!A13)</f>
        <v>11</v>
      </c>
      <c r="B13" s="7">
        <f>IF(A13="","",ENGINE!B13)</f>
        <v>33</v>
      </c>
      <c r="C13" s="7">
        <f>IF(A13="","",IF(A13=0,INPUTS!$C$8,J12))</f>
        <v>190936.5490595751</v>
      </c>
      <c r="D13" s="7">
        <f>IF(A13="","",ENGINE!D13)</f>
        <v>14000</v>
      </c>
      <c r="E13" s="26">
        <f t="shared" si="0"/>
        <v>1</v>
      </c>
      <c r="F13" s="26">
        <f t="shared" si="1"/>
        <v>14000</v>
      </c>
      <c r="G13" s="26">
        <f t="shared" si="2"/>
        <v>0.10000000000000009</v>
      </c>
      <c r="H13" s="28">
        <f t="shared" si="3"/>
        <v>1.1000000000000001</v>
      </c>
      <c r="I13" s="26">
        <f t="shared" si="4"/>
        <v>20493.654905957519</v>
      </c>
      <c r="J13" s="26">
        <f>IF(A13="","",IF(G13=0,C13+D13,C13*H13+IF(INPUTS!$C$12="Beginning",F13*(1+G13)*(H13-1)/G13,F13*(H13-1)/G13)))</f>
        <v>225430.20396553262</v>
      </c>
      <c r="K13" s="26">
        <f>IF(A13="","",SUM($D$2:D13))</f>
        <v>123000</v>
      </c>
      <c r="L13" s="7">
        <f>IF(A13="","",(1+G13)^((Horizon_Rows+1-ROW())*E13)*IF(INPUTS!$C$12="Beginning",1+G13,1))</f>
        <v>23.225154419887861</v>
      </c>
      <c r="M13" s="7">
        <f t="shared" si="5"/>
        <v>11</v>
      </c>
      <c r="N13" s="26">
        <f t="shared" si="6"/>
        <v>14000</v>
      </c>
      <c r="O13" s="26">
        <f t="shared" si="7"/>
        <v>14000</v>
      </c>
      <c r="P13" s="26">
        <f t="shared" si="8"/>
        <v>0</v>
      </c>
      <c r="Q13" s="21">
        <f t="shared" si="9"/>
        <v>325152.16187843005</v>
      </c>
      <c r="R13" s="7"/>
      <c r="S13" s="7"/>
      <c r="T13" s="7">
        <f>IF(A13="","",(1+'WHAT-IF SCENARIOS'!$B$8)^((Horizon_Rows+1-ROW())*E13+IF(INPUTS!$C$12="Beginning",1,0)))</f>
        <v>23.225154419887861</v>
      </c>
      <c r="U13" s="7">
        <f t="shared" si="10"/>
        <v>325152.16187843005</v>
      </c>
      <c r="V13" s="7">
        <f>IF(A13="","",(1+'WHAT-IF SCENARIOS'!$B$25)^((Horizon_Rows+1-ROW())*E13+IF(INPUTS!$C$12="Beginning",1,0)))</f>
        <v>9.3253397542278229</v>
      </c>
      <c r="W13" s="7">
        <f t="shared" si="11"/>
        <v>130554.75655918953</v>
      </c>
      <c r="X13" s="7">
        <f>IF(A13="","",(1+'WHAT-IF SCENARIOS'!$B$27)^((Horizon_Rows+1-ROW())*E13+IF(INPUTS!$C$12="Beginning",1,0)))</f>
        <v>56.440211814954303</v>
      </c>
      <c r="Y13" s="7">
        <f t="shared" si="12"/>
        <v>790162.96540936024</v>
      </c>
      <c r="Z13" s="7">
        <f>IF(A13="","",IF(AND(A13&gt;='WHAT-IF SCENARIOS'!$B$41,A13&lt;'WHAT-IF SCENARIOS'!$B$41+'WHAT-IF SCENARIOS'!$B$42),0,D13))</f>
        <v>14000</v>
      </c>
      <c r="AA13" s="7">
        <f t="shared" si="13"/>
        <v>325152.16187843005</v>
      </c>
      <c r="AB13" s="7">
        <f>IF(A13="","",IF(B13&gt;'WHAT-IF SCENARIOS'!$B$49,0,D13))</f>
        <v>14000</v>
      </c>
      <c r="AC13" s="7">
        <f t="shared" si="14"/>
        <v>325152.16187843005</v>
      </c>
    </row>
    <row r="14" spans="1:29" ht="18" customHeight="1" x14ac:dyDescent="0.25">
      <c r="A14" s="7">
        <f>IF(ENGINE!A14="","",ENGINE!A14)</f>
        <v>12</v>
      </c>
      <c r="B14" s="7">
        <f>IF(A14="","",ENGINE!B14)</f>
        <v>34</v>
      </c>
      <c r="C14" s="7">
        <f>IF(A14="","",IF(A14=0,INPUTS!$C$8,J13))</f>
        <v>225430.20396553262</v>
      </c>
      <c r="D14" s="7">
        <f>IF(A14="","",ENGINE!D14)</f>
        <v>15000</v>
      </c>
      <c r="E14" s="26">
        <f t="shared" si="0"/>
        <v>1</v>
      </c>
      <c r="F14" s="26">
        <f t="shared" si="1"/>
        <v>15000</v>
      </c>
      <c r="G14" s="26">
        <f t="shared" si="2"/>
        <v>0.10000000000000009</v>
      </c>
      <c r="H14" s="28">
        <f t="shared" si="3"/>
        <v>1.1000000000000001</v>
      </c>
      <c r="I14" s="26">
        <f t="shared" si="4"/>
        <v>24043.0203965533</v>
      </c>
      <c r="J14" s="26">
        <f>IF(A14="","",IF(G14=0,C14+D14,C14*H14+IF(INPUTS!$C$12="Beginning",F14*(1+G14)*(H14-1)/G14,F14*(H14-1)/G14)))</f>
        <v>264473.22436208592</v>
      </c>
      <c r="K14" s="26">
        <f>IF(A14="","",SUM($D$2:D14))</f>
        <v>138000</v>
      </c>
      <c r="L14" s="7">
        <f>IF(A14="","",(1+G14)^((Horizon_Rows+1-ROW())*E14)*IF(INPUTS!$C$12="Beginning",1+G14,1))</f>
        <v>21.113776745352599</v>
      </c>
      <c r="M14" s="7">
        <f t="shared" si="5"/>
        <v>12</v>
      </c>
      <c r="N14" s="26">
        <f t="shared" si="6"/>
        <v>15000</v>
      </c>
      <c r="O14" s="26">
        <f t="shared" si="7"/>
        <v>15000</v>
      </c>
      <c r="P14" s="26">
        <f t="shared" si="8"/>
        <v>0</v>
      </c>
      <c r="Q14" s="21">
        <f t="shared" si="9"/>
        <v>316706.65118028899</v>
      </c>
      <c r="R14" s="7"/>
      <c r="S14" s="7"/>
      <c r="T14" s="7">
        <f>IF(A14="","",(1+'WHAT-IF SCENARIOS'!$B$8)^((Horizon_Rows+1-ROW())*E14+IF(INPUTS!$C$12="Beginning",1,0)))</f>
        <v>21.113776745352599</v>
      </c>
      <c r="U14" s="7">
        <f t="shared" si="10"/>
        <v>316706.65118028899</v>
      </c>
      <c r="V14" s="7">
        <f>IF(A14="","",(1+'WHAT-IF SCENARIOS'!$B$25)^((Horizon_Rows+1-ROW())*E14+IF(INPUTS!$C$12="Beginning",1,0)))</f>
        <v>8.7152707983437594</v>
      </c>
      <c r="W14" s="7">
        <f t="shared" si="11"/>
        <v>130729.06197515639</v>
      </c>
      <c r="X14" s="7">
        <f>IF(A14="","",(1+'WHAT-IF SCENARIOS'!$B$27)^((Horizon_Rows+1-ROW())*E14+IF(INPUTS!$C$12="Beginning",1,0)))</f>
        <v>49.947090101729479</v>
      </c>
      <c r="Y14" s="7">
        <f t="shared" si="12"/>
        <v>749206.35152594221</v>
      </c>
      <c r="Z14" s="7">
        <f>IF(A14="","",IF(AND(A14&gt;='WHAT-IF SCENARIOS'!$B$41,A14&lt;'WHAT-IF SCENARIOS'!$B$41+'WHAT-IF SCENARIOS'!$B$42),0,D14))</f>
        <v>15000</v>
      </c>
      <c r="AA14" s="7">
        <f t="shared" si="13"/>
        <v>316706.65118028899</v>
      </c>
      <c r="AB14" s="7">
        <f>IF(A14="","",IF(B14&gt;'WHAT-IF SCENARIOS'!$B$49,0,D14))</f>
        <v>15000</v>
      </c>
      <c r="AC14" s="7">
        <f t="shared" si="14"/>
        <v>316706.65118028899</v>
      </c>
    </row>
    <row r="15" spans="1:29" ht="18" customHeight="1" x14ac:dyDescent="0.25">
      <c r="A15" s="7">
        <f>IF(ENGINE!A15="","",ENGINE!A15)</f>
        <v>13</v>
      </c>
      <c r="B15" s="7">
        <f>IF(A15="","",ENGINE!B15)</f>
        <v>35</v>
      </c>
      <c r="C15" s="7">
        <f>IF(A15="","",IF(A15=0,INPUTS!$C$8,J14))</f>
        <v>264473.22436208592</v>
      </c>
      <c r="D15" s="7">
        <f>IF(A15="","",ENGINE!D15)</f>
        <v>15500</v>
      </c>
      <c r="E15" s="26">
        <f t="shared" si="0"/>
        <v>1</v>
      </c>
      <c r="F15" s="26">
        <f t="shared" si="1"/>
        <v>15500</v>
      </c>
      <c r="G15" s="26">
        <f t="shared" si="2"/>
        <v>0.10000000000000009</v>
      </c>
      <c r="H15" s="28">
        <f t="shared" si="3"/>
        <v>1.1000000000000001</v>
      </c>
      <c r="I15" s="26">
        <f t="shared" si="4"/>
        <v>27997.322436208604</v>
      </c>
      <c r="J15" s="26">
        <f>IF(A15="","",IF(G15=0,C15+D15,C15*H15+IF(INPUTS!$C$12="Beginning",F15*(1+G15)*(H15-1)/G15,F15*(H15-1)/G15)))</f>
        <v>307970.54679829453</v>
      </c>
      <c r="K15" s="26">
        <f>IF(A15="","",SUM($D$2:D15))</f>
        <v>153500</v>
      </c>
      <c r="L15" s="7">
        <f>IF(A15="","",(1+G15)^((Horizon_Rows+1-ROW())*E15)*IF(INPUTS!$C$12="Beginning",1+G15,1))</f>
        <v>19.194342495775089</v>
      </c>
      <c r="M15" s="7">
        <f t="shared" si="5"/>
        <v>13</v>
      </c>
      <c r="N15" s="26">
        <f t="shared" si="6"/>
        <v>15500</v>
      </c>
      <c r="O15" s="26">
        <f t="shared" si="7"/>
        <v>15500</v>
      </c>
      <c r="P15" s="26">
        <f t="shared" si="8"/>
        <v>0</v>
      </c>
      <c r="Q15" s="21">
        <f t="shared" si="9"/>
        <v>297512.3086845139</v>
      </c>
      <c r="R15" s="7"/>
      <c r="S15" s="7"/>
      <c r="T15" s="7">
        <f>IF(A15="","",(1+'WHAT-IF SCENARIOS'!$B$8)^((Horizon_Rows+1-ROW())*E15+IF(INPUTS!$C$12="Beginning",1,0)))</f>
        <v>19.194342495775089</v>
      </c>
      <c r="U15" s="7">
        <f t="shared" si="10"/>
        <v>297512.3086845139</v>
      </c>
      <c r="V15" s="7">
        <f>IF(A15="","",(1+'WHAT-IF SCENARIOS'!$B$25)^((Horizon_Rows+1-ROW())*E15+IF(INPUTS!$C$12="Beginning",1,0)))</f>
        <v>8.1451128956483743</v>
      </c>
      <c r="W15" s="7">
        <f t="shared" si="11"/>
        <v>126249.2498825498</v>
      </c>
      <c r="X15" s="7">
        <f>IF(A15="","",(1+'WHAT-IF SCENARIOS'!$B$27)^((Horizon_Rows+1-ROW())*E15+IF(INPUTS!$C$12="Beginning",1,0)))</f>
        <v>44.200964691796003</v>
      </c>
      <c r="Y15" s="7">
        <f t="shared" si="12"/>
        <v>685114.95272283803</v>
      </c>
      <c r="Z15" s="7">
        <f>IF(A15="","",IF(AND(A15&gt;='WHAT-IF SCENARIOS'!$B$41,A15&lt;'WHAT-IF SCENARIOS'!$B$41+'WHAT-IF SCENARIOS'!$B$42),0,D15))</f>
        <v>15500</v>
      </c>
      <c r="AA15" s="7">
        <f t="shared" si="13"/>
        <v>297512.3086845139</v>
      </c>
      <c r="AB15" s="7">
        <f>IF(A15="","",IF(B15&gt;'WHAT-IF SCENARIOS'!$B$49,0,D15))</f>
        <v>15500</v>
      </c>
      <c r="AC15" s="7">
        <f t="shared" si="14"/>
        <v>297512.3086845139</v>
      </c>
    </row>
    <row r="16" spans="1:29" ht="18" customHeight="1" x14ac:dyDescent="0.25">
      <c r="A16" s="7">
        <f>IF(ENGINE!A16="","",ENGINE!A16)</f>
        <v>14</v>
      </c>
      <c r="B16" s="7">
        <f>IF(A16="","",ENGINE!B16)</f>
        <v>36</v>
      </c>
      <c r="C16" s="7">
        <f>IF(A16="","",IF(A16=0,INPUTS!$C$8,J15))</f>
        <v>307970.54679829453</v>
      </c>
      <c r="D16" s="7">
        <f>IF(A16="","",ENGINE!D16)</f>
        <v>16500</v>
      </c>
      <c r="E16" s="26">
        <f t="shared" si="0"/>
        <v>1</v>
      </c>
      <c r="F16" s="26">
        <f t="shared" si="1"/>
        <v>16500</v>
      </c>
      <c r="G16" s="26">
        <f t="shared" si="2"/>
        <v>0.10000000000000009</v>
      </c>
      <c r="H16" s="28">
        <f t="shared" si="3"/>
        <v>1.1000000000000001</v>
      </c>
      <c r="I16" s="26">
        <f t="shared" si="4"/>
        <v>32447.054679829453</v>
      </c>
      <c r="J16" s="26">
        <f>IF(A16="","",IF(G16=0,C16+D16,C16*H16+IF(INPUTS!$C$12="Beginning",F16*(1+G16)*(H16-1)/G16,F16*(H16-1)/G16)))</f>
        <v>356917.60147812398</v>
      </c>
      <c r="K16" s="26">
        <f>IF(A16="","",SUM($D$2:D16))</f>
        <v>170000</v>
      </c>
      <c r="L16" s="7">
        <f>IF(A16="","",(1+G16)^((Horizon_Rows+1-ROW())*E16)*IF(INPUTS!$C$12="Beginning",1+G16,1))</f>
        <v>17.449402268886441</v>
      </c>
      <c r="M16" s="7">
        <f t="shared" si="5"/>
        <v>14</v>
      </c>
      <c r="N16" s="26">
        <f t="shared" si="6"/>
        <v>16500</v>
      </c>
      <c r="O16" s="26">
        <f t="shared" si="7"/>
        <v>16500</v>
      </c>
      <c r="P16" s="26">
        <f t="shared" si="8"/>
        <v>0</v>
      </c>
      <c r="Q16" s="21">
        <f t="shared" si="9"/>
        <v>287915.1374366263</v>
      </c>
      <c r="R16" s="7"/>
      <c r="S16" s="7"/>
      <c r="T16" s="7">
        <f>IF(A16="","",(1+'WHAT-IF SCENARIOS'!$B$8)^((Horizon_Rows+1-ROW())*E16+IF(INPUTS!$C$12="Beginning",1,0)))</f>
        <v>17.449402268886445</v>
      </c>
      <c r="U16" s="7">
        <f t="shared" si="10"/>
        <v>287915.13743662636</v>
      </c>
      <c r="V16" s="7">
        <f>IF(A16="","",(1+'WHAT-IF SCENARIOS'!$B$25)^((Horizon_Rows+1-ROW())*E16+IF(INPUTS!$C$12="Beginning",1,0)))</f>
        <v>7.6122550426620306</v>
      </c>
      <c r="W16" s="7">
        <f t="shared" si="11"/>
        <v>125602.20820392351</v>
      </c>
      <c r="X16" s="7">
        <f>IF(A16="","",(1+'WHAT-IF SCENARIOS'!$B$27)^((Horizon_Rows+1-ROW())*E16+IF(INPUTS!$C$12="Beginning",1,0)))</f>
        <v>39.115897957341595</v>
      </c>
      <c r="Y16" s="7">
        <f t="shared" si="12"/>
        <v>645412.31629613636</v>
      </c>
      <c r="Z16" s="7">
        <f>IF(A16="","",IF(AND(A16&gt;='WHAT-IF SCENARIOS'!$B$41,A16&lt;'WHAT-IF SCENARIOS'!$B$41+'WHAT-IF SCENARIOS'!$B$42),0,D16))</f>
        <v>16500</v>
      </c>
      <c r="AA16" s="7">
        <f t="shared" si="13"/>
        <v>287915.1374366263</v>
      </c>
      <c r="AB16" s="7">
        <f>IF(A16="","",IF(B16&gt;'WHAT-IF SCENARIOS'!$B$49,0,D16))</f>
        <v>16500</v>
      </c>
      <c r="AC16" s="7">
        <f t="shared" si="14"/>
        <v>287915.1374366263</v>
      </c>
    </row>
    <row r="17" spans="1:29" ht="18" customHeight="1" x14ac:dyDescent="0.25">
      <c r="A17" s="7">
        <f>IF(ENGINE!A17="","",ENGINE!A17)</f>
        <v>15</v>
      </c>
      <c r="B17" s="7">
        <f>IF(A17="","",ENGINE!B17)</f>
        <v>37</v>
      </c>
      <c r="C17" s="7">
        <f>IF(A17="","",IF(A17=0,INPUTS!$C$8,J16))</f>
        <v>356917.60147812398</v>
      </c>
      <c r="D17" s="7">
        <f>IF(A17="","",ENGINE!D17)</f>
        <v>17500</v>
      </c>
      <c r="E17" s="26">
        <f t="shared" si="0"/>
        <v>1</v>
      </c>
      <c r="F17" s="26">
        <f t="shared" si="1"/>
        <v>17500</v>
      </c>
      <c r="G17" s="26">
        <f t="shared" si="2"/>
        <v>0.10000000000000009</v>
      </c>
      <c r="H17" s="28">
        <f t="shared" si="3"/>
        <v>1.1000000000000001</v>
      </c>
      <c r="I17" s="26">
        <f t="shared" si="4"/>
        <v>37441.760147812427</v>
      </c>
      <c r="J17" s="26">
        <f>IF(A17="","",IF(G17=0,C17+D17,C17*H17+IF(INPUTS!$C$12="Beginning",F17*(1+G17)*(H17-1)/G17,F17*(H17-1)/G17)))</f>
        <v>411859.36162593641</v>
      </c>
      <c r="K17" s="26">
        <f>IF(A17="","",SUM($D$2:D17))</f>
        <v>187500</v>
      </c>
      <c r="L17" s="7">
        <f>IF(A17="","",(1+G17)^((Horizon_Rows+1-ROW())*E17)*IF(INPUTS!$C$12="Beginning",1+G17,1))</f>
        <v>15.863092971714948</v>
      </c>
      <c r="M17" s="7">
        <f t="shared" si="5"/>
        <v>15</v>
      </c>
      <c r="N17" s="26">
        <f t="shared" si="6"/>
        <v>17500</v>
      </c>
      <c r="O17" s="26">
        <f t="shared" si="7"/>
        <v>17500</v>
      </c>
      <c r="P17" s="26">
        <f t="shared" si="8"/>
        <v>0</v>
      </c>
      <c r="Q17" s="21">
        <f t="shared" si="9"/>
        <v>277604.1270050116</v>
      </c>
      <c r="R17" s="7"/>
      <c r="S17" s="7"/>
      <c r="T17" s="7">
        <f>IF(A17="","",(1+'WHAT-IF SCENARIOS'!$B$8)^((Horizon_Rows+1-ROW())*E17+IF(INPUTS!$C$12="Beginning",1,0)))</f>
        <v>15.863092971714947</v>
      </c>
      <c r="U17" s="7">
        <f t="shared" si="10"/>
        <v>277604.12700501154</v>
      </c>
      <c r="V17" s="7">
        <f>IF(A17="","",(1+'WHAT-IF SCENARIOS'!$B$25)^((Horizon_Rows+1-ROW())*E17+IF(INPUTS!$C$12="Beginning",1,0)))</f>
        <v>7.1142570492168513</v>
      </c>
      <c r="W17" s="7">
        <f t="shared" si="11"/>
        <v>124499.4983612949</v>
      </c>
      <c r="X17" s="7">
        <f>IF(A17="","",(1+'WHAT-IF SCENARIOS'!$B$27)^((Horizon_Rows+1-ROW())*E17+IF(INPUTS!$C$12="Beginning",1,0)))</f>
        <v>34.615838900302307</v>
      </c>
      <c r="Y17" s="7">
        <f t="shared" si="12"/>
        <v>605777.18075529044</v>
      </c>
      <c r="Z17" s="7">
        <f>IF(A17="","",IF(AND(A17&gt;='WHAT-IF SCENARIOS'!$B$41,A17&lt;'WHAT-IF SCENARIOS'!$B$41+'WHAT-IF SCENARIOS'!$B$42),0,D17))</f>
        <v>17500</v>
      </c>
      <c r="AA17" s="7">
        <f t="shared" si="13"/>
        <v>277604.1270050116</v>
      </c>
      <c r="AB17" s="7">
        <f>IF(A17="","",IF(B17&gt;'WHAT-IF SCENARIOS'!$B$49,0,D17))</f>
        <v>17500</v>
      </c>
      <c r="AC17" s="7">
        <f t="shared" si="14"/>
        <v>277604.1270050116</v>
      </c>
    </row>
    <row r="18" spans="1:29" ht="18" customHeight="1" x14ac:dyDescent="0.25">
      <c r="A18" s="7">
        <f>IF(ENGINE!A18="","",ENGINE!A18)</f>
        <v>16</v>
      </c>
      <c r="B18" s="7">
        <f>IF(A18="","",ENGINE!B18)</f>
        <v>38</v>
      </c>
      <c r="C18" s="7">
        <f>IF(A18="","",IF(A18=0,INPUTS!$C$8,J17))</f>
        <v>411859.36162593641</v>
      </c>
      <c r="D18" s="7">
        <f>IF(A18="","",ENGINE!D18)</f>
        <v>19000</v>
      </c>
      <c r="E18" s="26">
        <f t="shared" si="0"/>
        <v>1</v>
      </c>
      <c r="F18" s="26">
        <f t="shared" si="1"/>
        <v>19000</v>
      </c>
      <c r="G18" s="26">
        <f t="shared" si="2"/>
        <v>0.10000000000000009</v>
      </c>
      <c r="H18" s="28">
        <f t="shared" si="3"/>
        <v>1.1000000000000001</v>
      </c>
      <c r="I18" s="26">
        <f t="shared" si="4"/>
        <v>43085.936162593658</v>
      </c>
      <c r="J18" s="26">
        <f>IF(A18="","",IF(G18=0,C18+D18,C18*H18+IF(INPUTS!$C$12="Beginning",F18*(1+G18)*(H18-1)/G18,F18*(H18-1)/G18)))</f>
        <v>473945.29778853006</v>
      </c>
      <c r="K18" s="26">
        <f>IF(A18="","",SUM($D$2:D18))</f>
        <v>206500</v>
      </c>
      <c r="L18" s="7">
        <f>IF(A18="","",(1+G18)^((Horizon_Rows+1-ROW())*E18)*IF(INPUTS!$C$12="Beginning",1+G18,1))</f>
        <v>14.420993610649953</v>
      </c>
      <c r="M18" s="7">
        <f t="shared" si="5"/>
        <v>16</v>
      </c>
      <c r="N18" s="26">
        <f t="shared" si="6"/>
        <v>19000</v>
      </c>
      <c r="O18" s="26">
        <f t="shared" si="7"/>
        <v>19000</v>
      </c>
      <c r="P18" s="26">
        <f t="shared" si="8"/>
        <v>0</v>
      </c>
      <c r="Q18" s="21">
        <f t="shared" si="9"/>
        <v>273998.87860234908</v>
      </c>
      <c r="R18" s="7"/>
      <c r="S18" s="7"/>
      <c r="T18" s="7">
        <f>IF(A18="","",(1+'WHAT-IF SCENARIOS'!$B$8)^((Horizon_Rows+1-ROW())*E18+IF(INPUTS!$C$12="Beginning",1,0)))</f>
        <v>14.420993610649951</v>
      </c>
      <c r="U18" s="7">
        <f t="shared" si="10"/>
        <v>273998.87860234908</v>
      </c>
      <c r="V18" s="7">
        <f>IF(A18="","",(1+'WHAT-IF SCENARIOS'!$B$25)^((Horizon_Rows+1-ROW())*E18+IF(INPUTS!$C$12="Beginning",1,0)))</f>
        <v>6.6488383637540664</v>
      </c>
      <c r="W18" s="7">
        <f t="shared" si="11"/>
        <v>126327.92891132727</v>
      </c>
      <c r="X18" s="7">
        <f>IF(A18="","",(1+'WHAT-IF SCENARIOS'!$B$27)^((Horizon_Rows+1-ROW())*E18+IF(INPUTS!$C$12="Beginning",1,0)))</f>
        <v>30.633485752479917</v>
      </c>
      <c r="Y18" s="7">
        <f t="shared" si="12"/>
        <v>582036.22929711838</v>
      </c>
      <c r="Z18" s="7">
        <f>IF(A18="","",IF(AND(A18&gt;='WHAT-IF SCENARIOS'!$B$41,A18&lt;'WHAT-IF SCENARIOS'!$B$41+'WHAT-IF SCENARIOS'!$B$42),0,D18))</f>
        <v>19000</v>
      </c>
      <c r="AA18" s="7">
        <f t="shared" si="13"/>
        <v>273998.87860234908</v>
      </c>
      <c r="AB18" s="7">
        <f>IF(A18="","",IF(B18&gt;'WHAT-IF SCENARIOS'!$B$49,0,D18))</f>
        <v>19000</v>
      </c>
      <c r="AC18" s="7">
        <f t="shared" si="14"/>
        <v>273998.87860234908</v>
      </c>
    </row>
    <row r="19" spans="1:29" ht="18" customHeight="1" x14ac:dyDescent="0.25">
      <c r="A19" s="7">
        <f>IF(ENGINE!A19="","",ENGINE!A19)</f>
        <v>17</v>
      </c>
      <c r="B19" s="7">
        <f>IF(A19="","",ENGINE!B19)</f>
        <v>39</v>
      </c>
      <c r="C19" s="7">
        <f>IF(A19="","",IF(A19=0,INPUTS!$C$8,J18))</f>
        <v>473945.29778853006</v>
      </c>
      <c r="D19" s="7">
        <f>IF(A19="","",ENGINE!D19)</f>
        <v>20000</v>
      </c>
      <c r="E19" s="26">
        <f t="shared" si="0"/>
        <v>1</v>
      </c>
      <c r="F19" s="26">
        <f t="shared" si="1"/>
        <v>20000</v>
      </c>
      <c r="G19" s="26">
        <f t="shared" si="2"/>
        <v>0.10000000000000009</v>
      </c>
      <c r="H19" s="28">
        <f t="shared" si="3"/>
        <v>1.1000000000000001</v>
      </c>
      <c r="I19" s="26">
        <f t="shared" si="4"/>
        <v>49394.529778853117</v>
      </c>
      <c r="J19" s="26">
        <f>IF(A19="","",IF(G19=0,C19+D19,C19*H19+IF(INPUTS!$C$12="Beginning",F19*(1+G19)*(H19-1)/G19,F19*(H19-1)/G19)))</f>
        <v>543339.82756738318</v>
      </c>
      <c r="K19" s="26">
        <f>IF(A19="","",SUM($D$2:D19))</f>
        <v>226500</v>
      </c>
      <c r="L19" s="7">
        <f>IF(A19="","",(1+G19)^((Horizon_Rows+1-ROW())*E19)*IF(INPUTS!$C$12="Beginning",1+G19,1))</f>
        <v>13.109994191499954</v>
      </c>
      <c r="M19" s="7">
        <f t="shared" si="5"/>
        <v>17</v>
      </c>
      <c r="N19" s="26">
        <f t="shared" si="6"/>
        <v>20000</v>
      </c>
      <c r="O19" s="26">
        <f t="shared" si="7"/>
        <v>20000</v>
      </c>
      <c r="P19" s="26">
        <f t="shared" si="8"/>
        <v>0</v>
      </c>
      <c r="Q19" s="21">
        <f t="shared" si="9"/>
        <v>262199.88382999907</v>
      </c>
      <c r="R19" s="7"/>
      <c r="S19" s="7"/>
      <c r="T19" s="7">
        <f>IF(A19="","",(1+'WHAT-IF SCENARIOS'!$B$8)^((Horizon_Rows+1-ROW())*E19+IF(INPUTS!$C$12="Beginning",1,0)))</f>
        <v>13.109994191499956</v>
      </c>
      <c r="U19" s="7">
        <f t="shared" si="10"/>
        <v>262199.88382999913</v>
      </c>
      <c r="V19" s="7">
        <f>IF(A19="","",(1+'WHAT-IF SCENARIOS'!$B$25)^((Horizon_Rows+1-ROW())*E19+IF(INPUTS!$C$12="Beginning",1,0)))</f>
        <v>6.2138676296766988</v>
      </c>
      <c r="W19" s="7">
        <f t="shared" si="11"/>
        <v>124277.35259353397</v>
      </c>
      <c r="X19" s="7">
        <f>IF(A19="","",(1+'WHAT-IF SCENARIOS'!$B$27)^((Horizon_Rows+1-ROW())*E19+IF(INPUTS!$C$12="Beginning",1,0)))</f>
        <v>27.10927942697338</v>
      </c>
      <c r="Y19" s="7">
        <f t="shared" si="12"/>
        <v>542185.58853946766</v>
      </c>
      <c r="Z19" s="7">
        <f>IF(A19="","",IF(AND(A19&gt;='WHAT-IF SCENARIOS'!$B$41,A19&lt;'WHAT-IF SCENARIOS'!$B$41+'WHAT-IF SCENARIOS'!$B$42),0,D19))</f>
        <v>20000</v>
      </c>
      <c r="AA19" s="7">
        <f t="shared" si="13"/>
        <v>262199.88382999907</v>
      </c>
      <c r="AB19" s="7">
        <f>IF(A19="","",IF(B19&gt;'WHAT-IF SCENARIOS'!$B$49,0,D19))</f>
        <v>20000</v>
      </c>
      <c r="AC19" s="7">
        <f t="shared" si="14"/>
        <v>262199.88382999907</v>
      </c>
    </row>
    <row r="20" spans="1:29" ht="18" customHeight="1" x14ac:dyDescent="0.25">
      <c r="A20" s="7">
        <f>IF(ENGINE!A20="","",ENGINE!A20)</f>
        <v>18</v>
      </c>
      <c r="B20" s="7">
        <f>IF(A20="","",ENGINE!B20)</f>
        <v>40</v>
      </c>
      <c r="C20" s="7">
        <f>IF(A20="","",IF(A20=0,INPUTS!$C$8,J19))</f>
        <v>543339.82756738318</v>
      </c>
      <c r="D20" s="7">
        <f>IF(A20="","",ENGINE!D20)</f>
        <v>21000</v>
      </c>
      <c r="E20" s="26">
        <f t="shared" si="0"/>
        <v>1</v>
      </c>
      <c r="F20" s="26">
        <f t="shared" si="1"/>
        <v>21000</v>
      </c>
      <c r="G20" s="26">
        <f t="shared" si="2"/>
        <v>0.10000000000000009</v>
      </c>
      <c r="H20" s="28">
        <f t="shared" si="3"/>
        <v>1.1000000000000001</v>
      </c>
      <c r="I20" s="26">
        <f t="shared" si="4"/>
        <v>56433.982756738318</v>
      </c>
      <c r="J20" s="26">
        <f>IF(A20="","",IF(G20=0,C20+D20,C20*H20+IF(INPUTS!$C$12="Beginning",F20*(1+G20)*(H20-1)/G20,F20*(H20-1)/G20)))</f>
        <v>620773.8103241215</v>
      </c>
      <c r="K20" s="26">
        <f>IF(A20="","",SUM($D$2:D20))</f>
        <v>247500</v>
      </c>
      <c r="L20" s="7">
        <f>IF(A20="","",(1+G20)^((Horizon_Rows+1-ROW())*E20)*IF(INPUTS!$C$12="Beginning",1+G20,1))</f>
        <v>11.918176537727231</v>
      </c>
      <c r="M20" s="7">
        <f t="shared" si="5"/>
        <v>18</v>
      </c>
      <c r="N20" s="26">
        <f t="shared" si="6"/>
        <v>21000</v>
      </c>
      <c r="O20" s="26">
        <f t="shared" si="7"/>
        <v>21000</v>
      </c>
      <c r="P20" s="26">
        <f t="shared" si="8"/>
        <v>0</v>
      </c>
      <c r="Q20" s="21">
        <f t="shared" si="9"/>
        <v>250281.70729227184</v>
      </c>
      <c r="R20" s="7"/>
      <c r="S20" s="7"/>
      <c r="T20" s="7">
        <f>IF(A20="","",(1+'WHAT-IF SCENARIOS'!$B$8)^((Horizon_Rows+1-ROW())*E20+IF(INPUTS!$C$12="Beginning",1,0)))</f>
        <v>11.918176537727231</v>
      </c>
      <c r="U20" s="7">
        <f t="shared" si="10"/>
        <v>250281.70729227184</v>
      </c>
      <c r="V20" s="7">
        <f>IF(A20="","",(1+'WHAT-IF SCENARIOS'!$B$25)^((Horizon_Rows+1-ROW())*E20+IF(INPUTS!$C$12="Beginning",1,0)))</f>
        <v>5.807352924931493</v>
      </c>
      <c r="W20" s="7">
        <f t="shared" si="11"/>
        <v>121954.41142356135</v>
      </c>
      <c r="X20" s="7">
        <f>IF(A20="","",(1+'WHAT-IF SCENARIOS'!$B$27)^((Horizon_Rows+1-ROW())*E20+IF(INPUTS!$C$12="Beginning",1,0)))</f>
        <v>23.990512767233085</v>
      </c>
      <c r="Y20" s="7">
        <f t="shared" si="12"/>
        <v>503800.76811189478</v>
      </c>
      <c r="Z20" s="7">
        <f>IF(A20="","",IF(AND(A20&gt;='WHAT-IF SCENARIOS'!$B$41,A20&lt;'WHAT-IF SCENARIOS'!$B$41+'WHAT-IF SCENARIOS'!$B$42),0,D20))</f>
        <v>21000</v>
      </c>
      <c r="AA20" s="7">
        <f t="shared" si="13"/>
        <v>250281.70729227184</v>
      </c>
      <c r="AB20" s="7">
        <f>IF(A20="","",IF(B20&gt;'WHAT-IF SCENARIOS'!$B$49,0,D20))</f>
        <v>21000</v>
      </c>
      <c r="AC20" s="7">
        <f t="shared" si="14"/>
        <v>250281.70729227184</v>
      </c>
    </row>
    <row r="21" spans="1:29" ht="18" customHeight="1" x14ac:dyDescent="0.25">
      <c r="A21" s="7">
        <f>IF(ENGINE!A21="","",ENGINE!A21)</f>
        <v>19</v>
      </c>
      <c r="B21" s="7">
        <f>IF(A21="","",ENGINE!B21)</f>
        <v>41</v>
      </c>
      <c r="C21" s="7">
        <f>IF(A21="","",IF(A21=0,INPUTS!$C$8,J20))</f>
        <v>620773.8103241215</v>
      </c>
      <c r="D21" s="7">
        <f>IF(A21="","",ENGINE!D21)</f>
        <v>22500</v>
      </c>
      <c r="E21" s="26">
        <f t="shared" si="0"/>
        <v>1</v>
      </c>
      <c r="F21" s="26">
        <f t="shared" si="1"/>
        <v>22500</v>
      </c>
      <c r="G21" s="26">
        <f t="shared" si="2"/>
        <v>0.10000000000000009</v>
      </c>
      <c r="H21" s="28">
        <f t="shared" si="3"/>
        <v>1.1000000000000001</v>
      </c>
      <c r="I21" s="26">
        <f t="shared" si="4"/>
        <v>64327.381032412173</v>
      </c>
      <c r="J21" s="26">
        <f>IF(A21="","",IF(G21=0,C21+D21,C21*H21+IF(INPUTS!$C$12="Beginning",F21*(1+G21)*(H21-1)/G21,F21*(H21-1)/G21)))</f>
        <v>707601.19135653367</v>
      </c>
      <c r="K21" s="26">
        <f>IF(A21="","",SUM($D$2:D21))</f>
        <v>270000</v>
      </c>
      <c r="L21" s="7">
        <f>IF(A21="","",(1+G21)^((Horizon_Rows+1-ROW())*E21)*IF(INPUTS!$C$12="Beginning",1+G21,1))</f>
        <v>10.834705943388389</v>
      </c>
      <c r="M21" s="7">
        <f t="shared" si="5"/>
        <v>19</v>
      </c>
      <c r="N21" s="26">
        <f t="shared" si="6"/>
        <v>22500</v>
      </c>
      <c r="O21" s="26">
        <f t="shared" si="7"/>
        <v>22500</v>
      </c>
      <c r="P21" s="26">
        <f t="shared" si="8"/>
        <v>0</v>
      </c>
      <c r="Q21" s="21">
        <f t="shared" si="9"/>
        <v>243780.88372623877</v>
      </c>
      <c r="R21" s="7"/>
      <c r="S21" s="7"/>
      <c r="T21" s="7">
        <f>IF(A21="","",(1+'WHAT-IF SCENARIOS'!$B$8)^((Horizon_Rows+1-ROW())*E21+IF(INPUTS!$C$12="Beginning",1,0)))</f>
        <v>10.834705943388391</v>
      </c>
      <c r="U21" s="7">
        <f t="shared" si="10"/>
        <v>243780.8837262388</v>
      </c>
      <c r="V21" s="7">
        <f>IF(A21="","",(1+'WHAT-IF SCENARIOS'!$B$25)^((Horizon_Rows+1-ROW())*E21+IF(INPUTS!$C$12="Beginning",1,0)))</f>
        <v>5.4274326401228912</v>
      </c>
      <c r="W21" s="7">
        <f t="shared" si="11"/>
        <v>122117.23440276505</v>
      </c>
      <c r="X21" s="7">
        <f>IF(A21="","",(1+'WHAT-IF SCENARIOS'!$B$27)^((Horizon_Rows+1-ROW())*E21+IF(INPUTS!$C$12="Beginning",1,0)))</f>
        <v>21.230542271887689</v>
      </c>
      <c r="Y21" s="7">
        <f t="shared" si="12"/>
        <v>477687.20111747301</v>
      </c>
      <c r="Z21" s="7">
        <f>IF(A21="","",IF(AND(A21&gt;='WHAT-IF SCENARIOS'!$B$41,A21&lt;'WHAT-IF SCENARIOS'!$B$41+'WHAT-IF SCENARIOS'!$B$42),0,D21))</f>
        <v>22500</v>
      </c>
      <c r="AA21" s="7">
        <f t="shared" si="13"/>
        <v>243780.88372623877</v>
      </c>
      <c r="AB21" s="7">
        <f>IF(A21="","",IF(B21&gt;'WHAT-IF SCENARIOS'!$B$49,0,D21))</f>
        <v>22500</v>
      </c>
      <c r="AC21" s="7">
        <f t="shared" si="14"/>
        <v>243780.88372623877</v>
      </c>
    </row>
    <row r="22" spans="1:29" ht="18" customHeight="1" x14ac:dyDescent="0.25">
      <c r="A22" s="7">
        <f>IF(ENGINE!A22="","",ENGINE!A22)</f>
        <v>20</v>
      </c>
      <c r="B22" s="7">
        <f>IF(A22="","",ENGINE!B22)</f>
        <v>42</v>
      </c>
      <c r="C22" s="7">
        <f>IF(A22="","",IF(A22=0,INPUTS!$C$8,J21))</f>
        <v>707601.19135653367</v>
      </c>
      <c r="D22" s="7">
        <f>IF(A22="","",ENGINE!D22)</f>
        <v>24000</v>
      </c>
      <c r="E22" s="26">
        <f t="shared" si="0"/>
        <v>1</v>
      </c>
      <c r="F22" s="26">
        <f t="shared" si="1"/>
        <v>24000</v>
      </c>
      <c r="G22" s="26">
        <f t="shared" si="2"/>
        <v>0.10000000000000009</v>
      </c>
      <c r="H22" s="28">
        <f t="shared" si="3"/>
        <v>1.1000000000000001</v>
      </c>
      <c r="I22" s="26">
        <f t="shared" si="4"/>
        <v>73160.119135653484</v>
      </c>
      <c r="J22" s="26">
        <f>IF(A22="","",IF(G22=0,C22+D22,C22*H22+IF(INPUTS!$C$12="Beginning",F22*(1+G22)*(H22-1)/G22,F22*(H22-1)/G22)))</f>
        <v>804761.31049218716</v>
      </c>
      <c r="K22" s="26">
        <f>IF(A22="","",SUM($D$2:D22))</f>
        <v>294000</v>
      </c>
      <c r="L22" s="7">
        <f>IF(A22="","",(1+G22)^((Horizon_Rows+1-ROW())*E22)*IF(INPUTS!$C$12="Beginning",1+G22,1))</f>
        <v>9.849732675807628</v>
      </c>
      <c r="M22" s="7">
        <f t="shared" si="5"/>
        <v>20</v>
      </c>
      <c r="N22" s="26">
        <f t="shared" si="6"/>
        <v>24000</v>
      </c>
      <c r="O22" s="26">
        <f t="shared" si="7"/>
        <v>24000</v>
      </c>
      <c r="P22" s="26">
        <f t="shared" si="8"/>
        <v>0</v>
      </c>
      <c r="Q22" s="21">
        <f t="shared" si="9"/>
        <v>236393.58421938308</v>
      </c>
      <c r="R22" s="7"/>
      <c r="S22" s="7"/>
      <c r="T22" s="7">
        <f>IF(A22="","",(1+'WHAT-IF SCENARIOS'!$B$8)^((Horizon_Rows+1-ROW())*E22+IF(INPUTS!$C$12="Beginning",1,0)))</f>
        <v>9.8497326758076262</v>
      </c>
      <c r="U22" s="7">
        <f t="shared" si="10"/>
        <v>236393.58421938302</v>
      </c>
      <c r="V22" s="7">
        <f>IF(A22="","",(1+'WHAT-IF SCENARIOS'!$B$25)^((Horizon_Rows+1-ROW())*E22+IF(INPUTS!$C$12="Beginning",1,0)))</f>
        <v>5.0723669533858793</v>
      </c>
      <c r="W22" s="7">
        <f t="shared" si="11"/>
        <v>121736.8068812611</v>
      </c>
      <c r="X22" s="7">
        <f>IF(A22="","",(1+'WHAT-IF SCENARIOS'!$B$27)^((Horizon_Rows+1-ROW())*E22+IF(INPUTS!$C$12="Beginning",1,0)))</f>
        <v>18.788090506095301</v>
      </c>
      <c r="Y22" s="7">
        <f t="shared" si="12"/>
        <v>450914.17214628722</v>
      </c>
      <c r="Z22" s="7">
        <f>IF(A22="","",IF(AND(A22&gt;='WHAT-IF SCENARIOS'!$B$41,A22&lt;'WHAT-IF SCENARIOS'!$B$41+'WHAT-IF SCENARIOS'!$B$42),0,D22))</f>
        <v>24000</v>
      </c>
      <c r="AA22" s="7">
        <f t="shared" si="13"/>
        <v>236393.58421938308</v>
      </c>
      <c r="AB22" s="7">
        <f>IF(A22="","",IF(B22&gt;'WHAT-IF SCENARIOS'!$B$49,0,D22))</f>
        <v>24000</v>
      </c>
      <c r="AC22" s="7">
        <f t="shared" si="14"/>
        <v>236393.58421938308</v>
      </c>
    </row>
    <row r="23" spans="1:29" ht="18" customHeight="1" x14ac:dyDescent="0.25">
      <c r="A23" s="7">
        <f>IF(ENGINE!A23="","",ENGINE!A23)</f>
        <v>21</v>
      </c>
      <c r="B23" s="7">
        <f>IF(A23="","",ENGINE!B23)</f>
        <v>43</v>
      </c>
      <c r="C23" s="7">
        <f>IF(A23="","",IF(A23=0,INPUTS!$C$8,J22))</f>
        <v>804761.31049218716</v>
      </c>
      <c r="D23" s="7">
        <f>IF(A23="","",ENGINE!D23)</f>
        <v>25000</v>
      </c>
      <c r="E23" s="26">
        <f t="shared" si="0"/>
        <v>1</v>
      </c>
      <c r="F23" s="26">
        <f t="shared" si="1"/>
        <v>25000</v>
      </c>
      <c r="G23" s="26">
        <f t="shared" si="2"/>
        <v>0.10000000000000009</v>
      </c>
      <c r="H23" s="28">
        <f t="shared" si="3"/>
        <v>1.1000000000000001</v>
      </c>
      <c r="I23" s="26">
        <f t="shared" si="4"/>
        <v>82976.13104921882</v>
      </c>
      <c r="J23" s="26">
        <f>IF(A23="","",IF(G23=0,C23+D23,C23*H23+IF(INPUTS!$C$12="Beginning",F23*(1+G23)*(H23-1)/G23,F23*(H23-1)/G23)))</f>
        <v>912737.44154140598</v>
      </c>
      <c r="K23" s="26">
        <f>IF(A23="","",SUM($D$2:D23))</f>
        <v>319000</v>
      </c>
      <c r="L23" s="7">
        <f>IF(A23="","",(1+G23)^((Horizon_Rows+1-ROW())*E23)*IF(INPUTS!$C$12="Beginning",1+G23,1))</f>
        <v>8.9543024325523888</v>
      </c>
      <c r="M23" s="7">
        <f t="shared" si="5"/>
        <v>21</v>
      </c>
      <c r="N23" s="26">
        <f t="shared" si="6"/>
        <v>25000</v>
      </c>
      <c r="O23" s="26">
        <f t="shared" si="7"/>
        <v>25000</v>
      </c>
      <c r="P23" s="26">
        <f t="shared" si="8"/>
        <v>0</v>
      </c>
      <c r="Q23" s="21">
        <f t="shared" si="9"/>
        <v>223857.56081380972</v>
      </c>
      <c r="R23" s="7"/>
      <c r="S23" s="7"/>
      <c r="T23" s="7">
        <f>IF(A23="","",(1+'WHAT-IF SCENARIOS'!$B$8)^((Horizon_Rows+1-ROW())*E23+IF(INPUTS!$C$12="Beginning",1,0)))</f>
        <v>8.9543024325523888</v>
      </c>
      <c r="U23" s="7">
        <f t="shared" si="10"/>
        <v>223857.56081380972</v>
      </c>
      <c r="V23" s="7">
        <f>IF(A23="","",(1+'WHAT-IF SCENARIOS'!$B$25)^((Horizon_Rows+1-ROW())*E23+IF(INPUTS!$C$12="Beginning",1,0)))</f>
        <v>4.740529862977457</v>
      </c>
      <c r="W23" s="7">
        <f t="shared" si="11"/>
        <v>118513.24657443643</v>
      </c>
      <c r="X23" s="7">
        <f>IF(A23="","",(1+'WHAT-IF SCENARIOS'!$B$27)^((Horizon_Rows+1-ROW())*E23+IF(INPUTS!$C$12="Beginning",1,0)))</f>
        <v>16.626628766456019</v>
      </c>
      <c r="Y23" s="7">
        <f t="shared" si="12"/>
        <v>415665.71916140046</v>
      </c>
      <c r="Z23" s="7">
        <f>IF(A23="","",IF(AND(A23&gt;='WHAT-IF SCENARIOS'!$B$41,A23&lt;'WHAT-IF SCENARIOS'!$B$41+'WHAT-IF SCENARIOS'!$B$42),0,D23))</f>
        <v>25000</v>
      </c>
      <c r="AA23" s="7">
        <f t="shared" si="13"/>
        <v>223857.56081380972</v>
      </c>
      <c r="AB23" s="7">
        <f>IF(A23="","",IF(B23&gt;'WHAT-IF SCENARIOS'!$B$49,0,D23))</f>
        <v>25000</v>
      </c>
      <c r="AC23" s="7">
        <f t="shared" si="14"/>
        <v>223857.56081380972</v>
      </c>
    </row>
    <row r="24" spans="1:29" ht="18" customHeight="1" x14ac:dyDescent="0.25">
      <c r="A24" s="7">
        <f>IF(ENGINE!A24="","",ENGINE!A24)</f>
        <v>22</v>
      </c>
      <c r="B24" s="7">
        <f>IF(A24="","",ENGINE!B24)</f>
        <v>44</v>
      </c>
      <c r="C24" s="7">
        <f>IF(A24="","",IF(A24=0,INPUTS!$C$8,J23))</f>
        <v>912737.44154140598</v>
      </c>
      <c r="D24" s="7">
        <f>IF(A24="","",ENGINE!D24)</f>
        <v>27000</v>
      </c>
      <c r="E24" s="26">
        <f t="shared" si="0"/>
        <v>1</v>
      </c>
      <c r="F24" s="26">
        <f t="shared" si="1"/>
        <v>27000</v>
      </c>
      <c r="G24" s="26">
        <f t="shared" si="2"/>
        <v>0.10000000000000009</v>
      </c>
      <c r="H24" s="28">
        <f t="shared" si="3"/>
        <v>1.1000000000000001</v>
      </c>
      <c r="I24" s="26">
        <f t="shared" si="4"/>
        <v>93973.744154140702</v>
      </c>
      <c r="J24" s="26">
        <f>IF(A24="","",IF(G24=0,C24+D24,C24*H24+IF(INPUTS!$C$12="Beginning",F24*(1+G24)*(H24-1)/G24,F24*(H24-1)/G24)))</f>
        <v>1033711.1856955467</v>
      </c>
      <c r="K24" s="26">
        <f>IF(A24="","",SUM($D$2:D24))</f>
        <v>346000</v>
      </c>
      <c r="L24" s="7">
        <f>IF(A24="","",(1+G24)^((Horizon_Rows+1-ROW())*E24)*IF(INPUTS!$C$12="Beginning",1+G24,1))</f>
        <v>8.140274938683989</v>
      </c>
      <c r="M24" s="7">
        <f t="shared" si="5"/>
        <v>22</v>
      </c>
      <c r="N24" s="26">
        <f t="shared" si="6"/>
        <v>27000</v>
      </c>
      <c r="O24" s="26">
        <f t="shared" si="7"/>
        <v>27000</v>
      </c>
      <c r="P24" s="26">
        <f t="shared" si="8"/>
        <v>0</v>
      </c>
      <c r="Q24" s="21">
        <f t="shared" si="9"/>
        <v>219787.42334446771</v>
      </c>
      <c r="R24" s="7"/>
      <c r="S24" s="7"/>
      <c r="T24" s="7">
        <f>IF(A24="","",(1+'WHAT-IF SCENARIOS'!$B$8)^((Horizon_Rows+1-ROW())*E24+IF(INPUTS!$C$12="Beginning",1,0)))</f>
        <v>8.140274938683989</v>
      </c>
      <c r="U24" s="7">
        <f t="shared" si="10"/>
        <v>219787.42334446771</v>
      </c>
      <c r="V24" s="7">
        <f>IF(A24="","",(1+'WHAT-IF SCENARIOS'!$B$25)^((Horizon_Rows+1-ROW())*E24+IF(INPUTS!$C$12="Beginning",1,0)))</f>
        <v>4.4304017411004271</v>
      </c>
      <c r="W24" s="7">
        <f t="shared" si="11"/>
        <v>119620.84700971154</v>
      </c>
      <c r="X24" s="7">
        <f>IF(A24="","",(1+'WHAT-IF SCENARIOS'!$B$27)^((Horizon_Rows+1-ROW())*E24+IF(INPUTS!$C$12="Beginning",1,0)))</f>
        <v>14.713830766775239</v>
      </c>
      <c r="Y24" s="7">
        <f t="shared" si="12"/>
        <v>397273.43070293142</v>
      </c>
      <c r="Z24" s="7">
        <f>IF(A24="","",IF(AND(A24&gt;='WHAT-IF SCENARIOS'!$B$41,A24&lt;'WHAT-IF SCENARIOS'!$B$41+'WHAT-IF SCENARIOS'!$B$42),0,D24))</f>
        <v>27000</v>
      </c>
      <c r="AA24" s="7">
        <f t="shared" si="13"/>
        <v>219787.42334446771</v>
      </c>
      <c r="AB24" s="7">
        <f>IF(A24="","",IF(B24&gt;'WHAT-IF SCENARIOS'!$B$49,0,D24))</f>
        <v>27000</v>
      </c>
      <c r="AC24" s="7">
        <f t="shared" si="14"/>
        <v>219787.42334446771</v>
      </c>
    </row>
    <row r="25" spans="1:29" ht="18" customHeight="1" x14ac:dyDescent="0.25">
      <c r="A25" s="7">
        <f>IF(ENGINE!A25="","",ENGINE!A25)</f>
        <v>23</v>
      </c>
      <c r="B25" s="7">
        <f>IF(A25="","",ENGINE!B25)</f>
        <v>45</v>
      </c>
      <c r="C25" s="7">
        <f>IF(A25="","",IF(A25=0,INPUTS!$C$8,J24))</f>
        <v>1033711.1856955467</v>
      </c>
      <c r="D25" s="7">
        <f>IF(A25="","",ENGINE!D25)</f>
        <v>28500</v>
      </c>
      <c r="E25" s="26">
        <f t="shared" si="0"/>
        <v>1</v>
      </c>
      <c r="F25" s="26">
        <f t="shared" si="1"/>
        <v>28500</v>
      </c>
      <c r="G25" s="26">
        <f t="shared" si="2"/>
        <v>0.10000000000000009</v>
      </c>
      <c r="H25" s="28">
        <f t="shared" si="3"/>
        <v>1.1000000000000001</v>
      </c>
      <c r="I25" s="26">
        <f t="shared" si="4"/>
        <v>106221.11856955476</v>
      </c>
      <c r="J25" s="26">
        <f>IF(A25="","",IF(G25=0,C25+D25,C25*H25+IF(INPUTS!$C$12="Beginning",F25*(1+G25)*(H25-1)/G25,F25*(H25-1)/G25)))</f>
        <v>1168432.3042651014</v>
      </c>
      <c r="K25" s="26">
        <f>IF(A25="","",SUM($D$2:D25))</f>
        <v>374500</v>
      </c>
      <c r="L25" s="7">
        <f>IF(A25="","",(1+G25)^((Horizon_Rows+1-ROW())*E25)*IF(INPUTS!$C$12="Beginning",1+G25,1))</f>
        <v>7.4002499442581708</v>
      </c>
      <c r="M25" s="7">
        <f t="shared" si="5"/>
        <v>23</v>
      </c>
      <c r="N25" s="26">
        <f t="shared" si="6"/>
        <v>28500</v>
      </c>
      <c r="O25" s="26">
        <f t="shared" si="7"/>
        <v>28500</v>
      </c>
      <c r="P25" s="26">
        <f t="shared" si="8"/>
        <v>0</v>
      </c>
      <c r="Q25" s="21">
        <f t="shared" si="9"/>
        <v>210907.12341135787</v>
      </c>
      <c r="R25" s="7"/>
      <c r="S25" s="7"/>
      <c r="T25" s="7">
        <f>IF(A25="","",(1+'WHAT-IF SCENARIOS'!$B$8)^((Horizon_Rows+1-ROW())*E25+IF(INPUTS!$C$12="Beginning",1,0)))</f>
        <v>7.4002499442581708</v>
      </c>
      <c r="U25" s="7">
        <f t="shared" si="10"/>
        <v>210907.12341135787</v>
      </c>
      <c r="V25" s="7">
        <f>IF(A25="","",(1+'WHAT-IF SCENARIOS'!$B$25)^((Horizon_Rows+1-ROW())*E25+IF(INPUTS!$C$12="Beginning",1,0)))</f>
        <v>4.1405623748602123</v>
      </c>
      <c r="W25" s="7">
        <f t="shared" si="11"/>
        <v>118006.02768351605</v>
      </c>
      <c r="X25" s="7">
        <f>IF(A25="","",(1+'WHAT-IF SCENARIOS'!$B$27)^((Horizon_Rows+1-ROW())*E25+IF(INPUTS!$C$12="Beginning",1,0)))</f>
        <v>13.021089174137382</v>
      </c>
      <c r="Y25" s="7">
        <f t="shared" si="12"/>
        <v>371101.04146291537</v>
      </c>
      <c r="Z25" s="7">
        <f>IF(A25="","",IF(AND(A25&gt;='WHAT-IF SCENARIOS'!$B$41,A25&lt;'WHAT-IF SCENARIOS'!$B$41+'WHAT-IF SCENARIOS'!$B$42),0,D25))</f>
        <v>28500</v>
      </c>
      <c r="AA25" s="7">
        <f t="shared" si="13"/>
        <v>210907.12341135787</v>
      </c>
      <c r="AB25" s="7">
        <f>IF(A25="","",IF(B25&gt;'WHAT-IF SCENARIOS'!$B$49,0,D25))</f>
        <v>28500</v>
      </c>
      <c r="AC25" s="7">
        <f t="shared" si="14"/>
        <v>210907.12341135787</v>
      </c>
    </row>
    <row r="26" spans="1:29" ht="18" customHeight="1" x14ac:dyDescent="0.25">
      <c r="A26" s="7">
        <f>IF(ENGINE!A26="","",ENGINE!A26)</f>
        <v>24</v>
      </c>
      <c r="B26" s="7">
        <f>IF(A26="","",ENGINE!B26)</f>
        <v>46</v>
      </c>
      <c r="C26" s="7">
        <f>IF(A26="","",IF(A26=0,INPUTS!$C$8,J25))</f>
        <v>1168432.3042651014</v>
      </c>
      <c r="D26" s="7">
        <f>IF(A26="","",ENGINE!D26)</f>
        <v>30000</v>
      </c>
      <c r="E26" s="26">
        <f t="shared" si="0"/>
        <v>1</v>
      </c>
      <c r="F26" s="26">
        <f t="shared" si="1"/>
        <v>30000</v>
      </c>
      <c r="G26" s="26">
        <f t="shared" si="2"/>
        <v>0.10000000000000009</v>
      </c>
      <c r="H26" s="28">
        <f t="shared" si="3"/>
        <v>1.1000000000000001</v>
      </c>
      <c r="I26" s="26">
        <f t="shared" si="4"/>
        <v>119843.23042651033</v>
      </c>
      <c r="J26" s="26">
        <f>IF(A26="","",IF(G26=0,C26+D26,C26*H26+IF(INPUTS!$C$12="Beginning",F26*(1+G26)*(H26-1)/G26,F26*(H26-1)/G26)))</f>
        <v>1318275.5346916118</v>
      </c>
      <c r="K26" s="26">
        <f>IF(A26="","",SUM($D$2:D26))</f>
        <v>404500</v>
      </c>
      <c r="L26" s="7">
        <f>IF(A26="","",(1+G26)^((Horizon_Rows+1-ROW())*E26)*IF(INPUTS!$C$12="Beginning",1+G26,1))</f>
        <v>6.72749994932561</v>
      </c>
      <c r="M26" s="7">
        <f t="shared" si="5"/>
        <v>24</v>
      </c>
      <c r="N26" s="26">
        <f t="shared" si="6"/>
        <v>30000</v>
      </c>
      <c r="O26" s="26">
        <f t="shared" si="7"/>
        <v>30000</v>
      </c>
      <c r="P26" s="26">
        <f t="shared" si="8"/>
        <v>0</v>
      </c>
      <c r="Q26" s="21">
        <f t="shared" si="9"/>
        <v>201824.99847976831</v>
      </c>
      <c r="R26" s="7"/>
      <c r="S26" s="7"/>
      <c r="T26" s="7">
        <f>IF(A26="","",(1+'WHAT-IF SCENARIOS'!$B$8)^((Horizon_Rows+1-ROW())*E26+IF(INPUTS!$C$12="Beginning",1,0)))</f>
        <v>6.7274999493256091</v>
      </c>
      <c r="U26" s="7">
        <f t="shared" si="10"/>
        <v>201824.99847976828</v>
      </c>
      <c r="V26" s="7">
        <f>IF(A26="","",(1+'WHAT-IF SCENARIOS'!$B$25)^((Horizon_Rows+1-ROW())*E26+IF(INPUTS!$C$12="Beginning",1,0)))</f>
        <v>3.8696844624861795</v>
      </c>
      <c r="W26" s="7">
        <f t="shared" si="11"/>
        <v>116090.53387458538</v>
      </c>
      <c r="X26" s="7">
        <f>IF(A26="","",(1+'WHAT-IF SCENARIOS'!$B$27)^((Horizon_Rows+1-ROW())*E26+IF(INPUTS!$C$12="Beginning",1,0)))</f>
        <v>11.523087764723348</v>
      </c>
      <c r="Y26" s="7">
        <f t="shared" si="12"/>
        <v>345692.63294170046</v>
      </c>
      <c r="Z26" s="7">
        <f>IF(A26="","",IF(AND(A26&gt;='WHAT-IF SCENARIOS'!$B$41,A26&lt;'WHAT-IF SCENARIOS'!$B$41+'WHAT-IF SCENARIOS'!$B$42),0,D26))</f>
        <v>30000</v>
      </c>
      <c r="AA26" s="7">
        <f t="shared" si="13"/>
        <v>201824.99847976831</v>
      </c>
      <c r="AB26" s="7">
        <f>IF(A26="","",IF(B26&gt;'WHAT-IF SCENARIOS'!$B$49,0,D26))</f>
        <v>0</v>
      </c>
      <c r="AC26" s="7">
        <f t="shared" si="14"/>
        <v>0</v>
      </c>
    </row>
    <row r="27" spans="1:29" ht="18" customHeight="1" x14ac:dyDescent="0.25">
      <c r="A27" s="7">
        <f>IF(ENGINE!A27="","",ENGINE!A27)</f>
        <v>25</v>
      </c>
      <c r="B27" s="7">
        <f>IF(A27="","",ENGINE!B27)</f>
        <v>47</v>
      </c>
      <c r="C27" s="7">
        <f>IF(A27="","",IF(A27=0,INPUTS!$C$8,J26))</f>
        <v>1318275.5346916118</v>
      </c>
      <c r="D27" s="7">
        <f>IF(A27="","",ENGINE!D27)</f>
        <v>32000</v>
      </c>
      <c r="E27" s="26">
        <f t="shared" si="0"/>
        <v>1</v>
      </c>
      <c r="F27" s="26">
        <f t="shared" si="1"/>
        <v>32000</v>
      </c>
      <c r="G27" s="26">
        <f t="shared" si="2"/>
        <v>0.10000000000000009</v>
      </c>
      <c r="H27" s="28">
        <f t="shared" si="3"/>
        <v>1.1000000000000001</v>
      </c>
      <c r="I27" s="26">
        <f t="shared" si="4"/>
        <v>135027.55346916127</v>
      </c>
      <c r="J27" s="26">
        <f>IF(A27="","",IF(G27=0,C27+D27,C27*H27+IF(INPUTS!$C$12="Beginning",F27*(1+G27)*(H27-1)/G27,F27*(H27-1)/G27)))</f>
        <v>1485303.088160773</v>
      </c>
      <c r="K27" s="26">
        <f>IF(A27="","",SUM($D$2:D27))</f>
        <v>436500</v>
      </c>
      <c r="L27" s="7">
        <f>IF(A27="","",(1+G27)^((Horizon_Rows+1-ROW())*E27)*IF(INPUTS!$C$12="Beginning",1+G27,1))</f>
        <v>6.1159090448414624</v>
      </c>
      <c r="M27" s="7">
        <f t="shared" si="5"/>
        <v>25</v>
      </c>
      <c r="N27" s="26">
        <f t="shared" si="6"/>
        <v>32000</v>
      </c>
      <c r="O27" s="26">
        <f t="shared" si="7"/>
        <v>32000</v>
      </c>
      <c r="P27" s="26">
        <f t="shared" si="8"/>
        <v>0</v>
      </c>
      <c r="Q27" s="21">
        <f t="shared" si="9"/>
        <v>195709.08943492681</v>
      </c>
      <c r="R27" s="7"/>
      <c r="S27" s="7"/>
      <c r="T27" s="7">
        <f>IF(A27="","",(1+'WHAT-IF SCENARIOS'!$B$8)^((Horizon_Rows+1-ROW())*E27+IF(INPUTS!$C$12="Beginning",1,0)))</f>
        <v>6.1159090448414632</v>
      </c>
      <c r="U27" s="7">
        <f t="shared" si="10"/>
        <v>195709.08943492683</v>
      </c>
      <c r="V27" s="7">
        <f>IF(A27="","",(1+'WHAT-IF SCENARIOS'!$B$25)^((Horizon_Rows+1-ROW())*E27+IF(INPUTS!$C$12="Beginning",1,0)))</f>
        <v>3.6165275350338129</v>
      </c>
      <c r="W27" s="7">
        <f t="shared" si="11"/>
        <v>115728.88112108201</v>
      </c>
      <c r="X27" s="7">
        <f>IF(A27="","",(1+'WHAT-IF SCENARIOS'!$B$27)^((Horizon_Rows+1-ROW())*E27+IF(INPUTS!$C$12="Beginning",1,0)))</f>
        <v>10.197422800640132</v>
      </c>
      <c r="Y27" s="7">
        <f t="shared" si="12"/>
        <v>326317.52962048422</v>
      </c>
      <c r="Z27" s="7">
        <f>IF(A27="","",IF(AND(A27&gt;='WHAT-IF SCENARIOS'!$B$41,A27&lt;'WHAT-IF SCENARIOS'!$B$41+'WHAT-IF SCENARIOS'!$B$42),0,D27))</f>
        <v>32000</v>
      </c>
      <c r="AA27" s="7">
        <f t="shared" si="13"/>
        <v>195709.08943492681</v>
      </c>
      <c r="AB27" s="7">
        <f>IF(A27="","",IF(B27&gt;'WHAT-IF SCENARIOS'!$B$49,0,D27))</f>
        <v>0</v>
      </c>
      <c r="AC27" s="7">
        <f t="shared" si="14"/>
        <v>0</v>
      </c>
    </row>
    <row r="28" spans="1:29" ht="18" customHeight="1" x14ac:dyDescent="0.25">
      <c r="A28" s="7">
        <f>IF(ENGINE!A28="","",ENGINE!A28)</f>
        <v>26</v>
      </c>
      <c r="B28" s="7">
        <f>IF(A28="","",ENGINE!B28)</f>
        <v>48</v>
      </c>
      <c r="C28" s="7">
        <f>IF(A28="","",IF(A28=0,INPUTS!$C$8,J27))</f>
        <v>1485303.088160773</v>
      </c>
      <c r="D28" s="7">
        <f>IF(A28="","",ENGINE!D28)</f>
        <v>34000</v>
      </c>
      <c r="E28" s="26">
        <f t="shared" si="0"/>
        <v>1</v>
      </c>
      <c r="F28" s="26">
        <f t="shared" si="1"/>
        <v>34000</v>
      </c>
      <c r="G28" s="26">
        <f t="shared" si="2"/>
        <v>0.10000000000000009</v>
      </c>
      <c r="H28" s="28">
        <f t="shared" si="3"/>
        <v>1.1000000000000001</v>
      </c>
      <c r="I28" s="26">
        <f t="shared" si="4"/>
        <v>151930.30881607742</v>
      </c>
      <c r="J28" s="26">
        <f>IF(A28="","",IF(G28=0,C28+D28,C28*H28+IF(INPUTS!$C$12="Beginning",F28*(1+G28)*(H28-1)/G28,F28*(H28-1)/G28)))</f>
        <v>1671233.3969768505</v>
      </c>
      <c r="K28" s="26">
        <f>IF(A28="","",SUM($D$2:D28))</f>
        <v>470500</v>
      </c>
      <c r="L28" s="7">
        <f>IF(A28="","",(1+G28)^((Horizon_Rows+1-ROW())*E28)*IF(INPUTS!$C$12="Beginning",1+G28,1))</f>
        <v>5.5599173134922379</v>
      </c>
      <c r="M28" s="7">
        <f t="shared" si="5"/>
        <v>26</v>
      </c>
      <c r="N28" s="26">
        <f t="shared" si="6"/>
        <v>34000</v>
      </c>
      <c r="O28" s="26">
        <f t="shared" si="7"/>
        <v>34000</v>
      </c>
      <c r="P28" s="26">
        <f t="shared" si="8"/>
        <v>0</v>
      </c>
      <c r="Q28" s="21">
        <f t="shared" si="9"/>
        <v>189037.18865873609</v>
      </c>
      <c r="R28" s="7"/>
      <c r="S28" s="7"/>
      <c r="T28" s="7">
        <f>IF(A28="","",(1+'WHAT-IF SCENARIOS'!$B$8)^((Horizon_Rows+1-ROW())*E28+IF(INPUTS!$C$12="Beginning",1,0)))</f>
        <v>5.5599173134922379</v>
      </c>
      <c r="U28" s="7">
        <f t="shared" si="10"/>
        <v>189037.18865873609</v>
      </c>
      <c r="V28" s="7">
        <f>IF(A28="","",(1+'WHAT-IF SCENARIOS'!$B$25)^((Horizon_Rows+1-ROW())*E28+IF(INPUTS!$C$12="Beginning",1,0)))</f>
        <v>3.3799322757325352</v>
      </c>
      <c r="W28" s="7">
        <f t="shared" si="11"/>
        <v>114917.6973749062</v>
      </c>
      <c r="X28" s="7">
        <f>IF(A28="","",(1+'WHAT-IF SCENARIOS'!$B$27)^((Horizon_Rows+1-ROW())*E28+IF(INPUTS!$C$12="Beginning",1,0)))</f>
        <v>9.02426796516826</v>
      </c>
      <c r="Y28" s="7">
        <f t="shared" si="12"/>
        <v>306825.11081572087</v>
      </c>
      <c r="Z28" s="7">
        <f>IF(A28="","",IF(AND(A28&gt;='WHAT-IF SCENARIOS'!$B$41,A28&lt;'WHAT-IF SCENARIOS'!$B$41+'WHAT-IF SCENARIOS'!$B$42),0,D28))</f>
        <v>34000</v>
      </c>
      <c r="AA28" s="7">
        <f t="shared" si="13"/>
        <v>189037.18865873609</v>
      </c>
      <c r="AB28" s="7">
        <f>IF(A28="","",IF(B28&gt;'WHAT-IF SCENARIOS'!$B$49,0,D28))</f>
        <v>0</v>
      </c>
      <c r="AC28" s="7">
        <f t="shared" si="14"/>
        <v>0</v>
      </c>
    </row>
    <row r="29" spans="1:29" ht="18" customHeight="1" x14ac:dyDescent="0.25">
      <c r="A29" s="7">
        <f>IF(ENGINE!A29="","",ENGINE!A29)</f>
        <v>27</v>
      </c>
      <c r="B29" s="7">
        <f>IF(A29="","",ENGINE!B29)</f>
        <v>49</v>
      </c>
      <c r="C29" s="7">
        <f>IF(A29="","",IF(A29=0,INPUTS!$C$8,J28))</f>
        <v>1671233.3969768505</v>
      </c>
      <c r="D29" s="7">
        <f>IF(A29="","",ENGINE!D29)</f>
        <v>36000</v>
      </c>
      <c r="E29" s="26">
        <f t="shared" si="0"/>
        <v>1</v>
      </c>
      <c r="F29" s="26">
        <f t="shared" si="1"/>
        <v>36000</v>
      </c>
      <c r="G29" s="26">
        <f t="shared" si="2"/>
        <v>0.10000000000000009</v>
      </c>
      <c r="H29" s="28">
        <f t="shared" si="3"/>
        <v>1.1000000000000001</v>
      </c>
      <c r="I29" s="26">
        <f t="shared" si="4"/>
        <v>170723.33969768509</v>
      </c>
      <c r="J29" s="26">
        <f>IF(A29="","",IF(G29=0,C29+D29,C29*H29+IF(INPUTS!$C$12="Beginning",F29*(1+G29)*(H29-1)/G29,F29*(H29-1)/G29)))</f>
        <v>1877956.7366745356</v>
      </c>
      <c r="K29" s="26">
        <f>IF(A29="","",SUM($D$2:D29))</f>
        <v>506500</v>
      </c>
      <c r="L29" s="7">
        <f>IF(A29="","",(1+G29)^((Horizon_Rows+1-ROW())*E29)*IF(INPUTS!$C$12="Beginning",1+G29,1))</f>
        <v>5.0544702849929433</v>
      </c>
      <c r="M29" s="7">
        <f t="shared" si="5"/>
        <v>27</v>
      </c>
      <c r="N29" s="26">
        <f t="shared" si="6"/>
        <v>36000</v>
      </c>
      <c r="O29" s="26">
        <f t="shared" si="7"/>
        <v>36000</v>
      </c>
      <c r="P29" s="26">
        <f t="shared" si="8"/>
        <v>0</v>
      </c>
      <c r="Q29" s="21">
        <f t="shared" si="9"/>
        <v>181960.93025974595</v>
      </c>
      <c r="R29" s="7"/>
      <c r="S29" s="7"/>
      <c r="T29" s="7">
        <f>IF(A29="","",(1+'WHAT-IF SCENARIOS'!$B$8)^((Horizon_Rows+1-ROW())*E29+IF(INPUTS!$C$12="Beginning",1,0)))</f>
        <v>5.0544702849929433</v>
      </c>
      <c r="U29" s="7">
        <f t="shared" si="10"/>
        <v>181960.93025974595</v>
      </c>
      <c r="V29" s="7">
        <f>IF(A29="","",(1+'WHAT-IF SCENARIOS'!$B$25)^((Horizon_Rows+1-ROW())*E29+IF(INPUTS!$C$12="Beginning",1,0)))</f>
        <v>3.1588152109649861</v>
      </c>
      <c r="W29" s="7">
        <f t="shared" si="11"/>
        <v>113717.34759473951</v>
      </c>
      <c r="X29" s="7">
        <f>IF(A29="","",(1+'WHAT-IF SCENARIOS'!$B$27)^((Horizon_Rows+1-ROW())*E29+IF(INPUTS!$C$12="Beginning",1,0)))</f>
        <v>7.9860778452816472</v>
      </c>
      <c r="Y29" s="7">
        <f t="shared" si="12"/>
        <v>287498.80243013927</v>
      </c>
      <c r="Z29" s="7">
        <f>IF(A29="","",IF(AND(A29&gt;='WHAT-IF SCENARIOS'!$B$41,A29&lt;'WHAT-IF SCENARIOS'!$B$41+'WHAT-IF SCENARIOS'!$B$42),0,D29))</f>
        <v>36000</v>
      </c>
      <c r="AA29" s="7">
        <f t="shared" si="13"/>
        <v>181960.93025974595</v>
      </c>
      <c r="AB29" s="7">
        <f>IF(A29="","",IF(B29&gt;'WHAT-IF SCENARIOS'!$B$49,0,D29))</f>
        <v>0</v>
      </c>
      <c r="AC29" s="7">
        <f t="shared" si="14"/>
        <v>0</v>
      </c>
    </row>
    <row r="30" spans="1:29" ht="18" customHeight="1" x14ac:dyDescent="0.25">
      <c r="A30" s="7">
        <f>IF(ENGINE!A30="","",ENGINE!A30)</f>
        <v>28</v>
      </c>
      <c r="B30" s="7">
        <f>IF(A30="","",ENGINE!B30)</f>
        <v>50</v>
      </c>
      <c r="C30" s="7">
        <f>IF(A30="","",IF(A30=0,INPUTS!$C$8,J29))</f>
        <v>1877956.7366745356</v>
      </c>
      <c r="D30" s="7">
        <f>IF(A30="","",ENGINE!D30)</f>
        <v>43600</v>
      </c>
      <c r="E30" s="26">
        <f t="shared" si="0"/>
        <v>1</v>
      </c>
      <c r="F30" s="26">
        <f t="shared" si="1"/>
        <v>43600</v>
      </c>
      <c r="G30" s="26">
        <f t="shared" si="2"/>
        <v>0.10000000000000009</v>
      </c>
      <c r="H30" s="28">
        <f t="shared" si="3"/>
        <v>1.1000000000000001</v>
      </c>
      <c r="I30" s="26">
        <f t="shared" si="4"/>
        <v>192155.6736674537</v>
      </c>
      <c r="J30" s="26">
        <f>IF(A30="","",IF(G30=0,C30+D30,C30*H30+IF(INPUTS!$C$12="Beginning",F30*(1+G30)*(H30-1)/G30,F30*(H30-1)/G30)))</f>
        <v>2113712.4103419892</v>
      </c>
      <c r="K30" s="26">
        <f>IF(A30="","",SUM($D$2:D30))</f>
        <v>550100</v>
      </c>
      <c r="L30" s="7">
        <f>IF(A30="","",(1+G30)^((Horizon_Rows+1-ROW())*E30)*IF(INPUTS!$C$12="Beginning",1+G30,1))</f>
        <v>4.5949729863572211</v>
      </c>
      <c r="M30" s="7">
        <f t="shared" si="5"/>
        <v>28</v>
      </c>
      <c r="N30" s="26">
        <f t="shared" si="6"/>
        <v>43600</v>
      </c>
      <c r="O30" s="26">
        <f t="shared" si="7"/>
        <v>43600</v>
      </c>
      <c r="P30" s="26">
        <f t="shared" si="8"/>
        <v>0</v>
      </c>
      <c r="Q30" s="21">
        <f t="shared" si="9"/>
        <v>200340.82220517483</v>
      </c>
      <c r="R30" s="7"/>
      <c r="S30" s="7"/>
      <c r="T30" s="7">
        <f>IF(A30="","",(1+'WHAT-IF SCENARIOS'!$B$8)^((Horizon_Rows+1-ROW())*E30+IF(INPUTS!$C$12="Beginning",1,0)))</f>
        <v>4.5949729863572211</v>
      </c>
      <c r="U30" s="7">
        <f t="shared" si="10"/>
        <v>200340.82220517483</v>
      </c>
      <c r="V30" s="7">
        <f>IF(A30="","",(1+'WHAT-IF SCENARIOS'!$B$25)^((Horizon_Rows+1-ROW())*E30+IF(INPUTS!$C$12="Beginning",1,0)))</f>
        <v>2.9521637485654075</v>
      </c>
      <c r="W30" s="7">
        <f t="shared" si="11"/>
        <v>128714.33943745177</v>
      </c>
      <c r="X30" s="7">
        <f>IF(A30="","",(1+'WHAT-IF SCENARIOS'!$B$27)^((Horizon_Rows+1-ROW())*E30+IF(INPUTS!$C$12="Beginning",1,0)))</f>
        <v>7.0673255267979185</v>
      </c>
      <c r="Y30" s="7">
        <f t="shared" si="12"/>
        <v>308135.39296838926</v>
      </c>
      <c r="Z30" s="7">
        <f>IF(A30="","",IF(AND(A30&gt;='WHAT-IF SCENARIOS'!$B$41,A30&lt;'WHAT-IF SCENARIOS'!$B$41+'WHAT-IF SCENARIOS'!$B$42),0,D30))</f>
        <v>43600</v>
      </c>
      <c r="AA30" s="7">
        <f t="shared" si="13"/>
        <v>200340.82220517483</v>
      </c>
      <c r="AB30" s="7">
        <f>IF(A30="","",IF(B30&gt;'WHAT-IF SCENARIOS'!$B$49,0,D30))</f>
        <v>0</v>
      </c>
      <c r="AC30" s="7">
        <f t="shared" si="14"/>
        <v>0</v>
      </c>
    </row>
    <row r="31" spans="1:29" ht="18" customHeight="1" x14ac:dyDescent="0.25">
      <c r="A31" s="7">
        <f>IF(ENGINE!A31="","",ENGINE!A31)</f>
        <v>29</v>
      </c>
      <c r="B31" s="7">
        <f>IF(A31="","",ENGINE!B31)</f>
        <v>51</v>
      </c>
      <c r="C31" s="7">
        <f>IF(A31="","",IF(A31=0,INPUTS!$C$8,J30))</f>
        <v>2113712.4103419892</v>
      </c>
      <c r="D31" s="7">
        <f>IF(A31="","",ENGINE!D31)</f>
        <v>46400</v>
      </c>
      <c r="E31" s="26">
        <f t="shared" si="0"/>
        <v>1</v>
      </c>
      <c r="F31" s="26">
        <f t="shared" si="1"/>
        <v>46400</v>
      </c>
      <c r="G31" s="26">
        <f t="shared" si="2"/>
        <v>0.10000000000000009</v>
      </c>
      <c r="H31" s="28">
        <f t="shared" si="3"/>
        <v>1.1000000000000001</v>
      </c>
      <c r="I31" s="26">
        <f t="shared" si="4"/>
        <v>216011.24103419902</v>
      </c>
      <c r="J31" s="26">
        <f>IF(A31="","",IF(G31=0,C31+D31,C31*H31+IF(INPUTS!$C$12="Beginning",F31*(1+G31)*(H31-1)/G31,F31*(H31-1)/G31)))</f>
        <v>2376123.6513761883</v>
      </c>
      <c r="K31" s="26">
        <f>IF(A31="","",SUM($D$2:D31))</f>
        <v>596500</v>
      </c>
      <c r="L31" s="7">
        <f>IF(A31="","",(1+G31)^((Horizon_Rows+1-ROW())*E31)*IF(INPUTS!$C$12="Beginning",1+G31,1))</f>
        <v>4.1772481694156554</v>
      </c>
      <c r="M31" s="7">
        <f t="shared" si="5"/>
        <v>29</v>
      </c>
      <c r="N31" s="26">
        <f t="shared" si="6"/>
        <v>46400</v>
      </c>
      <c r="O31" s="26">
        <f t="shared" si="7"/>
        <v>46400</v>
      </c>
      <c r="P31" s="26">
        <f t="shared" si="8"/>
        <v>0</v>
      </c>
      <c r="Q31" s="21">
        <f t="shared" si="9"/>
        <v>193824.31506088641</v>
      </c>
      <c r="R31" s="7"/>
      <c r="S31" s="7"/>
      <c r="T31" s="7">
        <f>IF(A31="","",(1+'WHAT-IF SCENARIOS'!$B$8)^((Horizon_Rows+1-ROW())*E31+IF(INPUTS!$C$12="Beginning",1,0)))</f>
        <v>4.1772481694156554</v>
      </c>
      <c r="U31" s="7">
        <f t="shared" si="10"/>
        <v>193824.31506088641</v>
      </c>
      <c r="V31" s="7">
        <f>IF(A31="","",(1+'WHAT-IF SCENARIOS'!$B$25)^((Horizon_Rows+1-ROW())*E31+IF(INPUTS!$C$12="Beginning",1,0)))</f>
        <v>2.7590315407153345</v>
      </c>
      <c r="W31" s="7">
        <f t="shared" si="11"/>
        <v>128019.06348919153</v>
      </c>
      <c r="X31" s="7">
        <f>IF(A31="","",(1+'WHAT-IF SCENARIOS'!$B$27)^((Horizon_Rows+1-ROW())*E31+IF(INPUTS!$C$12="Beginning",1,0)))</f>
        <v>6.2542703776972735</v>
      </c>
      <c r="Y31" s="7">
        <f t="shared" si="12"/>
        <v>290198.14552515349</v>
      </c>
      <c r="Z31" s="7">
        <f>IF(A31="","",IF(AND(A31&gt;='WHAT-IF SCENARIOS'!$B$41,A31&lt;'WHAT-IF SCENARIOS'!$B$41+'WHAT-IF SCENARIOS'!$B$42),0,D31))</f>
        <v>46400</v>
      </c>
      <c r="AA31" s="7">
        <f t="shared" si="13"/>
        <v>193824.31506088641</v>
      </c>
      <c r="AB31" s="7">
        <f>IF(A31="","",IF(B31&gt;'WHAT-IF SCENARIOS'!$B$49,0,D31))</f>
        <v>0</v>
      </c>
      <c r="AC31" s="7">
        <f t="shared" si="14"/>
        <v>0</v>
      </c>
    </row>
    <row r="32" spans="1:29" ht="18" customHeight="1" x14ac:dyDescent="0.25">
      <c r="A32" s="7">
        <f>IF(ENGINE!A32="","",ENGINE!A32)</f>
        <v>30</v>
      </c>
      <c r="B32" s="7">
        <f>IF(A32="","",ENGINE!B32)</f>
        <v>52</v>
      </c>
      <c r="C32" s="7">
        <f>IF(A32="","",IF(A32=0,INPUTS!$C$8,J31))</f>
        <v>2376123.6513761883</v>
      </c>
      <c r="D32" s="7">
        <f>IF(A32="","",ENGINE!D32)</f>
        <v>49300</v>
      </c>
      <c r="E32" s="26">
        <f t="shared" si="0"/>
        <v>1</v>
      </c>
      <c r="F32" s="26">
        <f t="shared" si="1"/>
        <v>49300</v>
      </c>
      <c r="G32" s="26">
        <f t="shared" si="2"/>
        <v>0.10000000000000009</v>
      </c>
      <c r="H32" s="28">
        <f t="shared" si="3"/>
        <v>1.1000000000000001</v>
      </c>
      <c r="I32" s="26">
        <f t="shared" si="4"/>
        <v>242542.36513761897</v>
      </c>
      <c r="J32" s="26">
        <f>IF(A32="","",IF(G32=0,C32+D32,C32*H32+IF(INPUTS!$C$12="Beginning",F32*(1+G32)*(H32-1)/G32,F32*(H32-1)/G32)))</f>
        <v>2667966.0165138072</v>
      </c>
      <c r="K32" s="26">
        <f>IF(A32="","",SUM($D$2:D32))</f>
        <v>645800</v>
      </c>
      <c r="L32" s="7">
        <f>IF(A32="","",(1+G32)^((Horizon_Rows+1-ROW())*E32)*IF(INPUTS!$C$12="Beginning",1+G32,1))</f>
        <v>3.7974983358324135</v>
      </c>
      <c r="M32" s="7">
        <f t="shared" si="5"/>
        <v>30</v>
      </c>
      <c r="N32" s="26">
        <f t="shared" si="6"/>
        <v>49300</v>
      </c>
      <c r="O32" s="26">
        <f t="shared" si="7"/>
        <v>49300</v>
      </c>
      <c r="P32" s="26">
        <f t="shared" si="8"/>
        <v>0</v>
      </c>
      <c r="Q32" s="21">
        <f t="shared" si="9"/>
        <v>187216.66795653797</v>
      </c>
      <c r="R32" s="7"/>
      <c r="S32" s="7"/>
      <c r="T32" s="7">
        <f>IF(A32="","",(1+'WHAT-IF SCENARIOS'!$B$8)^((Horizon_Rows+1-ROW())*E32+IF(INPUTS!$C$12="Beginning",1,0)))</f>
        <v>3.7974983358324139</v>
      </c>
      <c r="U32" s="7">
        <f t="shared" si="10"/>
        <v>187216.667956538</v>
      </c>
      <c r="V32" s="7">
        <f>IF(A32="","",(1+'WHAT-IF SCENARIOS'!$B$25)^((Horizon_Rows+1-ROW())*E32+IF(INPUTS!$C$12="Beginning",1,0)))</f>
        <v>2.5785341502012469</v>
      </c>
      <c r="W32" s="7">
        <f t="shared" si="11"/>
        <v>127121.73360492146</v>
      </c>
      <c r="X32" s="7">
        <f>IF(A32="","",(1+'WHAT-IF SCENARIOS'!$B$27)^((Horizon_Rows+1-ROW())*E32+IF(INPUTS!$C$12="Beginning",1,0)))</f>
        <v>5.5347525466347554</v>
      </c>
      <c r="Y32" s="7">
        <f t="shared" si="12"/>
        <v>272863.30054909346</v>
      </c>
      <c r="Z32" s="7">
        <f>IF(A32="","",IF(AND(A32&gt;='WHAT-IF SCENARIOS'!$B$41,A32&lt;'WHAT-IF SCENARIOS'!$B$41+'WHAT-IF SCENARIOS'!$B$42),0,D32))</f>
        <v>49300</v>
      </c>
      <c r="AA32" s="7">
        <f t="shared" si="13"/>
        <v>187216.66795653797</v>
      </c>
      <c r="AB32" s="7">
        <f>IF(A32="","",IF(B32&gt;'WHAT-IF SCENARIOS'!$B$49,0,D32))</f>
        <v>0</v>
      </c>
      <c r="AC32" s="7">
        <f t="shared" si="14"/>
        <v>0</v>
      </c>
    </row>
    <row r="33" spans="1:29" ht="18" customHeight="1" x14ac:dyDescent="0.25">
      <c r="A33" s="7">
        <f>IF(ENGINE!A33="","",ENGINE!A33)</f>
        <v>31</v>
      </c>
      <c r="B33" s="7">
        <f>IF(A33="","",ENGINE!B33)</f>
        <v>53</v>
      </c>
      <c r="C33" s="7">
        <f>IF(A33="","",IF(A33=0,INPUTS!$C$8,J32))</f>
        <v>2667966.0165138072</v>
      </c>
      <c r="D33" s="7">
        <f>IF(A33="","",ENGINE!D33)</f>
        <v>52100</v>
      </c>
      <c r="E33" s="26">
        <f t="shared" si="0"/>
        <v>1</v>
      </c>
      <c r="F33" s="26">
        <f t="shared" si="1"/>
        <v>52100</v>
      </c>
      <c r="G33" s="26">
        <f t="shared" si="2"/>
        <v>0.10000000000000009</v>
      </c>
      <c r="H33" s="28">
        <f t="shared" si="3"/>
        <v>1.1000000000000001</v>
      </c>
      <c r="I33" s="26">
        <f t="shared" si="4"/>
        <v>272006.60165138077</v>
      </c>
      <c r="J33" s="26">
        <f>IF(A33="","",IF(G33=0,C33+D33,C33*H33+IF(INPUTS!$C$12="Beginning",F33*(1+G33)*(H33-1)/G33,F33*(H33-1)/G33)))</f>
        <v>2992072.618165188</v>
      </c>
      <c r="K33" s="26">
        <f>IF(A33="","",SUM($D$2:D33))</f>
        <v>697900</v>
      </c>
      <c r="L33" s="7">
        <f>IF(A33="","",(1+G33)^((Horizon_Rows+1-ROW())*E33)*IF(INPUTS!$C$12="Beginning",1+G33,1))</f>
        <v>3.4522712143931034</v>
      </c>
      <c r="M33" s="7">
        <f t="shared" si="5"/>
        <v>31</v>
      </c>
      <c r="N33" s="26">
        <f t="shared" si="6"/>
        <v>52100</v>
      </c>
      <c r="O33" s="26">
        <f t="shared" si="7"/>
        <v>52100</v>
      </c>
      <c r="P33" s="26">
        <f t="shared" si="8"/>
        <v>0</v>
      </c>
      <c r="Q33" s="21">
        <f t="shared" si="9"/>
        <v>179863.33026988068</v>
      </c>
      <c r="R33" s="7"/>
      <c r="S33" s="7"/>
      <c r="T33" s="7">
        <f>IF(A33="","",(1+'WHAT-IF SCENARIOS'!$B$8)^((Horizon_Rows+1-ROW())*E33+IF(INPUTS!$C$12="Beginning",1,0)))</f>
        <v>3.4522712143931029</v>
      </c>
      <c r="U33" s="7">
        <f t="shared" si="10"/>
        <v>179863.33026988065</v>
      </c>
      <c r="V33" s="7">
        <f>IF(A33="","",(1+'WHAT-IF SCENARIOS'!$B$25)^((Horizon_Rows+1-ROW())*E33+IF(INPUTS!$C$12="Beginning",1,0)))</f>
        <v>2.4098450001880813</v>
      </c>
      <c r="W33" s="7">
        <f t="shared" si="11"/>
        <v>125552.92450979904</v>
      </c>
      <c r="X33" s="7">
        <f>IF(A33="","",(1+'WHAT-IF SCENARIOS'!$B$27)^((Horizon_Rows+1-ROW())*E33+IF(INPUTS!$C$12="Beginning",1,0)))</f>
        <v>4.8980111032165992</v>
      </c>
      <c r="Y33" s="7">
        <f t="shared" si="12"/>
        <v>255186.3784775848</v>
      </c>
      <c r="Z33" s="7">
        <f>IF(A33="","",IF(AND(A33&gt;='WHAT-IF SCENARIOS'!$B$41,A33&lt;'WHAT-IF SCENARIOS'!$B$41+'WHAT-IF SCENARIOS'!$B$42),0,D33))</f>
        <v>52100</v>
      </c>
      <c r="AA33" s="7">
        <f t="shared" si="13"/>
        <v>179863.33026988068</v>
      </c>
      <c r="AB33" s="7">
        <f>IF(A33="","",IF(B33&gt;'WHAT-IF SCENARIOS'!$B$49,0,D33))</f>
        <v>0</v>
      </c>
      <c r="AC33" s="7">
        <f t="shared" si="14"/>
        <v>0</v>
      </c>
    </row>
    <row r="34" spans="1:29" ht="18" customHeight="1" x14ac:dyDescent="0.25">
      <c r="A34" s="7">
        <f>IF(ENGINE!A34="","",ENGINE!A34)</f>
        <v>32</v>
      </c>
      <c r="B34" s="7">
        <f>IF(A34="","",ENGINE!B34)</f>
        <v>54</v>
      </c>
      <c r="C34" s="7">
        <f>IF(A34="","",IF(A34=0,INPUTS!$C$8,J33))</f>
        <v>2992072.618165188</v>
      </c>
      <c r="D34" s="7">
        <f>IF(A34="","",ENGINE!D34)</f>
        <v>55000</v>
      </c>
      <c r="E34" s="26">
        <f t="shared" si="0"/>
        <v>1</v>
      </c>
      <c r="F34" s="26">
        <f t="shared" si="1"/>
        <v>55000</v>
      </c>
      <c r="G34" s="26">
        <f t="shared" si="2"/>
        <v>0.10000000000000009</v>
      </c>
      <c r="H34" s="28">
        <f t="shared" si="3"/>
        <v>1.1000000000000001</v>
      </c>
      <c r="I34" s="26">
        <f t="shared" si="4"/>
        <v>304707.26181651885</v>
      </c>
      <c r="J34" s="26">
        <f>IF(A34="","",IF(G34=0,C34+D34,C34*H34+IF(INPUTS!$C$12="Beginning",F34*(1+G34)*(H34-1)/G34,F34*(H34-1)/G34)))</f>
        <v>3351779.8799817069</v>
      </c>
      <c r="K34" s="26">
        <f>IF(A34="","",SUM($D$2:D34))</f>
        <v>752900</v>
      </c>
      <c r="L34" s="7">
        <f>IF(A34="","",(1+G34)^((Horizon_Rows+1-ROW())*E34)*IF(INPUTS!$C$12="Beginning",1+G34,1))</f>
        <v>3.1384283767210031</v>
      </c>
      <c r="M34" s="7">
        <f t="shared" si="5"/>
        <v>32</v>
      </c>
      <c r="N34" s="26">
        <f t="shared" si="6"/>
        <v>55000</v>
      </c>
      <c r="O34" s="26">
        <f t="shared" si="7"/>
        <v>55000</v>
      </c>
      <c r="P34" s="26">
        <f t="shared" si="8"/>
        <v>0</v>
      </c>
      <c r="Q34" s="21">
        <f t="shared" si="9"/>
        <v>172613.56071965516</v>
      </c>
      <c r="R34" s="7"/>
      <c r="S34" s="7"/>
      <c r="T34" s="7">
        <f>IF(A34="","",(1+'WHAT-IF SCENARIOS'!$B$8)^((Horizon_Rows+1-ROW())*E34+IF(INPUTS!$C$12="Beginning",1,0)))</f>
        <v>3.1384283767210026</v>
      </c>
      <c r="U34" s="7">
        <f t="shared" si="10"/>
        <v>172613.56071965516</v>
      </c>
      <c r="V34" s="7">
        <f>IF(A34="","",(1+'WHAT-IF SCENARIOS'!$B$25)^((Horizon_Rows+1-ROW())*E34+IF(INPUTS!$C$12="Beginning",1,0)))</f>
        <v>2.2521915889608235</v>
      </c>
      <c r="W34" s="7">
        <f t="shared" si="11"/>
        <v>123870.53739284529</v>
      </c>
      <c r="X34" s="7">
        <f>IF(A34="","",(1+'WHAT-IF SCENARIOS'!$B$27)^((Horizon_Rows+1-ROW())*E34+IF(INPUTS!$C$12="Beginning",1,0)))</f>
        <v>4.3345231001916806</v>
      </c>
      <c r="Y34" s="7">
        <f t="shared" si="12"/>
        <v>238398.77051054244</v>
      </c>
      <c r="Z34" s="7">
        <f>IF(A34="","",IF(AND(A34&gt;='WHAT-IF SCENARIOS'!$B$41,A34&lt;'WHAT-IF SCENARIOS'!$B$41+'WHAT-IF SCENARIOS'!$B$42),0,D34))</f>
        <v>55000</v>
      </c>
      <c r="AA34" s="7">
        <f t="shared" si="13"/>
        <v>172613.56071965516</v>
      </c>
      <c r="AB34" s="7">
        <f>IF(A34="","",IF(B34&gt;'WHAT-IF SCENARIOS'!$B$49,0,D34))</f>
        <v>0</v>
      </c>
      <c r="AC34" s="7">
        <f t="shared" si="14"/>
        <v>0</v>
      </c>
    </row>
    <row r="35" spans="1:29" ht="18" customHeight="1" x14ac:dyDescent="0.25">
      <c r="A35" s="7">
        <f>IF(ENGINE!A35="","",ENGINE!A35)</f>
        <v>33</v>
      </c>
      <c r="B35" s="7">
        <f>IF(A35="","",ENGINE!B35)</f>
        <v>55</v>
      </c>
      <c r="C35" s="7">
        <f>IF(A35="","",IF(A35=0,INPUTS!$C$8,J34))</f>
        <v>3351779.8799817069</v>
      </c>
      <c r="D35" s="7">
        <f>IF(A35="","",ENGINE!D35)</f>
        <v>58500</v>
      </c>
      <c r="E35" s="26">
        <f t="shared" si="0"/>
        <v>1</v>
      </c>
      <c r="F35" s="26">
        <f t="shared" si="1"/>
        <v>58500</v>
      </c>
      <c r="G35" s="26">
        <f t="shared" si="2"/>
        <v>0.10000000000000009</v>
      </c>
      <c r="H35" s="28">
        <f t="shared" si="3"/>
        <v>1.1000000000000001</v>
      </c>
      <c r="I35" s="26">
        <f t="shared" si="4"/>
        <v>341027.98799817078</v>
      </c>
      <c r="J35" s="26">
        <f>IF(A35="","",IF(G35=0,C35+D35,C35*H35+IF(INPUTS!$C$12="Beginning",F35*(1+G35)*(H35-1)/G35,F35*(H35-1)/G35)))</f>
        <v>3751307.8679798776</v>
      </c>
      <c r="K35" s="26">
        <f>IF(A35="","",SUM($D$2:D35))</f>
        <v>811400</v>
      </c>
      <c r="L35" s="7">
        <f>IF(A35="","",(1+G35)^((Horizon_Rows+1-ROW())*E35)*IF(INPUTS!$C$12="Beginning",1+G35,1))</f>
        <v>2.8531167061100025</v>
      </c>
      <c r="M35" s="7">
        <f t="shared" si="5"/>
        <v>33</v>
      </c>
      <c r="N35" s="26">
        <f t="shared" si="6"/>
        <v>58500</v>
      </c>
      <c r="O35" s="26">
        <f t="shared" si="7"/>
        <v>58500</v>
      </c>
      <c r="P35" s="26">
        <f t="shared" si="8"/>
        <v>0</v>
      </c>
      <c r="Q35" s="21">
        <f t="shared" si="9"/>
        <v>166907.32730743513</v>
      </c>
      <c r="R35" s="7"/>
      <c r="S35" s="7"/>
      <c r="T35" s="7">
        <f>IF(A35="","",(1+'WHAT-IF SCENARIOS'!$B$8)^((Horizon_Rows+1-ROW())*E35+IF(INPUTS!$C$12="Beginning",1,0)))</f>
        <v>2.8531167061100025</v>
      </c>
      <c r="U35" s="7">
        <f t="shared" si="10"/>
        <v>166907.32730743513</v>
      </c>
      <c r="V35" s="7">
        <f>IF(A35="","",(1+'WHAT-IF SCENARIOS'!$B$25)^((Horizon_Rows+1-ROW())*E35+IF(INPUTS!$C$12="Beginning",1,0)))</f>
        <v>2.1048519522998355</v>
      </c>
      <c r="W35" s="7">
        <f t="shared" si="11"/>
        <v>123133.83920954037</v>
      </c>
      <c r="X35" s="7">
        <f>IF(A35="","",(1+'WHAT-IF SCENARIOS'!$B$27)^((Horizon_Rows+1-ROW())*E35+IF(INPUTS!$C$12="Beginning",1,0)))</f>
        <v>3.8358611506121072</v>
      </c>
      <c r="Y35" s="7">
        <f t="shared" si="12"/>
        <v>224397.87731080828</v>
      </c>
      <c r="Z35" s="7">
        <f>IF(A35="","",IF(AND(A35&gt;='WHAT-IF SCENARIOS'!$B$41,A35&lt;'WHAT-IF SCENARIOS'!$B$41+'WHAT-IF SCENARIOS'!$B$42),0,D35))</f>
        <v>58500</v>
      </c>
      <c r="AA35" s="7">
        <f t="shared" si="13"/>
        <v>166907.32730743513</v>
      </c>
      <c r="AB35" s="7">
        <f>IF(A35="","",IF(B35&gt;'WHAT-IF SCENARIOS'!$B$49,0,D35))</f>
        <v>0</v>
      </c>
      <c r="AC35" s="7">
        <f t="shared" si="14"/>
        <v>0</v>
      </c>
    </row>
    <row r="36" spans="1:29" ht="18" customHeight="1" x14ac:dyDescent="0.25">
      <c r="A36" s="7">
        <f>IF(ENGINE!A36="","",ENGINE!A36)</f>
        <v>34</v>
      </c>
      <c r="B36" s="7">
        <f>IF(A36="","",ENGINE!B36)</f>
        <v>56</v>
      </c>
      <c r="C36" s="7">
        <f>IF(A36="","",IF(A36=0,INPUTS!$C$8,J35))</f>
        <v>3751307.8679798776</v>
      </c>
      <c r="D36" s="7">
        <f>IF(A36="","",ENGINE!D36)</f>
        <v>61900</v>
      </c>
      <c r="E36" s="26">
        <f t="shared" si="0"/>
        <v>1</v>
      </c>
      <c r="F36" s="26">
        <f t="shared" si="1"/>
        <v>61900</v>
      </c>
      <c r="G36" s="26">
        <f t="shared" si="2"/>
        <v>0.10000000000000009</v>
      </c>
      <c r="H36" s="28">
        <f t="shared" si="3"/>
        <v>1.1000000000000001</v>
      </c>
      <c r="I36" s="26">
        <f t="shared" si="4"/>
        <v>381320.78679798823</v>
      </c>
      <c r="J36" s="26">
        <f>IF(A36="","",IF(G36=0,C36+D36,C36*H36+IF(INPUTS!$C$12="Beginning",F36*(1+G36)*(H36-1)/G36,F36*(H36-1)/G36)))</f>
        <v>4194528.6547778659</v>
      </c>
      <c r="K36" s="26">
        <f>IF(A36="","",SUM($D$2:D36))</f>
        <v>873300</v>
      </c>
      <c r="L36" s="7">
        <f>IF(A36="","",(1+G36)^((Horizon_Rows+1-ROW())*E36)*IF(INPUTS!$C$12="Beginning",1+G36,1))</f>
        <v>2.5937424601000019</v>
      </c>
      <c r="M36" s="7">
        <f t="shared" si="5"/>
        <v>34</v>
      </c>
      <c r="N36" s="26">
        <f t="shared" si="6"/>
        <v>61900</v>
      </c>
      <c r="O36" s="26">
        <f t="shared" si="7"/>
        <v>61900</v>
      </c>
      <c r="P36" s="26">
        <f t="shared" si="8"/>
        <v>0</v>
      </c>
      <c r="Q36" s="21">
        <f t="shared" si="9"/>
        <v>160552.65828019011</v>
      </c>
      <c r="R36" s="7"/>
      <c r="S36" s="7"/>
      <c r="T36" s="7">
        <f>IF(A36="","",(1+'WHAT-IF SCENARIOS'!$B$8)^((Horizon_Rows+1-ROW())*E36+IF(INPUTS!$C$12="Beginning",1,0)))</f>
        <v>2.5937424601000019</v>
      </c>
      <c r="U36" s="7">
        <f t="shared" si="10"/>
        <v>160552.65828019011</v>
      </c>
      <c r="V36" s="7">
        <f>IF(A36="","",(1+'WHAT-IF SCENARIOS'!$B$25)^((Horizon_Rows+1-ROW())*E36+IF(INPUTS!$C$12="Beginning",1,0)))</f>
        <v>1.9671513572895656</v>
      </c>
      <c r="W36" s="7">
        <f t="shared" si="11"/>
        <v>121766.66901622411</v>
      </c>
      <c r="X36" s="7">
        <f>IF(A36="","",(1+'WHAT-IF SCENARIOS'!$B$27)^((Horizon_Rows+1-ROW())*E36+IF(INPUTS!$C$12="Beginning",1,0)))</f>
        <v>3.3945673899222193</v>
      </c>
      <c r="Y36" s="7">
        <f t="shared" si="12"/>
        <v>210123.72143618538</v>
      </c>
      <c r="Z36" s="7">
        <f>IF(A36="","",IF(AND(A36&gt;='WHAT-IF SCENARIOS'!$B$41,A36&lt;'WHAT-IF SCENARIOS'!$B$41+'WHAT-IF SCENARIOS'!$B$42),0,D36))</f>
        <v>61900</v>
      </c>
      <c r="AA36" s="7">
        <f t="shared" si="13"/>
        <v>160552.65828019011</v>
      </c>
      <c r="AB36" s="7">
        <f>IF(A36="","",IF(B36&gt;'WHAT-IF SCENARIOS'!$B$49,0,D36))</f>
        <v>0</v>
      </c>
      <c r="AC36" s="7">
        <f t="shared" si="14"/>
        <v>0</v>
      </c>
    </row>
    <row r="37" spans="1:29" ht="18" customHeight="1" x14ac:dyDescent="0.25">
      <c r="A37" s="7">
        <f>IF(ENGINE!A37="","",ENGINE!A37)</f>
        <v>35</v>
      </c>
      <c r="B37" s="7">
        <f>IF(A37="","",ENGINE!B37)</f>
        <v>57</v>
      </c>
      <c r="C37" s="7">
        <f>IF(A37="","",IF(A37=0,INPUTS!$C$8,J36))</f>
        <v>4194528.6547778659</v>
      </c>
      <c r="D37" s="7">
        <f>IF(A37="","",ENGINE!D37)</f>
        <v>65900</v>
      </c>
      <c r="E37" s="26">
        <f t="shared" si="0"/>
        <v>1</v>
      </c>
      <c r="F37" s="26">
        <f t="shared" si="1"/>
        <v>65900</v>
      </c>
      <c r="G37" s="26">
        <f t="shared" si="2"/>
        <v>0.10000000000000009</v>
      </c>
      <c r="H37" s="28">
        <f t="shared" si="3"/>
        <v>1.1000000000000001</v>
      </c>
      <c r="I37" s="26">
        <f t="shared" si="4"/>
        <v>426042.86547778733</v>
      </c>
      <c r="J37" s="26">
        <f>IF(A37="","",IF(G37=0,C37+D37,C37*H37+IF(INPUTS!$C$12="Beginning",F37*(1+G37)*(H37-1)/G37,F37*(H37-1)/G37)))</f>
        <v>4686471.5202556532</v>
      </c>
      <c r="K37" s="26">
        <f>IF(A37="","",SUM($D$2:D37))</f>
        <v>939200</v>
      </c>
      <c r="L37" s="7">
        <f>IF(A37="","",(1+G37)^((Horizon_Rows+1-ROW())*E37)*IF(INPUTS!$C$12="Beginning",1+G37,1))</f>
        <v>2.3579476910000015</v>
      </c>
      <c r="M37" s="7">
        <f t="shared" si="5"/>
        <v>35</v>
      </c>
      <c r="N37" s="26">
        <f t="shared" si="6"/>
        <v>65900</v>
      </c>
      <c r="O37" s="26">
        <f t="shared" si="7"/>
        <v>65900</v>
      </c>
      <c r="P37" s="26">
        <f t="shared" si="8"/>
        <v>0</v>
      </c>
      <c r="Q37" s="21">
        <f t="shared" si="9"/>
        <v>155388.75283690009</v>
      </c>
      <c r="R37" s="7"/>
      <c r="S37" s="7"/>
      <c r="T37" s="7">
        <f>IF(A37="","",(1+'WHAT-IF SCENARIOS'!$B$8)^((Horizon_Rows+1-ROW())*E37+IF(INPUTS!$C$12="Beginning",1,0)))</f>
        <v>2.3579476910000015</v>
      </c>
      <c r="U37" s="7">
        <f t="shared" si="10"/>
        <v>155388.75283690009</v>
      </c>
      <c r="V37" s="7">
        <f>IF(A37="","",(1+'WHAT-IF SCENARIOS'!$B$25)^((Horizon_Rows+1-ROW())*E37+IF(INPUTS!$C$12="Beginning",1,0)))</f>
        <v>1.8384592124201549</v>
      </c>
      <c r="W37" s="7">
        <f t="shared" si="11"/>
        <v>121154.46209848821</v>
      </c>
      <c r="X37" s="7">
        <f>IF(A37="","",(1+'WHAT-IF SCENARIOS'!$B$27)^((Horizon_Rows+1-ROW())*E37+IF(INPUTS!$C$12="Beginning",1,0)))</f>
        <v>3.0040419379842653</v>
      </c>
      <c r="Y37" s="7">
        <f t="shared" si="12"/>
        <v>197966.3637131631</v>
      </c>
      <c r="Z37" s="7">
        <f>IF(A37="","",IF(AND(A37&gt;='WHAT-IF SCENARIOS'!$B$41,A37&lt;'WHAT-IF SCENARIOS'!$B$41+'WHAT-IF SCENARIOS'!$B$42),0,D37))</f>
        <v>65900</v>
      </c>
      <c r="AA37" s="7">
        <f t="shared" si="13"/>
        <v>155388.75283690009</v>
      </c>
      <c r="AB37" s="7">
        <f>IF(A37="","",IF(B37&gt;'WHAT-IF SCENARIOS'!$B$49,0,D37))</f>
        <v>0</v>
      </c>
      <c r="AC37" s="7">
        <f t="shared" si="14"/>
        <v>0</v>
      </c>
    </row>
    <row r="38" spans="1:29" ht="18" customHeight="1" x14ac:dyDescent="0.25">
      <c r="A38" s="7">
        <f>IF(ENGINE!A38="","",ENGINE!A38)</f>
        <v>36</v>
      </c>
      <c r="B38" s="7">
        <f>IF(A38="","",ENGINE!B38)</f>
        <v>58</v>
      </c>
      <c r="C38" s="7">
        <f>IF(A38="","",IF(A38=0,INPUTS!$C$8,J37))</f>
        <v>4686471.5202556532</v>
      </c>
      <c r="D38" s="7">
        <f>IF(A38="","",ENGINE!D38)</f>
        <v>69900</v>
      </c>
      <c r="E38" s="26">
        <f t="shared" si="0"/>
        <v>1</v>
      </c>
      <c r="F38" s="26">
        <f t="shared" si="1"/>
        <v>69900</v>
      </c>
      <c r="G38" s="26">
        <f t="shared" si="2"/>
        <v>0.10000000000000009</v>
      </c>
      <c r="H38" s="28">
        <f t="shared" si="3"/>
        <v>1.1000000000000001</v>
      </c>
      <c r="I38" s="26">
        <f t="shared" si="4"/>
        <v>475637.15202556551</v>
      </c>
      <c r="J38" s="26">
        <f>IF(A38="","",IF(G38=0,C38+D38,C38*H38+IF(INPUTS!$C$12="Beginning",F38*(1+G38)*(H38-1)/G38,F38*(H38-1)/G38)))</f>
        <v>5232008.6722812187</v>
      </c>
      <c r="K38" s="26">
        <f>IF(A38="","",SUM($D$2:D38))</f>
        <v>1009100</v>
      </c>
      <c r="L38" s="7">
        <f>IF(A38="","",(1+G38)^((Horizon_Rows+1-ROW())*E38)*IF(INPUTS!$C$12="Beginning",1+G38,1))</f>
        <v>2.1435888100000016</v>
      </c>
      <c r="M38" s="7">
        <f t="shared" si="5"/>
        <v>36</v>
      </c>
      <c r="N38" s="26">
        <f t="shared" si="6"/>
        <v>69900</v>
      </c>
      <c r="O38" s="26">
        <f t="shared" si="7"/>
        <v>69900</v>
      </c>
      <c r="P38" s="26">
        <f t="shared" si="8"/>
        <v>0</v>
      </c>
      <c r="Q38" s="21">
        <f t="shared" si="9"/>
        <v>149836.85781900011</v>
      </c>
      <c r="R38" s="7"/>
      <c r="S38" s="7"/>
      <c r="T38" s="7">
        <f>IF(A38="","",(1+'WHAT-IF SCENARIOS'!$B$8)^((Horizon_Rows+1-ROW())*E38+IF(INPUTS!$C$12="Beginning",1,0)))</f>
        <v>2.1435888100000011</v>
      </c>
      <c r="U38" s="7">
        <f t="shared" si="10"/>
        <v>149836.85781900008</v>
      </c>
      <c r="V38" s="7">
        <f>IF(A38="","",(1+'WHAT-IF SCENARIOS'!$B$25)^((Horizon_Rows+1-ROW())*E38+IF(INPUTS!$C$12="Beginning",1,0)))</f>
        <v>1.7181861798319202</v>
      </c>
      <c r="W38" s="7">
        <f t="shared" si="11"/>
        <v>120101.21397025122</v>
      </c>
      <c r="X38" s="7">
        <f>IF(A38="","",(1+'WHAT-IF SCENARIOS'!$B$27)^((Horizon_Rows+1-ROW())*E38+IF(INPUTS!$C$12="Beginning",1,0)))</f>
        <v>2.6584441929064297</v>
      </c>
      <c r="Y38" s="7">
        <f t="shared" si="12"/>
        <v>185825.24908415944</v>
      </c>
      <c r="Z38" s="7">
        <f>IF(A38="","",IF(AND(A38&gt;='WHAT-IF SCENARIOS'!$B$41,A38&lt;'WHAT-IF SCENARIOS'!$B$41+'WHAT-IF SCENARIOS'!$B$42),0,D38))</f>
        <v>69900</v>
      </c>
      <c r="AA38" s="7">
        <f t="shared" si="13"/>
        <v>149836.85781900011</v>
      </c>
      <c r="AB38" s="7">
        <f>IF(A38="","",IF(B38&gt;'WHAT-IF SCENARIOS'!$B$49,0,D38))</f>
        <v>0</v>
      </c>
      <c r="AC38" s="7">
        <f t="shared" si="14"/>
        <v>0</v>
      </c>
    </row>
    <row r="39" spans="1:29" ht="18" customHeight="1" x14ac:dyDescent="0.25">
      <c r="A39" s="7">
        <f>IF(ENGINE!A39="","",ENGINE!A39)</f>
        <v>37</v>
      </c>
      <c r="B39" s="7">
        <f>IF(A39="","",ENGINE!B39)</f>
        <v>59</v>
      </c>
      <c r="C39" s="7">
        <f>IF(A39="","",IF(A39=0,INPUTS!$C$8,J38))</f>
        <v>5232008.6722812187</v>
      </c>
      <c r="D39" s="7">
        <f>IF(A39="","",ENGINE!D39)</f>
        <v>73900</v>
      </c>
      <c r="E39" s="26">
        <f t="shared" si="0"/>
        <v>1</v>
      </c>
      <c r="F39" s="26">
        <f t="shared" si="1"/>
        <v>73900</v>
      </c>
      <c r="G39" s="26">
        <f t="shared" si="2"/>
        <v>0.10000000000000009</v>
      </c>
      <c r="H39" s="28">
        <f t="shared" si="3"/>
        <v>1.1000000000000001</v>
      </c>
      <c r="I39" s="26">
        <f t="shared" si="4"/>
        <v>530590.86722812243</v>
      </c>
      <c r="J39" s="26">
        <f>IF(A39="","",IF(G39=0,C39+D39,C39*H39+IF(INPUTS!$C$12="Beginning",F39*(1+G39)*(H39-1)/G39,F39*(H39-1)/G39)))</f>
        <v>5836499.5395093411</v>
      </c>
      <c r="K39" s="26">
        <f>IF(A39="","",SUM($D$2:D39))</f>
        <v>1083000</v>
      </c>
      <c r="L39" s="7">
        <f>IF(A39="","",(1+G39)^((Horizon_Rows+1-ROW())*E39)*IF(INPUTS!$C$12="Beginning",1+G39,1))</f>
        <v>1.948717100000001</v>
      </c>
      <c r="M39" s="7">
        <f t="shared" si="5"/>
        <v>37</v>
      </c>
      <c r="N39" s="26">
        <f t="shared" si="6"/>
        <v>73900</v>
      </c>
      <c r="O39" s="26">
        <f t="shared" si="7"/>
        <v>73900</v>
      </c>
      <c r="P39" s="26">
        <f t="shared" si="8"/>
        <v>0</v>
      </c>
      <c r="Q39" s="21">
        <f t="shared" si="9"/>
        <v>144010.19369000007</v>
      </c>
      <c r="R39" s="7"/>
      <c r="S39" s="7"/>
      <c r="T39" s="7">
        <f>IF(A39="","",(1+'WHAT-IF SCENARIOS'!$B$8)^((Horizon_Rows+1-ROW())*E39+IF(INPUTS!$C$12="Beginning",1,0)))</f>
        <v>1.9487171000000012</v>
      </c>
      <c r="U39" s="7">
        <f t="shared" si="10"/>
        <v>144010.1936900001</v>
      </c>
      <c r="V39" s="7">
        <f>IF(A39="","",(1+'WHAT-IF SCENARIOS'!$B$25)^((Horizon_Rows+1-ROW())*E39+IF(INPUTS!$C$12="Beginning",1,0)))</f>
        <v>1.6057814764784302</v>
      </c>
      <c r="W39" s="7">
        <f t="shared" si="11"/>
        <v>118667.25111175599</v>
      </c>
      <c r="X39" s="7">
        <f>IF(A39="","",(1+'WHAT-IF SCENARIOS'!$B$27)^((Horizon_Rows+1-ROW())*E39+IF(INPUTS!$C$12="Beginning",1,0)))</f>
        <v>2.352605480448168</v>
      </c>
      <c r="Y39" s="7">
        <f t="shared" si="12"/>
        <v>173857.54500511961</v>
      </c>
      <c r="Z39" s="7">
        <f>IF(A39="","",IF(AND(A39&gt;='WHAT-IF SCENARIOS'!$B$41,A39&lt;'WHAT-IF SCENARIOS'!$B$41+'WHAT-IF SCENARIOS'!$B$42),0,D39))</f>
        <v>73900</v>
      </c>
      <c r="AA39" s="7">
        <f t="shared" si="13"/>
        <v>144010.19369000007</v>
      </c>
      <c r="AB39" s="7">
        <f>IF(A39="","",IF(B39&gt;'WHAT-IF SCENARIOS'!$B$49,0,D39))</f>
        <v>0</v>
      </c>
      <c r="AC39" s="7">
        <f t="shared" si="14"/>
        <v>0</v>
      </c>
    </row>
    <row r="40" spans="1:29" ht="18" customHeight="1" x14ac:dyDescent="0.25">
      <c r="A40" s="7">
        <f>IF(ENGINE!A40="","",ENGINE!A40)</f>
        <v>38</v>
      </c>
      <c r="B40" s="7">
        <f>IF(A40="","",ENGINE!B40)</f>
        <v>60</v>
      </c>
      <c r="C40" s="7">
        <f>IF(A40="","",IF(A40=0,INPUTS!$C$8,J39))</f>
        <v>5836499.5395093411</v>
      </c>
      <c r="D40" s="7">
        <f>IF(A40="","",ENGINE!D40)</f>
        <v>78500</v>
      </c>
      <c r="E40" s="26">
        <f t="shared" si="0"/>
        <v>1</v>
      </c>
      <c r="F40" s="26">
        <f t="shared" si="1"/>
        <v>78500</v>
      </c>
      <c r="G40" s="26">
        <f t="shared" si="2"/>
        <v>0.10000000000000009</v>
      </c>
      <c r="H40" s="28">
        <f t="shared" si="3"/>
        <v>1.1000000000000001</v>
      </c>
      <c r="I40" s="26">
        <f t="shared" si="4"/>
        <v>591499.95395093504</v>
      </c>
      <c r="J40" s="26">
        <f>IF(A40="","",IF(G40=0,C40+D40,C40*H40+IF(INPUTS!$C$12="Beginning",F40*(1+G40)*(H40-1)/G40,F40*(H40-1)/G40)))</f>
        <v>6506499.4934602762</v>
      </c>
      <c r="K40" s="26">
        <f>IF(A40="","",SUM($D$2:D40))</f>
        <v>1161500</v>
      </c>
      <c r="L40" s="7">
        <f>IF(A40="","",(1+G40)^((Horizon_Rows+1-ROW())*E40)*IF(INPUTS!$C$12="Beginning",1+G40,1))</f>
        <v>1.7715610000000008</v>
      </c>
      <c r="M40" s="7">
        <f t="shared" si="5"/>
        <v>38</v>
      </c>
      <c r="N40" s="26">
        <f t="shared" si="6"/>
        <v>78500</v>
      </c>
      <c r="O40" s="26">
        <f t="shared" si="7"/>
        <v>78500</v>
      </c>
      <c r="P40" s="26">
        <f t="shared" si="8"/>
        <v>0</v>
      </c>
      <c r="Q40" s="21">
        <f t="shared" si="9"/>
        <v>139067.53850000005</v>
      </c>
      <c r="R40" s="7"/>
      <c r="S40" s="7"/>
      <c r="T40" s="7">
        <f>IF(A40="","",(1+'WHAT-IF SCENARIOS'!$B$8)^((Horizon_Rows+1-ROW())*E40+IF(INPUTS!$C$12="Beginning",1,0)))</f>
        <v>1.7715610000000008</v>
      </c>
      <c r="U40" s="7">
        <f t="shared" si="10"/>
        <v>139067.53850000005</v>
      </c>
      <c r="V40" s="7">
        <f>IF(A40="","",(1+'WHAT-IF SCENARIOS'!$B$25)^((Horizon_Rows+1-ROW())*E40+IF(INPUTS!$C$12="Beginning",1,0)))</f>
        <v>1.5007303518490001</v>
      </c>
      <c r="W40" s="7">
        <f t="shared" si="11"/>
        <v>117807.33262014651</v>
      </c>
      <c r="X40" s="7">
        <f>IF(A40="","",(1+'WHAT-IF SCENARIOS'!$B$27)^((Horizon_Rows+1-ROW())*E40+IF(INPUTS!$C$12="Beginning",1,0)))</f>
        <v>2.0819517526089983</v>
      </c>
      <c r="Y40" s="7">
        <f t="shared" si="12"/>
        <v>163433.21257980636</v>
      </c>
      <c r="Z40" s="7">
        <f>IF(A40="","",IF(AND(A40&gt;='WHAT-IF SCENARIOS'!$B$41,A40&lt;'WHAT-IF SCENARIOS'!$B$41+'WHAT-IF SCENARIOS'!$B$42),0,D40))</f>
        <v>78500</v>
      </c>
      <c r="AA40" s="7">
        <f t="shared" si="13"/>
        <v>139067.53850000005</v>
      </c>
      <c r="AB40" s="7">
        <f>IF(A40="","",IF(B40&gt;'WHAT-IF SCENARIOS'!$B$49,0,D40))</f>
        <v>0</v>
      </c>
      <c r="AC40" s="7">
        <f t="shared" si="14"/>
        <v>0</v>
      </c>
    </row>
    <row r="41" spans="1:29" ht="18" customHeight="1" x14ac:dyDescent="0.25">
      <c r="A41" s="7">
        <f>IF(ENGINE!A41="","",ENGINE!A41)</f>
        <v>39</v>
      </c>
      <c r="B41" s="7">
        <f>IF(A41="","",ENGINE!B41)</f>
        <v>61</v>
      </c>
      <c r="C41" s="7">
        <f>IF(A41="","",IF(A41=0,INPUTS!$C$8,J40))</f>
        <v>6506499.4934602762</v>
      </c>
      <c r="D41" s="7">
        <f>IF(A41="","",ENGINE!D41)</f>
        <v>83100</v>
      </c>
      <c r="E41" s="26">
        <f t="shared" si="0"/>
        <v>1</v>
      </c>
      <c r="F41" s="26">
        <f t="shared" si="1"/>
        <v>83100</v>
      </c>
      <c r="G41" s="26">
        <f t="shared" si="2"/>
        <v>0.10000000000000009</v>
      </c>
      <c r="H41" s="28">
        <f t="shared" si="3"/>
        <v>1.1000000000000001</v>
      </c>
      <c r="I41" s="26">
        <f t="shared" si="4"/>
        <v>658959.94934602827</v>
      </c>
      <c r="J41" s="26">
        <f>IF(A41="","",IF(G41=0,C41+D41,C41*H41+IF(INPUTS!$C$12="Beginning",F41*(1+G41)*(H41-1)/G41,F41*(H41-1)/G41)))</f>
        <v>7248559.4428063044</v>
      </c>
      <c r="K41" s="26">
        <f>IF(A41="","",SUM($D$2:D41))</f>
        <v>1244600</v>
      </c>
      <c r="L41" s="7">
        <f>IF(A41="","",(1+G41)^((Horizon_Rows+1-ROW())*E41)*IF(INPUTS!$C$12="Beginning",1+G41,1))</f>
        <v>1.6105100000000006</v>
      </c>
      <c r="M41" s="7">
        <f t="shared" si="5"/>
        <v>39</v>
      </c>
      <c r="N41" s="26">
        <f t="shared" si="6"/>
        <v>83100</v>
      </c>
      <c r="O41" s="26">
        <f t="shared" si="7"/>
        <v>83100</v>
      </c>
      <c r="P41" s="26">
        <f t="shared" si="8"/>
        <v>0</v>
      </c>
      <c r="Q41" s="21">
        <f t="shared" si="9"/>
        <v>133833.38100000005</v>
      </c>
      <c r="R41" s="7"/>
      <c r="S41" s="7"/>
      <c r="T41" s="7">
        <f>IF(A41="","",(1+'WHAT-IF SCENARIOS'!$B$8)^((Horizon_Rows+1-ROW())*E41+IF(INPUTS!$C$12="Beginning",1,0)))</f>
        <v>1.6105100000000006</v>
      </c>
      <c r="U41" s="7">
        <f t="shared" si="10"/>
        <v>133833.38100000005</v>
      </c>
      <c r="V41" s="7">
        <f>IF(A41="","",(1+'WHAT-IF SCENARIOS'!$B$25)^((Horizon_Rows+1-ROW())*E41+IF(INPUTS!$C$12="Beginning",1,0)))</f>
        <v>1.4025517307000002</v>
      </c>
      <c r="W41" s="7">
        <f t="shared" si="11"/>
        <v>116552.04882117001</v>
      </c>
      <c r="X41" s="7">
        <f>IF(A41="","",(1+'WHAT-IF SCENARIOS'!$B$27)^((Horizon_Rows+1-ROW())*E41+IF(INPUTS!$C$12="Beginning",1,0)))</f>
        <v>1.8424351792999989</v>
      </c>
      <c r="Y41" s="7">
        <f t="shared" si="12"/>
        <v>153106.36339982992</v>
      </c>
      <c r="Z41" s="7">
        <f>IF(A41="","",IF(AND(A41&gt;='WHAT-IF SCENARIOS'!$B$41,A41&lt;'WHAT-IF SCENARIOS'!$B$41+'WHAT-IF SCENARIOS'!$B$42),0,D41))</f>
        <v>83100</v>
      </c>
      <c r="AA41" s="7">
        <f t="shared" si="13"/>
        <v>133833.38100000005</v>
      </c>
      <c r="AB41" s="7">
        <f>IF(A41="","",IF(B41&gt;'WHAT-IF SCENARIOS'!$B$49,0,D41))</f>
        <v>0</v>
      </c>
      <c r="AC41" s="7">
        <f t="shared" si="14"/>
        <v>0</v>
      </c>
    </row>
    <row r="42" spans="1:29" ht="18" customHeight="1" x14ac:dyDescent="0.25">
      <c r="A42" s="7">
        <f>IF(ENGINE!A42="","",ENGINE!A42)</f>
        <v>40</v>
      </c>
      <c r="B42" s="7">
        <f>IF(A42="","",ENGINE!B42)</f>
        <v>62</v>
      </c>
      <c r="C42" s="7">
        <f>IF(A42="","",IF(A42=0,INPUTS!$C$8,J41))</f>
        <v>7248559.4428063044</v>
      </c>
      <c r="D42" s="7">
        <f>IF(A42="","",ENGINE!D42)</f>
        <v>88300</v>
      </c>
      <c r="E42" s="26">
        <f t="shared" si="0"/>
        <v>1</v>
      </c>
      <c r="F42" s="26">
        <f t="shared" si="1"/>
        <v>88300</v>
      </c>
      <c r="G42" s="26">
        <f t="shared" si="2"/>
        <v>0.10000000000000009</v>
      </c>
      <c r="H42" s="28">
        <f t="shared" si="3"/>
        <v>1.1000000000000001</v>
      </c>
      <c r="I42" s="26">
        <f t="shared" si="4"/>
        <v>733685.94428063091</v>
      </c>
      <c r="J42" s="26">
        <f>IF(A42="","",IF(G42=0,C42+D42,C42*H42+IF(INPUTS!$C$12="Beginning",F42*(1+G42)*(H42-1)/G42,F42*(H42-1)/G42)))</f>
        <v>8070545.3870869353</v>
      </c>
      <c r="K42" s="26">
        <f>IF(A42="","",SUM($D$2:D42))</f>
        <v>1332900</v>
      </c>
      <c r="L42" s="7">
        <f>IF(A42="","",(1+G42)^((Horizon_Rows+1-ROW())*E42)*IF(INPUTS!$C$12="Beginning",1+G42,1))</f>
        <v>1.4641000000000006</v>
      </c>
      <c r="M42" s="7">
        <f t="shared" si="5"/>
        <v>40</v>
      </c>
      <c r="N42" s="26">
        <f t="shared" si="6"/>
        <v>88300</v>
      </c>
      <c r="O42" s="26">
        <f t="shared" si="7"/>
        <v>88300</v>
      </c>
      <c r="P42" s="26">
        <f t="shared" si="8"/>
        <v>0</v>
      </c>
      <c r="Q42" s="21">
        <f t="shared" si="9"/>
        <v>129280.03000000006</v>
      </c>
      <c r="R42" s="7"/>
      <c r="S42" s="7"/>
      <c r="T42" s="7">
        <f>IF(A42="","",(1+'WHAT-IF SCENARIOS'!$B$8)^((Horizon_Rows+1-ROW())*E42+IF(INPUTS!$C$12="Beginning",1,0)))</f>
        <v>1.4641000000000004</v>
      </c>
      <c r="U42" s="7">
        <f t="shared" si="10"/>
        <v>129280.03000000004</v>
      </c>
      <c r="V42" s="7">
        <f>IF(A42="","",(1+'WHAT-IF SCENARIOS'!$B$25)^((Horizon_Rows+1-ROW())*E42+IF(INPUTS!$C$12="Beginning",1,0)))</f>
        <v>1.31079601</v>
      </c>
      <c r="W42" s="7">
        <f t="shared" si="11"/>
        <v>115743.287683</v>
      </c>
      <c r="X42" s="7">
        <f>IF(A42="","",(1+'WHAT-IF SCENARIOS'!$B$27)^((Horizon_Rows+1-ROW())*E42+IF(INPUTS!$C$12="Beginning",1,0)))</f>
        <v>1.6304736099999992</v>
      </c>
      <c r="Y42" s="7">
        <f t="shared" si="12"/>
        <v>143970.81976299992</v>
      </c>
      <c r="Z42" s="7">
        <f>IF(A42="","",IF(AND(A42&gt;='WHAT-IF SCENARIOS'!$B$41,A42&lt;'WHAT-IF SCENARIOS'!$B$41+'WHAT-IF SCENARIOS'!$B$42),0,D42))</f>
        <v>88300</v>
      </c>
      <c r="AA42" s="7">
        <f t="shared" si="13"/>
        <v>129280.03000000006</v>
      </c>
      <c r="AB42" s="7">
        <f>IF(A42="","",IF(B42&gt;'WHAT-IF SCENARIOS'!$B$49,0,D42))</f>
        <v>0</v>
      </c>
      <c r="AC42" s="7">
        <f t="shared" si="14"/>
        <v>0</v>
      </c>
    </row>
    <row r="43" spans="1:29" ht="18" customHeight="1" x14ac:dyDescent="0.25">
      <c r="A43" s="7">
        <f>IF(ENGINE!A43="","",ENGINE!A43)</f>
        <v>41</v>
      </c>
      <c r="B43" s="7">
        <f>IF(A43="","",ENGINE!B43)</f>
        <v>63</v>
      </c>
      <c r="C43" s="7">
        <f>IF(A43="","",IF(A43=0,INPUTS!$C$8,J42))</f>
        <v>8070545.3870869353</v>
      </c>
      <c r="D43" s="7">
        <f>IF(A43="","",ENGINE!D43)</f>
        <v>93400</v>
      </c>
      <c r="E43" s="26">
        <f t="shared" si="0"/>
        <v>1</v>
      </c>
      <c r="F43" s="26">
        <f t="shared" si="1"/>
        <v>93400</v>
      </c>
      <c r="G43" s="26">
        <f t="shared" si="2"/>
        <v>0.10000000000000009</v>
      </c>
      <c r="H43" s="28">
        <f t="shared" si="3"/>
        <v>1.1000000000000001</v>
      </c>
      <c r="I43" s="26">
        <f t="shared" si="4"/>
        <v>816394.53870869428</v>
      </c>
      <c r="J43" s="26">
        <f>IF(A43="","",IF(G43=0,C43+D43,C43*H43+IF(INPUTS!$C$12="Beginning",F43*(1+G43)*(H43-1)/G43,F43*(H43-1)/G43)))</f>
        <v>8980339.9257956296</v>
      </c>
      <c r="K43" s="26">
        <f>IF(A43="","",SUM($D$2:D43))</f>
        <v>1426300</v>
      </c>
      <c r="L43" s="7">
        <f>IF(A43="","",(1+G43)^((Horizon_Rows+1-ROW())*E43)*IF(INPUTS!$C$12="Beginning",1+G43,1))</f>
        <v>1.3310000000000004</v>
      </c>
      <c r="M43" s="7">
        <f t="shared" si="5"/>
        <v>41</v>
      </c>
      <c r="N43" s="26">
        <f t="shared" si="6"/>
        <v>93400</v>
      </c>
      <c r="O43" s="26">
        <f t="shared" si="7"/>
        <v>93400</v>
      </c>
      <c r="P43" s="26">
        <f t="shared" si="8"/>
        <v>0</v>
      </c>
      <c r="Q43" s="21">
        <f t="shared" si="9"/>
        <v>124315.40000000004</v>
      </c>
      <c r="R43" s="7"/>
      <c r="S43" s="7"/>
      <c r="T43" s="7">
        <f>IF(A43="","",(1+'WHAT-IF SCENARIOS'!$B$8)^((Horizon_Rows+1-ROW())*E43+IF(INPUTS!$C$12="Beginning",1,0)))</f>
        <v>1.3310000000000004</v>
      </c>
      <c r="U43" s="7">
        <f t="shared" si="10"/>
        <v>124315.40000000004</v>
      </c>
      <c r="V43" s="7">
        <f>IF(A43="","",(1+'WHAT-IF SCENARIOS'!$B$25)^((Horizon_Rows+1-ROW())*E43+IF(INPUTS!$C$12="Beginning",1,0)))</f>
        <v>1.2250430000000001</v>
      </c>
      <c r="W43" s="7">
        <f t="shared" si="11"/>
        <v>114419.01620000001</v>
      </c>
      <c r="X43" s="7">
        <f>IF(A43="","",(1+'WHAT-IF SCENARIOS'!$B$27)^((Horizon_Rows+1-ROW())*E43+IF(INPUTS!$C$12="Beginning",1,0)))</f>
        <v>1.4428969999999994</v>
      </c>
      <c r="Y43" s="7">
        <f t="shared" si="12"/>
        <v>134766.57979999995</v>
      </c>
      <c r="Z43" s="7">
        <f>IF(A43="","",IF(AND(A43&gt;='WHAT-IF SCENARIOS'!$B$41,A43&lt;'WHAT-IF SCENARIOS'!$B$41+'WHAT-IF SCENARIOS'!$B$42),0,D43))</f>
        <v>93400</v>
      </c>
      <c r="AA43" s="7">
        <f t="shared" si="13"/>
        <v>124315.40000000004</v>
      </c>
      <c r="AB43" s="7">
        <f>IF(A43="","",IF(B43&gt;'WHAT-IF SCENARIOS'!$B$49,0,D43))</f>
        <v>0</v>
      </c>
      <c r="AC43" s="7">
        <f t="shared" si="14"/>
        <v>0</v>
      </c>
    </row>
    <row r="44" spans="1:29" ht="18" customHeight="1" x14ac:dyDescent="0.25">
      <c r="A44" s="7">
        <f>IF(ENGINE!A44="","",ENGINE!A44)</f>
        <v>42</v>
      </c>
      <c r="B44" s="7">
        <f>IF(A44="","",ENGINE!B44)</f>
        <v>64</v>
      </c>
      <c r="C44" s="7">
        <f>IF(A44="","",IF(A44=0,INPUTS!$C$8,J43))</f>
        <v>8980339.9257956296</v>
      </c>
      <c r="D44" s="7">
        <f>IF(A44="","",ENGINE!D44)</f>
        <v>99200</v>
      </c>
      <c r="E44" s="26">
        <f t="shared" si="0"/>
        <v>1</v>
      </c>
      <c r="F44" s="26">
        <f t="shared" si="1"/>
        <v>99200</v>
      </c>
      <c r="G44" s="26">
        <f t="shared" si="2"/>
        <v>0.10000000000000009</v>
      </c>
      <c r="H44" s="28">
        <f t="shared" si="3"/>
        <v>1.1000000000000001</v>
      </c>
      <c r="I44" s="26">
        <f t="shared" si="4"/>
        <v>907953.99257956445</v>
      </c>
      <c r="J44" s="26">
        <f>IF(A44="","",IF(G44=0,C44+D44,C44*H44+IF(INPUTS!$C$12="Beginning",F44*(1+G44)*(H44-1)/G44,F44*(H44-1)/G44)))</f>
        <v>9987493.9183751941</v>
      </c>
      <c r="K44" s="26">
        <f>IF(A44="","",SUM($D$2:D44))</f>
        <v>1525500</v>
      </c>
      <c r="L44" s="7">
        <f>IF(A44="","",(1+G44)^((Horizon_Rows+1-ROW())*E44)*IF(INPUTS!$C$12="Beginning",1+G44,1))</f>
        <v>1.2100000000000002</v>
      </c>
      <c r="M44" s="7">
        <f t="shared" si="5"/>
        <v>42</v>
      </c>
      <c r="N44" s="26">
        <f t="shared" si="6"/>
        <v>99200</v>
      </c>
      <c r="O44" s="26">
        <f t="shared" si="7"/>
        <v>99200</v>
      </c>
      <c r="P44" s="26">
        <f t="shared" si="8"/>
        <v>0</v>
      </c>
      <c r="Q44" s="21">
        <f t="shared" si="9"/>
        <v>120032.00000000001</v>
      </c>
      <c r="R44" s="7"/>
      <c r="S44" s="7"/>
      <c r="T44" s="7">
        <f>IF(A44="","",(1+'WHAT-IF SCENARIOS'!$B$8)^((Horizon_Rows+1-ROW())*E44+IF(INPUTS!$C$12="Beginning",1,0)))</f>
        <v>1.2100000000000002</v>
      </c>
      <c r="U44" s="7">
        <f t="shared" si="10"/>
        <v>120032.00000000001</v>
      </c>
      <c r="V44" s="7">
        <f>IF(A44="","",(1+'WHAT-IF SCENARIOS'!$B$25)^((Horizon_Rows+1-ROW())*E44+IF(INPUTS!$C$12="Beginning",1,0)))</f>
        <v>1.1449</v>
      </c>
      <c r="W44" s="7">
        <f t="shared" si="11"/>
        <v>113574.08</v>
      </c>
      <c r="X44" s="7">
        <f>IF(A44="","",(1+'WHAT-IF SCENARIOS'!$B$27)^((Horizon_Rows+1-ROW())*E44+IF(INPUTS!$C$12="Beginning",1,0)))</f>
        <v>1.2768999999999997</v>
      </c>
      <c r="Y44" s="7">
        <f t="shared" si="12"/>
        <v>126668.47999999997</v>
      </c>
      <c r="Z44" s="7">
        <f>IF(A44="","",IF(AND(A44&gt;='WHAT-IF SCENARIOS'!$B$41,A44&lt;'WHAT-IF SCENARIOS'!$B$41+'WHAT-IF SCENARIOS'!$B$42),0,D44))</f>
        <v>99200</v>
      </c>
      <c r="AA44" s="7">
        <f t="shared" si="13"/>
        <v>120032.00000000001</v>
      </c>
      <c r="AB44" s="7">
        <f>IF(A44="","",IF(B44&gt;'WHAT-IF SCENARIOS'!$B$49,0,D44))</f>
        <v>0</v>
      </c>
      <c r="AC44" s="7">
        <f t="shared" si="14"/>
        <v>0</v>
      </c>
    </row>
    <row r="45" spans="1:29" ht="18" customHeight="1" x14ac:dyDescent="0.25">
      <c r="A45" s="7">
        <f>IF(ENGINE!A45="","",ENGINE!A45)</f>
        <v>43</v>
      </c>
      <c r="B45" s="7">
        <f>IF(A45="","",ENGINE!B45)</f>
        <v>65</v>
      </c>
      <c r="C45" s="7">
        <f>IF(A45="","",IF(A45=0,INPUTS!$C$8,J44))</f>
        <v>9987493.9183751941</v>
      </c>
      <c r="D45" s="7">
        <f>IF(A45="","",ENGINE!D45)</f>
        <v>104900</v>
      </c>
      <c r="E45" s="26">
        <f t="shared" si="0"/>
        <v>1</v>
      </c>
      <c r="F45" s="26">
        <f t="shared" si="1"/>
        <v>104900</v>
      </c>
      <c r="G45" s="26">
        <f t="shared" si="2"/>
        <v>0.10000000000000009</v>
      </c>
      <c r="H45" s="28">
        <f t="shared" si="3"/>
        <v>1.1000000000000001</v>
      </c>
      <c r="I45" s="26">
        <f t="shared" si="4"/>
        <v>1009239.3918375205</v>
      </c>
      <c r="J45" s="26">
        <f>IF(A45="","",IF(G45=0,C45+D45,C45*H45+IF(INPUTS!$C$12="Beginning",F45*(1+G45)*(H45-1)/G45,F45*(H45-1)/G45)))</f>
        <v>11101633.310212715</v>
      </c>
      <c r="K45" s="26">
        <f>IF(A45="","",SUM($D$2:D45))</f>
        <v>1630400</v>
      </c>
      <c r="L45" s="7">
        <f>IF(A45="","",(1+G45)^((Horizon_Rows+1-ROW())*E45)*IF(INPUTS!$C$12="Beginning",1+G45,1))</f>
        <v>1.1000000000000001</v>
      </c>
      <c r="M45" s="7">
        <f t="shared" si="5"/>
        <v>43</v>
      </c>
      <c r="N45" s="26">
        <f t="shared" si="6"/>
        <v>104900</v>
      </c>
      <c r="O45" s="26">
        <f t="shared" si="7"/>
        <v>104900</v>
      </c>
      <c r="P45" s="26">
        <f t="shared" si="8"/>
        <v>0</v>
      </c>
      <c r="Q45" s="21">
        <f t="shared" si="9"/>
        <v>115390.00000000001</v>
      </c>
      <c r="R45" s="7"/>
      <c r="S45" s="7"/>
      <c r="T45" s="7">
        <f>IF(A45="","",(1+'WHAT-IF SCENARIOS'!$B$8)^((Horizon_Rows+1-ROW())*E45+IF(INPUTS!$C$12="Beginning",1,0)))</f>
        <v>1.1000000000000001</v>
      </c>
      <c r="U45" s="7">
        <f t="shared" si="10"/>
        <v>115390.00000000001</v>
      </c>
      <c r="V45" s="7">
        <f>IF(A45="","",(1+'WHAT-IF SCENARIOS'!$B$25)^((Horizon_Rows+1-ROW())*E45+IF(INPUTS!$C$12="Beginning",1,0)))</f>
        <v>1.07</v>
      </c>
      <c r="W45" s="7">
        <f t="shared" si="11"/>
        <v>112243</v>
      </c>
      <c r="X45" s="7">
        <f>IF(A45="","",(1+'WHAT-IF SCENARIOS'!$B$27)^((Horizon_Rows+1-ROW())*E45+IF(INPUTS!$C$12="Beginning",1,0)))</f>
        <v>1.1299999999999999</v>
      </c>
      <c r="Y45" s="7">
        <f t="shared" si="12"/>
        <v>118536.99999999999</v>
      </c>
      <c r="Z45" s="7">
        <f>IF(A45="","",IF(AND(A45&gt;='WHAT-IF SCENARIOS'!$B$41,A45&lt;'WHAT-IF SCENARIOS'!$B$41+'WHAT-IF SCENARIOS'!$B$42),0,D45))</f>
        <v>104900</v>
      </c>
      <c r="AA45" s="7">
        <f t="shared" si="13"/>
        <v>115390.00000000001</v>
      </c>
      <c r="AB45" s="7">
        <f>IF(A45="","",IF(B45&gt;'WHAT-IF SCENARIOS'!$B$49,0,D45))</f>
        <v>0</v>
      </c>
      <c r="AC45" s="7">
        <f t="shared" si="14"/>
        <v>0</v>
      </c>
    </row>
    <row r="46" spans="1:29" ht="18" customHeight="1" x14ac:dyDescent="0.25">
      <c r="A46" s="7" t="str">
        <f>IF(ENGINE!A46="","",ENGINE!A46)</f>
        <v/>
      </c>
      <c r="B46" s="7" t="str">
        <f>IF(A46="","",ENGINE!B46)</f>
        <v/>
      </c>
      <c r="C46" s="7" t="str">
        <f>IF(A46="","",IF(A46=0,INPUTS!$C$8,J45))</f>
        <v/>
      </c>
      <c r="D46" s="7" t="str">
        <f>IF(A46="","",ENGINE!D46)</f>
        <v/>
      </c>
      <c r="E46" s="26" t="str">
        <f t="shared" si="0"/>
        <v/>
      </c>
      <c r="F46" s="26" t="str">
        <f t="shared" si="1"/>
        <v/>
      </c>
      <c r="G46" s="26" t="str">
        <f t="shared" si="2"/>
        <v/>
      </c>
      <c r="H46" s="28" t="str">
        <f t="shared" si="3"/>
        <v/>
      </c>
      <c r="I46" s="26" t="str">
        <f t="shared" si="4"/>
        <v/>
      </c>
      <c r="J46" s="26" t="str">
        <f>IF(A46="","",IF(G46=0,C46+D46,C46*H46+IF(INPUTS!$C$12="Beginning",F46*(1+G46)*(H46-1)/G46,F46*(H46-1)/G46)))</f>
        <v/>
      </c>
      <c r="K46" s="26" t="str">
        <f>IF(A46="","",SUM($D$2:D46))</f>
        <v/>
      </c>
      <c r="L46" s="7" t="str">
        <f>IF(A46="","",(1+G46)^((Horizon_Rows+1-ROW())*E46)*IF(INPUTS!$C$12="Beginning",1+G46,1))</f>
        <v/>
      </c>
      <c r="M46" s="7" t="str">
        <f t="shared" si="5"/>
        <v/>
      </c>
      <c r="N46" s="26" t="str">
        <f t="shared" si="6"/>
        <v/>
      </c>
      <c r="O46" s="26" t="str">
        <f t="shared" si="7"/>
        <v/>
      </c>
      <c r="P46" s="26" t="str">
        <f t="shared" si="8"/>
        <v/>
      </c>
      <c r="Q46" s="21" t="str">
        <f t="shared" si="9"/>
        <v/>
      </c>
      <c r="R46" s="7"/>
      <c r="S46" s="7"/>
      <c r="T46" s="7" t="str">
        <f>IF(A46="","",(1+'WHAT-IF SCENARIOS'!$B$8)^((Horizon_Rows+1-ROW())*E46+IF(INPUTS!$C$12="Beginning",1,0)))</f>
        <v/>
      </c>
      <c r="U46" s="7" t="str">
        <f t="shared" si="10"/>
        <v/>
      </c>
      <c r="V46" s="7" t="str">
        <f>IF(A46="","",(1+'WHAT-IF SCENARIOS'!$B$25)^((Horizon_Rows+1-ROW())*E46+IF(INPUTS!$C$12="Beginning",1,0)))</f>
        <v/>
      </c>
      <c r="W46" s="7" t="str">
        <f t="shared" si="11"/>
        <v/>
      </c>
      <c r="X46" s="7" t="str">
        <f>IF(A46="","",(1+'WHAT-IF SCENARIOS'!$B$27)^((Horizon_Rows+1-ROW())*E46+IF(INPUTS!$C$12="Beginning",1,0)))</f>
        <v/>
      </c>
      <c r="Y46" s="7" t="str">
        <f t="shared" si="12"/>
        <v/>
      </c>
      <c r="Z46" s="7" t="str">
        <f>IF(A46="","",IF(AND(A46&gt;='WHAT-IF SCENARIOS'!$B$41,A46&lt;'WHAT-IF SCENARIOS'!$B$41+'WHAT-IF SCENARIOS'!$B$42),0,D46))</f>
        <v/>
      </c>
      <c r="AA46" s="7" t="str">
        <f t="shared" si="13"/>
        <v/>
      </c>
      <c r="AB46" s="7" t="str">
        <f>IF(A46="","",IF(B46&gt;'WHAT-IF SCENARIOS'!$B$49,0,D46))</f>
        <v/>
      </c>
      <c r="AC46" s="7" t="str">
        <f t="shared" si="14"/>
        <v/>
      </c>
    </row>
    <row r="47" spans="1:29" ht="18" customHeight="1" x14ac:dyDescent="0.25">
      <c r="A47" s="7" t="str">
        <f>IF(ENGINE!A47="","",ENGINE!A47)</f>
        <v/>
      </c>
      <c r="B47" s="7" t="str">
        <f>IF(A47="","",ENGINE!B47)</f>
        <v/>
      </c>
      <c r="C47" s="7" t="str">
        <f>IF(A47="","",IF(A47=0,INPUTS!$C$8,J46))</f>
        <v/>
      </c>
      <c r="D47" s="7" t="str">
        <f>IF(A47="","",ENGINE!D47)</f>
        <v/>
      </c>
      <c r="E47" s="26" t="str">
        <f t="shared" si="0"/>
        <v/>
      </c>
      <c r="F47" s="26" t="str">
        <f t="shared" si="1"/>
        <v/>
      </c>
      <c r="G47" s="26" t="str">
        <f t="shared" si="2"/>
        <v/>
      </c>
      <c r="H47" s="28" t="str">
        <f t="shared" si="3"/>
        <v/>
      </c>
      <c r="I47" s="26" t="str">
        <f t="shared" si="4"/>
        <v/>
      </c>
      <c r="J47" s="26" t="str">
        <f>IF(A47="","",IF(G47=0,C47+D47,C47*H47+IF(INPUTS!$C$12="Beginning",F47*(1+G47)*(H47-1)/G47,F47*(H47-1)/G47)))</f>
        <v/>
      </c>
      <c r="K47" s="26" t="str">
        <f>IF(A47="","",SUM($D$2:D47))</f>
        <v/>
      </c>
      <c r="L47" s="7" t="str">
        <f>IF(A47="","",(1+G47)^((Horizon_Rows+1-ROW())*E47)*IF(INPUTS!$C$12="Beginning",1+G47,1))</f>
        <v/>
      </c>
      <c r="M47" s="7" t="str">
        <f t="shared" si="5"/>
        <v/>
      </c>
      <c r="N47" s="26" t="str">
        <f t="shared" si="6"/>
        <v/>
      </c>
      <c r="O47" s="26" t="str">
        <f t="shared" si="7"/>
        <v/>
      </c>
      <c r="P47" s="26" t="str">
        <f t="shared" si="8"/>
        <v/>
      </c>
      <c r="Q47" s="21" t="str">
        <f t="shared" si="9"/>
        <v/>
      </c>
      <c r="R47" s="7"/>
      <c r="S47" s="7"/>
      <c r="T47" s="7" t="str">
        <f>IF(A47="","",(1+'WHAT-IF SCENARIOS'!$B$8)^((Horizon_Rows+1-ROW())*E47+IF(INPUTS!$C$12="Beginning",1,0)))</f>
        <v/>
      </c>
      <c r="U47" s="7" t="str">
        <f t="shared" si="10"/>
        <v/>
      </c>
      <c r="V47" s="7" t="str">
        <f>IF(A47="","",(1+'WHAT-IF SCENARIOS'!$B$25)^((Horizon_Rows+1-ROW())*E47+IF(INPUTS!$C$12="Beginning",1,0)))</f>
        <v/>
      </c>
      <c r="W47" s="7" t="str">
        <f t="shared" si="11"/>
        <v/>
      </c>
      <c r="X47" s="7" t="str">
        <f>IF(A47="","",(1+'WHAT-IF SCENARIOS'!$B$27)^((Horizon_Rows+1-ROW())*E47+IF(INPUTS!$C$12="Beginning",1,0)))</f>
        <v/>
      </c>
      <c r="Y47" s="7" t="str">
        <f t="shared" si="12"/>
        <v/>
      </c>
      <c r="Z47" s="7" t="str">
        <f>IF(A47="","",IF(AND(A47&gt;='WHAT-IF SCENARIOS'!$B$41,A47&lt;'WHAT-IF SCENARIOS'!$B$41+'WHAT-IF SCENARIOS'!$B$42),0,D47))</f>
        <v/>
      </c>
      <c r="AA47" s="7" t="str">
        <f t="shared" si="13"/>
        <v/>
      </c>
      <c r="AB47" s="7" t="str">
        <f>IF(A47="","",IF(B47&gt;'WHAT-IF SCENARIOS'!$B$49,0,D47))</f>
        <v/>
      </c>
      <c r="AC47" s="7" t="str">
        <f t="shared" si="14"/>
        <v/>
      </c>
    </row>
    <row r="48" spans="1:29" ht="18" customHeight="1" x14ac:dyDescent="0.25">
      <c r="A48" s="7" t="str">
        <f>IF(ENGINE!A48="","",ENGINE!A48)</f>
        <v/>
      </c>
      <c r="B48" s="7" t="str">
        <f>IF(A48="","",ENGINE!B48)</f>
        <v/>
      </c>
      <c r="C48" s="7" t="str">
        <f>IF(A48="","",IF(A48=0,INPUTS!$C$8,J47))</f>
        <v/>
      </c>
      <c r="D48" s="7" t="str">
        <f>IF(A48="","",ENGINE!D48)</f>
        <v/>
      </c>
      <c r="E48" s="26" t="str">
        <f t="shared" si="0"/>
        <v/>
      </c>
      <c r="F48" s="26" t="str">
        <f t="shared" si="1"/>
        <v/>
      </c>
      <c r="G48" s="26" t="str">
        <f t="shared" si="2"/>
        <v/>
      </c>
      <c r="H48" s="28" t="str">
        <f t="shared" si="3"/>
        <v/>
      </c>
      <c r="I48" s="26" t="str">
        <f t="shared" si="4"/>
        <v/>
      </c>
      <c r="J48" s="26" t="str">
        <f>IF(A48="","",IF(G48=0,C48+D48,C48*H48+IF(INPUTS!$C$12="Beginning",F48*(1+G48)*(H48-1)/G48,F48*(H48-1)/G48)))</f>
        <v/>
      </c>
      <c r="K48" s="26" t="str">
        <f>IF(A48="","",SUM($D$2:D48))</f>
        <v/>
      </c>
      <c r="L48" s="7" t="str">
        <f>IF(A48="","",(1+G48)^((Horizon_Rows+1-ROW())*E48)*IF(INPUTS!$C$12="Beginning",1+G48,1))</f>
        <v/>
      </c>
      <c r="M48" s="7" t="str">
        <f t="shared" si="5"/>
        <v/>
      </c>
      <c r="N48" s="26" t="str">
        <f t="shared" si="6"/>
        <v/>
      </c>
      <c r="O48" s="26" t="str">
        <f t="shared" si="7"/>
        <v/>
      </c>
      <c r="P48" s="26" t="str">
        <f t="shared" si="8"/>
        <v/>
      </c>
      <c r="Q48" s="21" t="str">
        <f t="shared" si="9"/>
        <v/>
      </c>
      <c r="R48" s="7"/>
      <c r="S48" s="7"/>
      <c r="T48" s="7" t="str">
        <f>IF(A48="","",(1+'WHAT-IF SCENARIOS'!$B$8)^((Horizon_Rows+1-ROW())*E48+IF(INPUTS!$C$12="Beginning",1,0)))</f>
        <v/>
      </c>
      <c r="U48" s="7" t="str">
        <f t="shared" si="10"/>
        <v/>
      </c>
      <c r="V48" s="7" t="str">
        <f>IF(A48="","",(1+'WHAT-IF SCENARIOS'!$B$25)^((Horizon_Rows+1-ROW())*E48+IF(INPUTS!$C$12="Beginning",1,0)))</f>
        <v/>
      </c>
      <c r="W48" s="7" t="str">
        <f t="shared" si="11"/>
        <v/>
      </c>
      <c r="X48" s="7" t="str">
        <f>IF(A48="","",(1+'WHAT-IF SCENARIOS'!$B$27)^((Horizon_Rows+1-ROW())*E48+IF(INPUTS!$C$12="Beginning",1,0)))</f>
        <v/>
      </c>
      <c r="Y48" s="7" t="str">
        <f t="shared" si="12"/>
        <v/>
      </c>
      <c r="Z48" s="7" t="str">
        <f>IF(A48="","",IF(AND(A48&gt;='WHAT-IF SCENARIOS'!$B$41,A48&lt;'WHAT-IF SCENARIOS'!$B$41+'WHAT-IF SCENARIOS'!$B$42),0,D48))</f>
        <v/>
      </c>
      <c r="AA48" s="7" t="str">
        <f t="shared" si="13"/>
        <v/>
      </c>
      <c r="AB48" s="7" t="str">
        <f>IF(A48="","",IF(B48&gt;'WHAT-IF SCENARIOS'!$B$49,0,D48))</f>
        <v/>
      </c>
      <c r="AC48" s="7" t="str">
        <f t="shared" si="14"/>
        <v/>
      </c>
    </row>
    <row r="49" spans="1:29" ht="18" customHeight="1" x14ac:dyDescent="0.25">
      <c r="A49" s="7" t="str">
        <f>IF(ENGINE!A49="","",ENGINE!A49)</f>
        <v/>
      </c>
      <c r="B49" s="7" t="str">
        <f>IF(A49="","",ENGINE!B49)</f>
        <v/>
      </c>
      <c r="C49" s="7" t="str">
        <f>IF(A49="","",IF(A49=0,INPUTS!$C$8,J48))</f>
        <v/>
      </c>
      <c r="D49" s="7" t="str">
        <f>IF(A49="","",ENGINE!D49)</f>
        <v/>
      </c>
      <c r="E49" s="26" t="str">
        <f t="shared" si="0"/>
        <v/>
      </c>
      <c r="F49" s="26" t="str">
        <f t="shared" si="1"/>
        <v/>
      </c>
      <c r="G49" s="26" t="str">
        <f t="shared" si="2"/>
        <v/>
      </c>
      <c r="H49" s="28" t="str">
        <f t="shared" si="3"/>
        <v/>
      </c>
      <c r="I49" s="26" t="str">
        <f t="shared" si="4"/>
        <v/>
      </c>
      <c r="J49" s="26" t="str">
        <f>IF(A49="","",IF(G49=0,C49+D49,C49*H49+IF(INPUTS!$C$12="Beginning",F49*(1+G49)*(H49-1)/G49,F49*(H49-1)/G49)))</f>
        <v/>
      </c>
      <c r="K49" s="26" t="str">
        <f>IF(A49="","",SUM($D$2:D49))</f>
        <v/>
      </c>
      <c r="L49" s="7" t="str">
        <f>IF(A49="","",(1+G49)^((Horizon_Rows+1-ROW())*E49)*IF(INPUTS!$C$12="Beginning",1+G49,1))</f>
        <v/>
      </c>
      <c r="M49" s="7" t="str">
        <f t="shared" si="5"/>
        <v/>
      </c>
      <c r="N49" s="26" t="str">
        <f t="shared" si="6"/>
        <v/>
      </c>
      <c r="O49" s="26" t="str">
        <f t="shared" si="7"/>
        <v/>
      </c>
      <c r="P49" s="26" t="str">
        <f t="shared" si="8"/>
        <v/>
      </c>
      <c r="Q49" s="21" t="str">
        <f t="shared" si="9"/>
        <v/>
      </c>
      <c r="R49" s="7"/>
      <c r="S49" s="7"/>
      <c r="T49" s="7" t="str">
        <f>IF(A49="","",(1+'WHAT-IF SCENARIOS'!$B$8)^((Horizon_Rows+1-ROW())*E49+IF(INPUTS!$C$12="Beginning",1,0)))</f>
        <v/>
      </c>
      <c r="U49" s="7" t="str">
        <f t="shared" si="10"/>
        <v/>
      </c>
      <c r="V49" s="7" t="str">
        <f>IF(A49="","",(1+'WHAT-IF SCENARIOS'!$B$25)^((Horizon_Rows+1-ROW())*E49+IF(INPUTS!$C$12="Beginning",1,0)))</f>
        <v/>
      </c>
      <c r="W49" s="7" t="str">
        <f t="shared" si="11"/>
        <v/>
      </c>
      <c r="X49" s="7" t="str">
        <f>IF(A49="","",(1+'WHAT-IF SCENARIOS'!$B$27)^((Horizon_Rows+1-ROW())*E49+IF(INPUTS!$C$12="Beginning",1,0)))</f>
        <v/>
      </c>
      <c r="Y49" s="7" t="str">
        <f t="shared" si="12"/>
        <v/>
      </c>
      <c r="Z49" s="7" t="str">
        <f>IF(A49="","",IF(AND(A49&gt;='WHAT-IF SCENARIOS'!$B$41,A49&lt;'WHAT-IF SCENARIOS'!$B$41+'WHAT-IF SCENARIOS'!$B$42),0,D49))</f>
        <v/>
      </c>
      <c r="AA49" s="7" t="str">
        <f t="shared" si="13"/>
        <v/>
      </c>
      <c r="AB49" s="7" t="str">
        <f>IF(A49="","",IF(B49&gt;'WHAT-IF SCENARIOS'!$B$49,0,D49))</f>
        <v/>
      </c>
      <c r="AC49" s="7" t="str">
        <f t="shared" si="14"/>
        <v/>
      </c>
    </row>
    <row r="50" spans="1:29" ht="18" customHeight="1" x14ac:dyDescent="0.25">
      <c r="A50" s="7" t="str">
        <f>IF(ENGINE!A50="","",ENGINE!A50)</f>
        <v/>
      </c>
      <c r="B50" s="7" t="str">
        <f>IF(A50="","",ENGINE!B50)</f>
        <v/>
      </c>
      <c r="C50" s="7" t="str">
        <f>IF(A50="","",IF(A50=0,INPUTS!$C$8,J49))</f>
        <v/>
      </c>
      <c r="D50" s="7" t="str">
        <f>IF(A50="","",ENGINE!D50)</f>
        <v/>
      </c>
      <c r="E50" s="26" t="str">
        <f t="shared" si="0"/>
        <v/>
      </c>
      <c r="F50" s="26" t="str">
        <f t="shared" si="1"/>
        <v/>
      </c>
      <c r="G50" s="26" t="str">
        <f t="shared" si="2"/>
        <v/>
      </c>
      <c r="H50" s="28" t="str">
        <f t="shared" si="3"/>
        <v/>
      </c>
      <c r="I50" s="26" t="str">
        <f t="shared" si="4"/>
        <v/>
      </c>
      <c r="J50" s="26" t="str">
        <f>IF(A50="","",IF(G50=0,C50+D50,C50*H50+IF(INPUTS!$C$12="Beginning",F50*(1+G50)*(H50-1)/G50,F50*(H50-1)/G50)))</f>
        <v/>
      </c>
      <c r="K50" s="26" t="str">
        <f>IF(A50="","",SUM($D$2:D50))</f>
        <v/>
      </c>
      <c r="L50" s="7" t="str">
        <f>IF(A50="","",(1+G50)^((Horizon_Rows+1-ROW())*E50)*IF(INPUTS!$C$12="Beginning",1+G50,1))</f>
        <v/>
      </c>
      <c r="M50" s="7" t="str">
        <f t="shared" si="5"/>
        <v/>
      </c>
      <c r="N50" s="26" t="str">
        <f t="shared" si="6"/>
        <v/>
      </c>
      <c r="O50" s="26" t="str">
        <f t="shared" si="7"/>
        <v/>
      </c>
      <c r="P50" s="26" t="str">
        <f t="shared" si="8"/>
        <v/>
      </c>
      <c r="Q50" s="21" t="str">
        <f t="shared" si="9"/>
        <v/>
      </c>
      <c r="R50" s="7"/>
      <c r="S50" s="7"/>
      <c r="T50" s="7" t="str">
        <f>IF(A50="","",(1+'WHAT-IF SCENARIOS'!$B$8)^((Horizon_Rows+1-ROW())*E50+IF(INPUTS!$C$12="Beginning",1,0)))</f>
        <v/>
      </c>
      <c r="U50" s="7" t="str">
        <f t="shared" si="10"/>
        <v/>
      </c>
      <c r="V50" s="7" t="str">
        <f>IF(A50="","",(1+'WHAT-IF SCENARIOS'!$B$25)^((Horizon_Rows+1-ROW())*E50+IF(INPUTS!$C$12="Beginning",1,0)))</f>
        <v/>
      </c>
      <c r="W50" s="7" t="str">
        <f t="shared" si="11"/>
        <v/>
      </c>
      <c r="X50" s="7" t="str">
        <f>IF(A50="","",(1+'WHAT-IF SCENARIOS'!$B$27)^((Horizon_Rows+1-ROW())*E50+IF(INPUTS!$C$12="Beginning",1,0)))</f>
        <v/>
      </c>
      <c r="Y50" s="7" t="str">
        <f t="shared" si="12"/>
        <v/>
      </c>
      <c r="Z50" s="7" t="str">
        <f>IF(A50="","",IF(AND(A50&gt;='WHAT-IF SCENARIOS'!$B$41,A50&lt;'WHAT-IF SCENARIOS'!$B$41+'WHAT-IF SCENARIOS'!$B$42),0,D50))</f>
        <v/>
      </c>
      <c r="AA50" s="7" t="str">
        <f t="shared" si="13"/>
        <v/>
      </c>
      <c r="AB50" s="7" t="str">
        <f>IF(A50="","",IF(B50&gt;'WHAT-IF SCENARIOS'!$B$49,0,D50))</f>
        <v/>
      </c>
      <c r="AC50" s="7" t="str">
        <f t="shared" si="14"/>
        <v/>
      </c>
    </row>
    <row r="51" spans="1:29" ht="18" customHeight="1" x14ac:dyDescent="0.25">
      <c r="A51" s="7" t="str">
        <f>IF(ENGINE!A51="","",ENGINE!A51)</f>
        <v/>
      </c>
      <c r="B51" s="7" t="str">
        <f>IF(A51="","",ENGINE!B51)</f>
        <v/>
      </c>
      <c r="C51" s="7" t="str">
        <f>IF(A51="","",IF(A51=0,INPUTS!$C$8,J50))</f>
        <v/>
      </c>
      <c r="D51" s="7" t="str">
        <f>IF(A51="","",ENGINE!D51)</f>
        <v/>
      </c>
      <c r="E51" s="26" t="str">
        <f t="shared" si="0"/>
        <v/>
      </c>
      <c r="F51" s="26" t="str">
        <f t="shared" si="1"/>
        <v/>
      </c>
      <c r="G51" s="26" t="str">
        <f t="shared" si="2"/>
        <v/>
      </c>
      <c r="H51" s="28" t="str">
        <f t="shared" si="3"/>
        <v/>
      </c>
      <c r="I51" s="26" t="str">
        <f t="shared" si="4"/>
        <v/>
      </c>
      <c r="J51" s="26" t="str">
        <f>IF(A51="","",IF(G51=0,C51+D51,C51*H51+IF(INPUTS!$C$12="Beginning",F51*(1+G51)*(H51-1)/G51,F51*(H51-1)/G51)))</f>
        <v/>
      </c>
      <c r="K51" s="26" t="str">
        <f>IF(A51="","",SUM($D$2:D51))</f>
        <v/>
      </c>
      <c r="L51" s="7" t="str">
        <f>IF(A51="","",(1+G51)^((Horizon_Rows+1-ROW())*E51)*IF(INPUTS!$C$12="Beginning",1+G51,1))</f>
        <v/>
      </c>
      <c r="M51" s="7" t="str">
        <f t="shared" si="5"/>
        <v/>
      </c>
      <c r="N51" s="26" t="str">
        <f t="shared" si="6"/>
        <v/>
      </c>
      <c r="O51" s="26" t="str">
        <f t="shared" si="7"/>
        <v/>
      </c>
      <c r="P51" s="26" t="str">
        <f t="shared" si="8"/>
        <v/>
      </c>
      <c r="Q51" s="21" t="str">
        <f t="shared" si="9"/>
        <v/>
      </c>
      <c r="R51" s="7"/>
      <c r="S51" s="7"/>
      <c r="T51" s="7" t="str">
        <f>IF(A51="","",(1+'WHAT-IF SCENARIOS'!$B$8)^((Horizon_Rows+1-ROW())*E51+IF(INPUTS!$C$12="Beginning",1,0)))</f>
        <v/>
      </c>
      <c r="U51" s="7" t="str">
        <f t="shared" si="10"/>
        <v/>
      </c>
      <c r="V51" s="7" t="str">
        <f>IF(A51="","",(1+'WHAT-IF SCENARIOS'!$B$25)^((Horizon_Rows+1-ROW())*E51+IF(INPUTS!$C$12="Beginning",1,0)))</f>
        <v/>
      </c>
      <c r="W51" s="7" t="str">
        <f t="shared" si="11"/>
        <v/>
      </c>
      <c r="X51" s="7" t="str">
        <f>IF(A51="","",(1+'WHAT-IF SCENARIOS'!$B$27)^((Horizon_Rows+1-ROW())*E51+IF(INPUTS!$C$12="Beginning",1,0)))</f>
        <v/>
      </c>
      <c r="Y51" s="7" t="str">
        <f t="shared" si="12"/>
        <v/>
      </c>
      <c r="Z51" s="7" t="str">
        <f>IF(A51="","",IF(AND(A51&gt;='WHAT-IF SCENARIOS'!$B$41,A51&lt;'WHAT-IF SCENARIOS'!$B$41+'WHAT-IF SCENARIOS'!$B$42),0,D51))</f>
        <v/>
      </c>
      <c r="AA51" s="7" t="str">
        <f t="shared" si="13"/>
        <v/>
      </c>
      <c r="AB51" s="7" t="str">
        <f>IF(A51="","",IF(B51&gt;'WHAT-IF SCENARIOS'!$B$49,0,D51))</f>
        <v/>
      </c>
      <c r="AC51" s="7" t="str">
        <f t="shared" si="14"/>
        <v/>
      </c>
    </row>
    <row r="52" spans="1:29" ht="18" customHeight="1" x14ac:dyDescent="0.25">
      <c r="A52" s="7" t="str">
        <f>IF(ENGINE!A52="","",ENGINE!A52)</f>
        <v/>
      </c>
      <c r="B52" s="7" t="str">
        <f>IF(A52="","",ENGINE!B52)</f>
        <v/>
      </c>
      <c r="C52" s="7" t="str">
        <f>IF(A52="","",IF(A52=0,INPUTS!$C$8,J51))</f>
        <v/>
      </c>
      <c r="D52" s="7" t="str">
        <f>IF(A52="","",ENGINE!D52)</f>
        <v/>
      </c>
      <c r="E52" s="26" t="str">
        <f t="shared" si="0"/>
        <v/>
      </c>
      <c r="F52" s="26" t="str">
        <f t="shared" si="1"/>
        <v/>
      </c>
      <c r="G52" s="26" t="str">
        <f t="shared" si="2"/>
        <v/>
      </c>
      <c r="H52" s="28" t="str">
        <f t="shared" si="3"/>
        <v/>
      </c>
      <c r="I52" s="26" t="str">
        <f t="shared" si="4"/>
        <v/>
      </c>
      <c r="J52" s="26" t="str">
        <f>IF(A52="","",IF(G52=0,C52+D52,C52*H52+IF(INPUTS!$C$12="Beginning",F52*(1+G52)*(H52-1)/G52,F52*(H52-1)/G52)))</f>
        <v/>
      </c>
      <c r="K52" s="26" t="str">
        <f>IF(A52="","",SUM($D$2:D52))</f>
        <v/>
      </c>
      <c r="L52" s="7" t="str">
        <f>IF(A52="","",(1+G52)^((Horizon_Rows+1-ROW())*E52)*IF(INPUTS!$C$12="Beginning",1+G52,1))</f>
        <v/>
      </c>
      <c r="M52" s="7" t="str">
        <f t="shared" si="5"/>
        <v/>
      </c>
      <c r="N52" s="26" t="str">
        <f t="shared" si="6"/>
        <v/>
      </c>
      <c r="O52" s="26" t="str">
        <f t="shared" si="7"/>
        <v/>
      </c>
      <c r="P52" s="26" t="str">
        <f t="shared" si="8"/>
        <v/>
      </c>
      <c r="Q52" s="21" t="str">
        <f t="shared" si="9"/>
        <v/>
      </c>
      <c r="R52" s="7"/>
      <c r="S52" s="7"/>
      <c r="T52" s="7" t="str">
        <f>IF(A52="","",(1+'WHAT-IF SCENARIOS'!$B$8)^((Horizon_Rows+1-ROW())*E52+IF(INPUTS!$C$12="Beginning",1,0)))</f>
        <v/>
      </c>
      <c r="U52" s="7" t="str">
        <f t="shared" si="10"/>
        <v/>
      </c>
      <c r="V52" s="7" t="str">
        <f>IF(A52="","",(1+'WHAT-IF SCENARIOS'!$B$25)^((Horizon_Rows+1-ROW())*E52+IF(INPUTS!$C$12="Beginning",1,0)))</f>
        <v/>
      </c>
      <c r="W52" s="7" t="str">
        <f t="shared" si="11"/>
        <v/>
      </c>
      <c r="X52" s="7" t="str">
        <f>IF(A52="","",(1+'WHAT-IF SCENARIOS'!$B$27)^((Horizon_Rows+1-ROW())*E52+IF(INPUTS!$C$12="Beginning",1,0)))</f>
        <v/>
      </c>
      <c r="Y52" s="7" t="str">
        <f t="shared" si="12"/>
        <v/>
      </c>
      <c r="Z52" s="7" t="str">
        <f>IF(A52="","",IF(AND(A52&gt;='WHAT-IF SCENARIOS'!$B$41,A52&lt;'WHAT-IF SCENARIOS'!$B$41+'WHAT-IF SCENARIOS'!$B$42),0,D52))</f>
        <v/>
      </c>
      <c r="AA52" s="7" t="str">
        <f t="shared" si="13"/>
        <v/>
      </c>
      <c r="AB52" s="7" t="str">
        <f>IF(A52="","",IF(B52&gt;'WHAT-IF SCENARIOS'!$B$49,0,D52))</f>
        <v/>
      </c>
      <c r="AC52" s="7" t="str">
        <f t="shared" si="14"/>
        <v/>
      </c>
    </row>
    <row r="53" spans="1:29" ht="18" customHeight="1" x14ac:dyDescent="0.25">
      <c r="A53" s="7" t="str">
        <f>IF(ENGINE!A53="","",ENGINE!A53)</f>
        <v/>
      </c>
      <c r="B53" s="7" t="str">
        <f>IF(A53="","",ENGINE!B53)</f>
        <v/>
      </c>
      <c r="C53" s="7" t="str">
        <f>IF(A53="","",IF(A53=0,INPUTS!$C$8,J52))</f>
        <v/>
      </c>
      <c r="D53" s="7" t="str">
        <f>IF(A53="","",ENGINE!D53)</f>
        <v/>
      </c>
      <c r="E53" s="26" t="str">
        <f t="shared" si="0"/>
        <v/>
      </c>
      <c r="F53" s="26" t="str">
        <f t="shared" si="1"/>
        <v/>
      </c>
      <c r="G53" s="26" t="str">
        <f t="shared" si="2"/>
        <v/>
      </c>
      <c r="H53" s="28" t="str">
        <f t="shared" si="3"/>
        <v/>
      </c>
      <c r="I53" s="26" t="str">
        <f t="shared" si="4"/>
        <v/>
      </c>
      <c r="J53" s="26" t="str">
        <f>IF(A53="","",IF(G53=0,C53+D53,C53*H53+IF(INPUTS!$C$12="Beginning",F53*(1+G53)*(H53-1)/G53,F53*(H53-1)/G53)))</f>
        <v/>
      </c>
      <c r="K53" s="26" t="str">
        <f>IF(A53="","",SUM($D$2:D53))</f>
        <v/>
      </c>
      <c r="L53" s="7" t="str">
        <f>IF(A53="","",(1+G53)^((Horizon_Rows+1-ROW())*E53)*IF(INPUTS!$C$12="Beginning",1+G53,1))</f>
        <v/>
      </c>
      <c r="M53" s="7" t="str">
        <f t="shared" si="5"/>
        <v/>
      </c>
      <c r="N53" s="26" t="str">
        <f t="shared" si="6"/>
        <v/>
      </c>
      <c r="O53" s="26" t="str">
        <f t="shared" si="7"/>
        <v/>
      </c>
      <c r="P53" s="26" t="str">
        <f t="shared" si="8"/>
        <v/>
      </c>
      <c r="Q53" s="21" t="str">
        <f t="shared" si="9"/>
        <v/>
      </c>
      <c r="R53" s="7"/>
      <c r="S53" s="7"/>
      <c r="T53" s="7" t="str">
        <f>IF(A53="","",(1+'WHAT-IF SCENARIOS'!$B$8)^((Horizon_Rows+1-ROW())*E53+IF(INPUTS!$C$12="Beginning",1,0)))</f>
        <v/>
      </c>
      <c r="U53" s="7" t="str">
        <f t="shared" si="10"/>
        <v/>
      </c>
      <c r="V53" s="7" t="str">
        <f>IF(A53="","",(1+'WHAT-IF SCENARIOS'!$B$25)^((Horizon_Rows+1-ROW())*E53+IF(INPUTS!$C$12="Beginning",1,0)))</f>
        <v/>
      </c>
      <c r="W53" s="7" t="str">
        <f t="shared" si="11"/>
        <v/>
      </c>
      <c r="X53" s="7" t="str">
        <f>IF(A53="","",(1+'WHAT-IF SCENARIOS'!$B$27)^((Horizon_Rows+1-ROW())*E53+IF(INPUTS!$C$12="Beginning",1,0)))</f>
        <v/>
      </c>
      <c r="Y53" s="7" t="str">
        <f t="shared" si="12"/>
        <v/>
      </c>
      <c r="Z53" s="7" t="str">
        <f>IF(A53="","",IF(AND(A53&gt;='WHAT-IF SCENARIOS'!$B$41,A53&lt;'WHAT-IF SCENARIOS'!$B$41+'WHAT-IF SCENARIOS'!$B$42),0,D53))</f>
        <v/>
      </c>
      <c r="AA53" s="7" t="str">
        <f t="shared" si="13"/>
        <v/>
      </c>
      <c r="AB53" s="7" t="str">
        <f>IF(A53="","",IF(B53&gt;'WHAT-IF SCENARIOS'!$B$49,0,D53))</f>
        <v/>
      </c>
      <c r="AC53" s="7" t="str">
        <f t="shared" si="14"/>
        <v/>
      </c>
    </row>
    <row r="54" spans="1:29" ht="18" customHeight="1" x14ac:dyDescent="0.25">
      <c r="A54" s="7" t="str">
        <f>IF(ENGINE!A54="","",ENGINE!A54)</f>
        <v/>
      </c>
      <c r="B54" s="7" t="str">
        <f>IF(A54="","",ENGINE!B54)</f>
        <v/>
      </c>
      <c r="C54" s="7" t="str">
        <f>IF(A54="","",IF(A54=0,INPUTS!$C$8,J53))</f>
        <v/>
      </c>
      <c r="D54" s="7" t="str">
        <f>IF(A54="","",ENGINE!D54)</f>
        <v/>
      </c>
      <c r="E54" s="26" t="str">
        <f t="shared" si="0"/>
        <v/>
      </c>
      <c r="F54" s="26" t="str">
        <f t="shared" si="1"/>
        <v/>
      </c>
      <c r="G54" s="26" t="str">
        <f t="shared" si="2"/>
        <v/>
      </c>
      <c r="H54" s="28" t="str">
        <f t="shared" si="3"/>
        <v/>
      </c>
      <c r="I54" s="26" t="str">
        <f t="shared" si="4"/>
        <v/>
      </c>
      <c r="J54" s="26" t="str">
        <f>IF(A54="","",IF(G54=0,C54+D54,C54*H54+IF(INPUTS!$C$12="Beginning",F54*(1+G54)*(H54-1)/G54,F54*(H54-1)/G54)))</f>
        <v/>
      </c>
      <c r="K54" s="26" t="str">
        <f>IF(A54="","",SUM($D$2:D54))</f>
        <v/>
      </c>
      <c r="L54" s="7" t="str">
        <f>IF(A54="","",(1+G54)^((Horizon_Rows+1-ROW())*E54)*IF(INPUTS!$C$12="Beginning",1+G54,1))</f>
        <v/>
      </c>
      <c r="M54" s="7" t="str">
        <f t="shared" si="5"/>
        <v/>
      </c>
      <c r="N54" s="26" t="str">
        <f t="shared" si="6"/>
        <v/>
      </c>
      <c r="O54" s="26" t="str">
        <f t="shared" si="7"/>
        <v/>
      </c>
      <c r="P54" s="26" t="str">
        <f t="shared" si="8"/>
        <v/>
      </c>
      <c r="Q54" s="21" t="str">
        <f t="shared" si="9"/>
        <v/>
      </c>
      <c r="R54" s="7"/>
      <c r="S54" s="7"/>
      <c r="T54" s="7" t="str">
        <f>IF(A54="","",(1+'WHAT-IF SCENARIOS'!$B$8)^((Horizon_Rows+1-ROW())*E54+IF(INPUTS!$C$12="Beginning",1,0)))</f>
        <v/>
      </c>
      <c r="U54" s="7" t="str">
        <f t="shared" si="10"/>
        <v/>
      </c>
      <c r="V54" s="7" t="str">
        <f>IF(A54="","",(1+'WHAT-IF SCENARIOS'!$B$25)^((Horizon_Rows+1-ROW())*E54+IF(INPUTS!$C$12="Beginning",1,0)))</f>
        <v/>
      </c>
      <c r="W54" s="7" t="str">
        <f t="shared" si="11"/>
        <v/>
      </c>
      <c r="X54" s="7" t="str">
        <f>IF(A54="","",(1+'WHAT-IF SCENARIOS'!$B$27)^((Horizon_Rows+1-ROW())*E54+IF(INPUTS!$C$12="Beginning",1,0)))</f>
        <v/>
      </c>
      <c r="Y54" s="7" t="str">
        <f t="shared" si="12"/>
        <v/>
      </c>
      <c r="Z54" s="7" t="str">
        <f>IF(A54="","",IF(AND(A54&gt;='WHAT-IF SCENARIOS'!$B$41,A54&lt;'WHAT-IF SCENARIOS'!$B$41+'WHAT-IF SCENARIOS'!$B$42),0,D54))</f>
        <v/>
      </c>
      <c r="AA54" s="7" t="str">
        <f t="shared" si="13"/>
        <v/>
      </c>
      <c r="AB54" s="7" t="str">
        <f>IF(A54="","",IF(B54&gt;'WHAT-IF SCENARIOS'!$B$49,0,D54))</f>
        <v/>
      </c>
      <c r="AC54" s="7" t="str">
        <f t="shared" si="14"/>
        <v/>
      </c>
    </row>
    <row r="55" spans="1:29" ht="18" customHeight="1" x14ac:dyDescent="0.25">
      <c r="A55" s="7" t="str">
        <f>IF(ENGINE!A55="","",ENGINE!A55)</f>
        <v/>
      </c>
      <c r="B55" s="7" t="str">
        <f>IF(A55="","",ENGINE!B55)</f>
        <v/>
      </c>
      <c r="C55" s="7" t="str">
        <f>IF(A55="","",IF(A55=0,INPUTS!$C$8,J54))</f>
        <v/>
      </c>
      <c r="D55" s="7" t="str">
        <f>IF(A55="","",ENGINE!D55)</f>
        <v/>
      </c>
      <c r="E55" s="26" t="str">
        <f t="shared" si="0"/>
        <v/>
      </c>
      <c r="F55" s="26" t="str">
        <f t="shared" si="1"/>
        <v/>
      </c>
      <c r="G55" s="26" t="str">
        <f t="shared" si="2"/>
        <v/>
      </c>
      <c r="H55" s="28" t="str">
        <f t="shared" si="3"/>
        <v/>
      </c>
      <c r="I55" s="26" t="str">
        <f t="shared" si="4"/>
        <v/>
      </c>
      <c r="J55" s="26" t="str">
        <f>IF(A55="","",IF(G55=0,C55+D55,C55*H55+IF(INPUTS!$C$12="Beginning",F55*(1+G55)*(H55-1)/G55,F55*(H55-1)/G55)))</f>
        <v/>
      </c>
      <c r="K55" s="26" t="str">
        <f>IF(A55="","",SUM($D$2:D55))</f>
        <v/>
      </c>
      <c r="L55" s="7" t="str">
        <f>IF(A55="","",(1+G55)^((Horizon_Rows+1-ROW())*E55)*IF(INPUTS!$C$12="Beginning",1+G55,1))</f>
        <v/>
      </c>
      <c r="M55" s="7" t="str">
        <f t="shared" si="5"/>
        <v/>
      </c>
      <c r="N55" s="26" t="str">
        <f t="shared" si="6"/>
        <v/>
      </c>
      <c r="O55" s="26" t="str">
        <f t="shared" si="7"/>
        <v/>
      </c>
      <c r="P55" s="26" t="str">
        <f t="shared" si="8"/>
        <v/>
      </c>
      <c r="Q55" s="21" t="str">
        <f t="shared" si="9"/>
        <v/>
      </c>
      <c r="R55" s="7"/>
      <c r="S55" s="7"/>
      <c r="T55" s="7" t="str">
        <f>IF(A55="","",(1+'WHAT-IF SCENARIOS'!$B$8)^((Horizon_Rows+1-ROW())*E55+IF(INPUTS!$C$12="Beginning",1,0)))</f>
        <v/>
      </c>
      <c r="U55" s="7" t="str">
        <f t="shared" si="10"/>
        <v/>
      </c>
      <c r="V55" s="7" t="str">
        <f>IF(A55="","",(1+'WHAT-IF SCENARIOS'!$B$25)^((Horizon_Rows+1-ROW())*E55+IF(INPUTS!$C$12="Beginning",1,0)))</f>
        <v/>
      </c>
      <c r="W55" s="7" t="str">
        <f t="shared" si="11"/>
        <v/>
      </c>
      <c r="X55" s="7" t="str">
        <f>IF(A55="","",(1+'WHAT-IF SCENARIOS'!$B$27)^((Horizon_Rows+1-ROW())*E55+IF(INPUTS!$C$12="Beginning",1,0)))</f>
        <v/>
      </c>
      <c r="Y55" s="7" t="str">
        <f t="shared" si="12"/>
        <v/>
      </c>
      <c r="Z55" s="7" t="str">
        <f>IF(A55="","",IF(AND(A55&gt;='WHAT-IF SCENARIOS'!$B$41,A55&lt;'WHAT-IF SCENARIOS'!$B$41+'WHAT-IF SCENARIOS'!$B$42),0,D55))</f>
        <v/>
      </c>
      <c r="AA55" s="7" t="str">
        <f t="shared" si="13"/>
        <v/>
      </c>
      <c r="AB55" s="7" t="str">
        <f>IF(A55="","",IF(B55&gt;'WHAT-IF SCENARIOS'!$B$49,0,D55))</f>
        <v/>
      </c>
      <c r="AC55" s="7" t="str">
        <f t="shared" si="14"/>
        <v/>
      </c>
    </row>
    <row r="56" spans="1:29" ht="18" customHeight="1" x14ac:dyDescent="0.25">
      <c r="A56" s="7" t="str">
        <f>IF(ENGINE!A56="","",ENGINE!A56)</f>
        <v/>
      </c>
      <c r="B56" s="7" t="str">
        <f>IF(A56="","",ENGINE!B56)</f>
        <v/>
      </c>
      <c r="C56" s="7" t="str">
        <f>IF(A56="","",IF(A56=0,INPUTS!$C$8,J55))</f>
        <v/>
      </c>
      <c r="D56" s="7" t="str">
        <f>IF(A56="","",ENGINE!D56)</f>
        <v/>
      </c>
      <c r="E56" s="26" t="str">
        <f t="shared" si="0"/>
        <v/>
      </c>
      <c r="F56" s="26" t="str">
        <f t="shared" si="1"/>
        <v/>
      </c>
      <c r="G56" s="26" t="str">
        <f t="shared" si="2"/>
        <v/>
      </c>
      <c r="H56" s="28" t="str">
        <f t="shared" si="3"/>
        <v/>
      </c>
      <c r="I56" s="26" t="str">
        <f t="shared" si="4"/>
        <v/>
      </c>
      <c r="J56" s="26" t="str">
        <f>IF(A56="","",IF(G56=0,C56+D56,C56*H56+IF(INPUTS!$C$12="Beginning",F56*(1+G56)*(H56-1)/G56,F56*(H56-1)/G56)))</f>
        <v/>
      </c>
      <c r="K56" s="26" t="str">
        <f>IF(A56="","",SUM($D$2:D56))</f>
        <v/>
      </c>
      <c r="L56" s="7" t="str">
        <f>IF(A56="","",(1+G56)^((Horizon_Rows+1-ROW())*E56)*IF(INPUTS!$C$12="Beginning",1+G56,1))</f>
        <v/>
      </c>
      <c r="M56" s="7" t="str">
        <f t="shared" si="5"/>
        <v/>
      </c>
      <c r="N56" s="26" t="str">
        <f t="shared" si="6"/>
        <v/>
      </c>
      <c r="O56" s="26" t="str">
        <f t="shared" si="7"/>
        <v/>
      </c>
      <c r="P56" s="26" t="str">
        <f t="shared" si="8"/>
        <v/>
      </c>
      <c r="Q56" s="21" t="str">
        <f t="shared" si="9"/>
        <v/>
      </c>
      <c r="R56" s="7"/>
      <c r="S56" s="7"/>
      <c r="T56" s="7" t="str">
        <f>IF(A56="","",(1+'WHAT-IF SCENARIOS'!$B$8)^((Horizon_Rows+1-ROW())*E56+IF(INPUTS!$C$12="Beginning",1,0)))</f>
        <v/>
      </c>
      <c r="U56" s="7" t="str">
        <f t="shared" si="10"/>
        <v/>
      </c>
      <c r="V56" s="7" t="str">
        <f>IF(A56="","",(1+'WHAT-IF SCENARIOS'!$B$25)^((Horizon_Rows+1-ROW())*E56+IF(INPUTS!$C$12="Beginning",1,0)))</f>
        <v/>
      </c>
      <c r="W56" s="7" t="str">
        <f t="shared" si="11"/>
        <v/>
      </c>
      <c r="X56" s="7" t="str">
        <f>IF(A56="","",(1+'WHAT-IF SCENARIOS'!$B$27)^((Horizon_Rows+1-ROW())*E56+IF(INPUTS!$C$12="Beginning",1,0)))</f>
        <v/>
      </c>
      <c r="Y56" s="7" t="str">
        <f t="shared" si="12"/>
        <v/>
      </c>
      <c r="Z56" s="7" t="str">
        <f>IF(A56="","",IF(AND(A56&gt;='WHAT-IF SCENARIOS'!$B$41,A56&lt;'WHAT-IF SCENARIOS'!$B$41+'WHAT-IF SCENARIOS'!$B$42),0,D56))</f>
        <v/>
      </c>
      <c r="AA56" s="7" t="str">
        <f t="shared" si="13"/>
        <v/>
      </c>
      <c r="AB56" s="7" t="str">
        <f>IF(A56="","",IF(B56&gt;'WHAT-IF SCENARIOS'!$B$49,0,D56))</f>
        <v/>
      </c>
      <c r="AC56" s="7" t="str">
        <f t="shared" si="14"/>
        <v/>
      </c>
    </row>
    <row r="57" spans="1:29" ht="18" customHeight="1" x14ac:dyDescent="0.25">
      <c r="A57" s="7" t="str">
        <f>IF(ENGINE!A57="","",ENGINE!A57)</f>
        <v/>
      </c>
      <c r="B57" s="7" t="str">
        <f>IF(A57="","",ENGINE!B57)</f>
        <v/>
      </c>
      <c r="C57" s="7" t="str">
        <f>IF(A57="","",IF(A57=0,INPUTS!$C$8,J56))</f>
        <v/>
      </c>
      <c r="D57" s="7" t="str">
        <f>IF(A57="","",ENGINE!D57)</f>
        <v/>
      </c>
      <c r="E57" s="26" t="str">
        <f t="shared" si="0"/>
        <v/>
      </c>
      <c r="F57" s="26" t="str">
        <f t="shared" si="1"/>
        <v/>
      </c>
      <c r="G57" s="26" t="str">
        <f t="shared" si="2"/>
        <v/>
      </c>
      <c r="H57" s="28" t="str">
        <f t="shared" si="3"/>
        <v/>
      </c>
      <c r="I57" s="26" t="str">
        <f t="shared" si="4"/>
        <v/>
      </c>
      <c r="J57" s="26" t="str">
        <f>IF(A57="","",IF(G57=0,C57+D57,C57*H57+IF(INPUTS!$C$12="Beginning",F57*(1+G57)*(H57-1)/G57,F57*(H57-1)/G57)))</f>
        <v/>
      </c>
      <c r="K57" s="26" t="str">
        <f>IF(A57="","",SUM($D$2:D57))</f>
        <v/>
      </c>
      <c r="L57" s="7" t="str">
        <f>IF(A57="","",(1+G57)^((Horizon_Rows+1-ROW())*E57)*IF(INPUTS!$C$12="Beginning",1+G57,1))</f>
        <v/>
      </c>
      <c r="M57" s="7" t="str">
        <f t="shared" si="5"/>
        <v/>
      </c>
      <c r="N57" s="26" t="str">
        <f t="shared" si="6"/>
        <v/>
      </c>
      <c r="O57" s="26" t="str">
        <f t="shared" si="7"/>
        <v/>
      </c>
      <c r="P57" s="26" t="str">
        <f t="shared" si="8"/>
        <v/>
      </c>
      <c r="Q57" s="21" t="str">
        <f t="shared" si="9"/>
        <v/>
      </c>
      <c r="R57" s="7"/>
      <c r="S57" s="7"/>
      <c r="T57" s="7" t="str">
        <f>IF(A57="","",(1+'WHAT-IF SCENARIOS'!$B$8)^((Horizon_Rows+1-ROW())*E57+IF(INPUTS!$C$12="Beginning",1,0)))</f>
        <v/>
      </c>
      <c r="U57" s="7" t="str">
        <f t="shared" si="10"/>
        <v/>
      </c>
      <c r="V57" s="7" t="str">
        <f>IF(A57="","",(1+'WHAT-IF SCENARIOS'!$B$25)^((Horizon_Rows+1-ROW())*E57+IF(INPUTS!$C$12="Beginning",1,0)))</f>
        <v/>
      </c>
      <c r="W57" s="7" t="str">
        <f t="shared" si="11"/>
        <v/>
      </c>
      <c r="X57" s="7" t="str">
        <f>IF(A57="","",(1+'WHAT-IF SCENARIOS'!$B$27)^((Horizon_Rows+1-ROW())*E57+IF(INPUTS!$C$12="Beginning",1,0)))</f>
        <v/>
      </c>
      <c r="Y57" s="7" t="str">
        <f t="shared" si="12"/>
        <v/>
      </c>
      <c r="Z57" s="7" t="str">
        <f>IF(A57="","",IF(AND(A57&gt;='WHAT-IF SCENARIOS'!$B$41,A57&lt;'WHAT-IF SCENARIOS'!$B$41+'WHAT-IF SCENARIOS'!$B$42),0,D57))</f>
        <v/>
      </c>
      <c r="AA57" s="7" t="str">
        <f t="shared" si="13"/>
        <v/>
      </c>
      <c r="AB57" s="7" t="str">
        <f>IF(A57="","",IF(B57&gt;'WHAT-IF SCENARIOS'!$B$49,0,D57))</f>
        <v/>
      </c>
      <c r="AC57" s="7" t="str">
        <f t="shared" si="14"/>
        <v/>
      </c>
    </row>
    <row r="58" spans="1:29" ht="18" customHeight="1" x14ac:dyDescent="0.25">
      <c r="A58" s="7" t="str">
        <f>IF(ENGINE!A58="","",ENGINE!A58)</f>
        <v/>
      </c>
      <c r="B58" s="7" t="str">
        <f>IF(A58="","",ENGINE!B58)</f>
        <v/>
      </c>
      <c r="C58" s="7" t="str">
        <f>IF(A58="","",IF(A58=0,INPUTS!$C$8,J57))</f>
        <v/>
      </c>
      <c r="D58" s="7" t="str">
        <f>IF(A58="","",ENGINE!D58)</f>
        <v/>
      </c>
      <c r="E58" s="26" t="str">
        <f t="shared" si="0"/>
        <v/>
      </c>
      <c r="F58" s="26" t="str">
        <f t="shared" si="1"/>
        <v/>
      </c>
      <c r="G58" s="26" t="str">
        <f t="shared" si="2"/>
        <v/>
      </c>
      <c r="H58" s="28" t="str">
        <f t="shared" si="3"/>
        <v/>
      </c>
      <c r="I58" s="26" t="str">
        <f t="shared" si="4"/>
        <v/>
      </c>
      <c r="J58" s="26" t="str">
        <f>IF(A58="","",IF(G58=0,C58+D58,C58*H58+IF(INPUTS!$C$12="Beginning",F58*(1+G58)*(H58-1)/G58,F58*(H58-1)/G58)))</f>
        <v/>
      </c>
      <c r="K58" s="26" t="str">
        <f>IF(A58="","",SUM($D$2:D58))</f>
        <v/>
      </c>
      <c r="L58" s="7" t="str">
        <f>IF(A58="","",(1+G58)^((Horizon_Rows+1-ROW())*E58)*IF(INPUTS!$C$12="Beginning",1+G58,1))</f>
        <v/>
      </c>
      <c r="M58" s="7" t="str">
        <f t="shared" si="5"/>
        <v/>
      </c>
      <c r="N58" s="26" t="str">
        <f t="shared" si="6"/>
        <v/>
      </c>
      <c r="O58" s="26" t="str">
        <f t="shared" si="7"/>
        <v/>
      </c>
      <c r="P58" s="26" t="str">
        <f t="shared" si="8"/>
        <v/>
      </c>
      <c r="Q58" s="21" t="str">
        <f t="shared" si="9"/>
        <v/>
      </c>
      <c r="R58" s="7"/>
      <c r="S58" s="7"/>
      <c r="T58" s="7" t="str">
        <f>IF(A58="","",(1+'WHAT-IF SCENARIOS'!$B$8)^((Horizon_Rows+1-ROW())*E58+IF(INPUTS!$C$12="Beginning",1,0)))</f>
        <v/>
      </c>
      <c r="U58" s="7" t="str">
        <f t="shared" si="10"/>
        <v/>
      </c>
      <c r="V58" s="7" t="str">
        <f>IF(A58="","",(1+'WHAT-IF SCENARIOS'!$B$25)^((Horizon_Rows+1-ROW())*E58+IF(INPUTS!$C$12="Beginning",1,0)))</f>
        <v/>
      </c>
      <c r="W58" s="7" t="str">
        <f t="shared" si="11"/>
        <v/>
      </c>
      <c r="X58" s="7" t="str">
        <f>IF(A58="","",(1+'WHAT-IF SCENARIOS'!$B$27)^((Horizon_Rows+1-ROW())*E58+IF(INPUTS!$C$12="Beginning",1,0)))</f>
        <v/>
      </c>
      <c r="Y58" s="7" t="str">
        <f t="shared" si="12"/>
        <v/>
      </c>
      <c r="Z58" s="7" t="str">
        <f>IF(A58="","",IF(AND(A58&gt;='WHAT-IF SCENARIOS'!$B$41,A58&lt;'WHAT-IF SCENARIOS'!$B$41+'WHAT-IF SCENARIOS'!$B$42),0,D58))</f>
        <v/>
      </c>
      <c r="AA58" s="7" t="str">
        <f t="shared" si="13"/>
        <v/>
      </c>
      <c r="AB58" s="7" t="str">
        <f>IF(A58="","",IF(B58&gt;'WHAT-IF SCENARIOS'!$B$49,0,D58))</f>
        <v/>
      </c>
      <c r="AC58" s="7" t="str">
        <f t="shared" si="14"/>
        <v/>
      </c>
    </row>
    <row r="59" spans="1:29" ht="18" customHeight="1" x14ac:dyDescent="0.25">
      <c r="A59" s="7" t="str">
        <f>IF(ENGINE!A59="","",ENGINE!A59)</f>
        <v/>
      </c>
      <c r="B59" s="7" t="str">
        <f>IF(A59="","",ENGINE!B59)</f>
        <v/>
      </c>
      <c r="C59" s="7" t="str">
        <f>IF(A59="","",IF(A59=0,INPUTS!$C$8,J58))</f>
        <v/>
      </c>
      <c r="D59" s="7" t="str">
        <f>IF(A59="","",ENGINE!D59)</f>
        <v/>
      </c>
      <c r="E59" s="26" t="str">
        <f t="shared" si="0"/>
        <v/>
      </c>
      <c r="F59" s="26" t="str">
        <f t="shared" si="1"/>
        <v/>
      </c>
      <c r="G59" s="26" t="str">
        <f t="shared" si="2"/>
        <v/>
      </c>
      <c r="H59" s="28" t="str">
        <f t="shared" si="3"/>
        <v/>
      </c>
      <c r="I59" s="26" t="str">
        <f t="shared" si="4"/>
        <v/>
      </c>
      <c r="J59" s="26" t="str">
        <f>IF(A59="","",IF(G59=0,C59+D59,C59*H59+IF(INPUTS!$C$12="Beginning",F59*(1+G59)*(H59-1)/G59,F59*(H59-1)/G59)))</f>
        <v/>
      </c>
      <c r="K59" s="26" t="str">
        <f>IF(A59="","",SUM($D$2:D59))</f>
        <v/>
      </c>
      <c r="L59" s="7" t="str">
        <f>IF(A59="","",(1+G59)^((Horizon_Rows+1-ROW())*E59)*IF(INPUTS!$C$12="Beginning",1+G59,1))</f>
        <v/>
      </c>
      <c r="M59" s="7" t="str">
        <f t="shared" si="5"/>
        <v/>
      </c>
      <c r="N59" s="26" t="str">
        <f t="shared" si="6"/>
        <v/>
      </c>
      <c r="O59" s="26" t="str">
        <f t="shared" si="7"/>
        <v/>
      </c>
      <c r="P59" s="26" t="str">
        <f t="shared" si="8"/>
        <v/>
      </c>
      <c r="Q59" s="21" t="str">
        <f t="shared" si="9"/>
        <v/>
      </c>
      <c r="R59" s="7"/>
      <c r="S59" s="7"/>
      <c r="T59" s="7" t="str">
        <f>IF(A59="","",(1+'WHAT-IF SCENARIOS'!$B$8)^((Horizon_Rows+1-ROW())*E59+IF(INPUTS!$C$12="Beginning",1,0)))</f>
        <v/>
      </c>
      <c r="U59" s="7" t="str">
        <f t="shared" si="10"/>
        <v/>
      </c>
      <c r="V59" s="7" t="str">
        <f>IF(A59="","",(1+'WHAT-IF SCENARIOS'!$B$25)^((Horizon_Rows+1-ROW())*E59+IF(INPUTS!$C$12="Beginning",1,0)))</f>
        <v/>
      </c>
      <c r="W59" s="7" t="str">
        <f t="shared" si="11"/>
        <v/>
      </c>
      <c r="X59" s="7" t="str">
        <f>IF(A59="","",(1+'WHAT-IF SCENARIOS'!$B$27)^((Horizon_Rows+1-ROW())*E59+IF(INPUTS!$C$12="Beginning",1,0)))</f>
        <v/>
      </c>
      <c r="Y59" s="7" t="str">
        <f t="shared" si="12"/>
        <v/>
      </c>
      <c r="Z59" s="7" t="str">
        <f>IF(A59="","",IF(AND(A59&gt;='WHAT-IF SCENARIOS'!$B$41,A59&lt;'WHAT-IF SCENARIOS'!$B$41+'WHAT-IF SCENARIOS'!$B$42),0,D59))</f>
        <v/>
      </c>
      <c r="AA59" s="7" t="str">
        <f t="shared" si="13"/>
        <v/>
      </c>
      <c r="AB59" s="7" t="str">
        <f>IF(A59="","",IF(B59&gt;'WHAT-IF SCENARIOS'!$B$49,0,D59))</f>
        <v/>
      </c>
      <c r="AC59" s="7" t="str">
        <f t="shared" si="14"/>
        <v/>
      </c>
    </row>
    <row r="60" spans="1:29" ht="18" customHeight="1" x14ac:dyDescent="0.25">
      <c r="A60" s="7" t="str">
        <f>IF(ENGINE!A60="","",ENGINE!A60)</f>
        <v/>
      </c>
      <c r="B60" s="7" t="str">
        <f>IF(A60="","",ENGINE!B60)</f>
        <v/>
      </c>
      <c r="C60" s="7" t="str">
        <f>IF(A60="","",IF(A60=0,INPUTS!$C$8,J59))</f>
        <v/>
      </c>
      <c r="D60" s="7" t="str">
        <f>IF(A60="","",ENGINE!D60)</f>
        <v/>
      </c>
      <c r="E60" s="26" t="str">
        <f t="shared" si="0"/>
        <v/>
      </c>
      <c r="F60" s="26" t="str">
        <f t="shared" si="1"/>
        <v/>
      </c>
      <c r="G60" s="26" t="str">
        <f t="shared" si="2"/>
        <v/>
      </c>
      <c r="H60" s="28" t="str">
        <f t="shared" si="3"/>
        <v/>
      </c>
      <c r="I60" s="26" t="str">
        <f t="shared" si="4"/>
        <v/>
      </c>
      <c r="J60" s="26" t="str">
        <f>IF(A60="","",IF(G60=0,C60+D60,C60*H60+IF(INPUTS!$C$12="Beginning",F60*(1+G60)*(H60-1)/G60,F60*(H60-1)/G60)))</f>
        <v/>
      </c>
      <c r="K60" s="26" t="str">
        <f>IF(A60="","",SUM($D$2:D60))</f>
        <v/>
      </c>
      <c r="L60" s="7" t="str">
        <f>IF(A60="","",(1+G60)^((Horizon_Rows+1-ROW())*E60)*IF(INPUTS!$C$12="Beginning",1+G60,1))</f>
        <v/>
      </c>
      <c r="M60" s="7" t="str">
        <f t="shared" si="5"/>
        <v/>
      </c>
      <c r="N60" s="26" t="str">
        <f t="shared" si="6"/>
        <v/>
      </c>
      <c r="O60" s="26" t="str">
        <f t="shared" si="7"/>
        <v/>
      </c>
      <c r="P60" s="26" t="str">
        <f t="shared" si="8"/>
        <v/>
      </c>
      <c r="Q60" s="21" t="str">
        <f t="shared" si="9"/>
        <v/>
      </c>
      <c r="R60" s="7"/>
      <c r="S60" s="7"/>
      <c r="T60" s="7" t="str">
        <f>IF(A60="","",(1+'WHAT-IF SCENARIOS'!$B$8)^((Horizon_Rows+1-ROW())*E60+IF(INPUTS!$C$12="Beginning",1,0)))</f>
        <v/>
      </c>
      <c r="U60" s="7" t="str">
        <f t="shared" si="10"/>
        <v/>
      </c>
      <c r="V60" s="7" t="str">
        <f>IF(A60="","",(1+'WHAT-IF SCENARIOS'!$B$25)^((Horizon_Rows+1-ROW())*E60+IF(INPUTS!$C$12="Beginning",1,0)))</f>
        <v/>
      </c>
      <c r="W60" s="7" t="str">
        <f t="shared" si="11"/>
        <v/>
      </c>
      <c r="X60" s="7" t="str">
        <f>IF(A60="","",(1+'WHAT-IF SCENARIOS'!$B$27)^((Horizon_Rows+1-ROW())*E60+IF(INPUTS!$C$12="Beginning",1,0)))</f>
        <v/>
      </c>
      <c r="Y60" s="7" t="str">
        <f t="shared" si="12"/>
        <v/>
      </c>
      <c r="Z60" s="7" t="str">
        <f>IF(A60="","",IF(AND(A60&gt;='WHAT-IF SCENARIOS'!$B$41,A60&lt;'WHAT-IF SCENARIOS'!$B$41+'WHAT-IF SCENARIOS'!$B$42),0,D60))</f>
        <v/>
      </c>
      <c r="AA60" s="7" t="str">
        <f t="shared" si="13"/>
        <v/>
      </c>
      <c r="AB60" s="7" t="str">
        <f>IF(A60="","",IF(B60&gt;'WHAT-IF SCENARIOS'!$B$49,0,D60))</f>
        <v/>
      </c>
      <c r="AC60" s="7" t="str">
        <f t="shared" si="14"/>
        <v/>
      </c>
    </row>
    <row r="61" spans="1:29" ht="18" customHeight="1" x14ac:dyDescent="0.25">
      <c r="A61" s="7" t="str">
        <f>IF(ENGINE!A61="","",ENGINE!A61)</f>
        <v/>
      </c>
      <c r="B61" s="7" t="str">
        <f>IF(A61="","",ENGINE!B61)</f>
        <v/>
      </c>
      <c r="C61" s="7" t="str">
        <f>IF(A61="","",IF(A61=0,INPUTS!$C$8,J60))</f>
        <v/>
      </c>
      <c r="D61" s="7" t="str">
        <f>IF(A61="","",ENGINE!D61)</f>
        <v/>
      </c>
      <c r="E61" s="26" t="str">
        <f t="shared" si="0"/>
        <v/>
      </c>
      <c r="F61" s="26" t="str">
        <f t="shared" si="1"/>
        <v/>
      </c>
      <c r="G61" s="26" t="str">
        <f t="shared" si="2"/>
        <v/>
      </c>
      <c r="H61" s="28" t="str">
        <f t="shared" si="3"/>
        <v/>
      </c>
      <c r="I61" s="26" t="str">
        <f t="shared" si="4"/>
        <v/>
      </c>
      <c r="J61" s="26" t="str">
        <f>IF(A61="","",IF(G61=0,C61+D61,C61*H61+IF(INPUTS!$C$12="Beginning",F61*(1+G61)*(H61-1)/G61,F61*(H61-1)/G61)))</f>
        <v/>
      </c>
      <c r="K61" s="26" t="str">
        <f>IF(A61="","",SUM($D$2:D61))</f>
        <v/>
      </c>
      <c r="L61" s="7" t="str">
        <f>IF(A61="","",(1+G61)^((Horizon_Rows+1-ROW())*E61)*IF(INPUTS!$C$12="Beginning",1+G61,1))</f>
        <v/>
      </c>
      <c r="M61" s="7" t="str">
        <f t="shared" si="5"/>
        <v/>
      </c>
      <c r="N61" s="26" t="str">
        <f t="shared" si="6"/>
        <v/>
      </c>
      <c r="O61" s="26" t="str">
        <f t="shared" si="7"/>
        <v/>
      </c>
      <c r="P61" s="26" t="str">
        <f t="shared" si="8"/>
        <v/>
      </c>
      <c r="Q61" s="21" t="str">
        <f t="shared" si="9"/>
        <v/>
      </c>
      <c r="R61" s="7"/>
      <c r="S61" s="7"/>
      <c r="T61" s="7" t="str">
        <f>IF(A61="","",(1+'WHAT-IF SCENARIOS'!$B$8)^((Horizon_Rows+1-ROW())*E61+IF(INPUTS!$C$12="Beginning",1,0)))</f>
        <v/>
      </c>
      <c r="U61" s="7" t="str">
        <f t="shared" si="10"/>
        <v/>
      </c>
      <c r="V61" s="7" t="str">
        <f>IF(A61="","",(1+'WHAT-IF SCENARIOS'!$B$25)^((Horizon_Rows+1-ROW())*E61+IF(INPUTS!$C$12="Beginning",1,0)))</f>
        <v/>
      </c>
      <c r="W61" s="7" t="str">
        <f t="shared" si="11"/>
        <v/>
      </c>
      <c r="X61" s="7" t="str">
        <f>IF(A61="","",(1+'WHAT-IF SCENARIOS'!$B$27)^((Horizon_Rows+1-ROW())*E61+IF(INPUTS!$C$12="Beginning",1,0)))</f>
        <v/>
      </c>
      <c r="Y61" s="7" t="str">
        <f t="shared" si="12"/>
        <v/>
      </c>
      <c r="Z61" s="7" t="str">
        <f>IF(A61="","",IF(AND(A61&gt;='WHAT-IF SCENARIOS'!$B$41,A61&lt;'WHAT-IF SCENARIOS'!$B$41+'WHAT-IF SCENARIOS'!$B$42),0,D61))</f>
        <v/>
      </c>
      <c r="AA61" s="7" t="str">
        <f t="shared" si="13"/>
        <v/>
      </c>
      <c r="AB61" s="7" t="str">
        <f>IF(A61="","",IF(B61&gt;'WHAT-IF SCENARIOS'!$B$49,0,D61))</f>
        <v/>
      </c>
      <c r="AC61" s="7" t="str">
        <f t="shared" si="14"/>
        <v/>
      </c>
    </row>
    <row r="62" spans="1:29" ht="18" customHeight="1" x14ac:dyDescent="0.25">
      <c r="A62" s="7" t="str">
        <f>IF(ENGINE!A62="","",ENGINE!A62)</f>
        <v/>
      </c>
      <c r="B62" s="7" t="str">
        <f>IF(A62="","",ENGINE!B62)</f>
        <v/>
      </c>
      <c r="C62" s="7" t="str">
        <f>IF(A62="","",IF(A62=0,INPUTS!$C$8,J61))</f>
        <v/>
      </c>
      <c r="D62" s="7" t="str">
        <f>IF(A62="","",ENGINE!D62)</f>
        <v/>
      </c>
      <c r="E62" s="26" t="str">
        <f t="shared" si="0"/>
        <v/>
      </c>
      <c r="F62" s="26" t="str">
        <f t="shared" si="1"/>
        <v/>
      </c>
      <c r="G62" s="26" t="str">
        <f t="shared" si="2"/>
        <v/>
      </c>
      <c r="H62" s="28" t="str">
        <f t="shared" si="3"/>
        <v/>
      </c>
      <c r="I62" s="26" t="str">
        <f t="shared" si="4"/>
        <v/>
      </c>
      <c r="J62" s="26" t="str">
        <f>IF(A62="","",IF(G62=0,C62+D62,C62*H62+IF(INPUTS!$C$12="Beginning",F62*(1+G62)*(H62-1)/G62,F62*(H62-1)/G62)))</f>
        <v/>
      </c>
      <c r="K62" s="26" t="str">
        <f>IF(A62="","",SUM($D$2:D62))</f>
        <v/>
      </c>
      <c r="L62" s="7" t="str">
        <f>IF(A62="","",(1+G62)^((Horizon_Rows+1-ROW())*E62)*IF(INPUTS!$C$12="Beginning",1+G62,1))</f>
        <v/>
      </c>
      <c r="M62" s="7" t="str">
        <f t="shared" si="5"/>
        <v/>
      </c>
      <c r="N62" s="26" t="str">
        <f t="shared" si="6"/>
        <v/>
      </c>
      <c r="O62" s="26" t="str">
        <f t="shared" si="7"/>
        <v/>
      </c>
      <c r="P62" s="26" t="str">
        <f t="shared" si="8"/>
        <v/>
      </c>
      <c r="Q62" s="21" t="str">
        <f t="shared" si="9"/>
        <v/>
      </c>
      <c r="R62" s="7"/>
      <c r="S62" s="7"/>
      <c r="T62" s="7" t="str">
        <f>IF(A62="","",(1+'WHAT-IF SCENARIOS'!$B$8)^((Horizon_Rows+1-ROW())*E62+IF(INPUTS!$C$12="Beginning",1,0)))</f>
        <v/>
      </c>
      <c r="U62" s="7" t="str">
        <f t="shared" si="10"/>
        <v/>
      </c>
      <c r="V62" s="7" t="str">
        <f>IF(A62="","",(1+'WHAT-IF SCENARIOS'!$B$25)^((Horizon_Rows+1-ROW())*E62+IF(INPUTS!$C$12="Beginning",1,0)))</f>
        <v/>
      </c>
      <c r="W62" s="7" t="str">
        <f t="shared" si="11"/>
        <v/>
      </c>
      <c r="X62" s="7" t="str">
        <f>IF(A62="","",(1+'WHAT-IF SCENARIOS'!$B$27)^((Horizon_Rows+1-ROW())*E62+IF(INPUTS!$C$12="Beginning",1,0)))</f>
        <v/>
      </c>
      <c r="Y62" s="7" t="str">
        <f t="shared" si="12"/>
        <v/>
      </c>
      <c r="Z62" s="7" t="str">
        <f>IF(A62="","",IF(AND(A62&gt;='WHAT-IF SCENARIOS'!$B$41,A62&lt;'WHAT-IF SCENARIOS'!$B$41+'WHAT-IF SCENARIOS'!$B$42),0,D62))</f>
        <v/>
      </c>
      <c r="AA62" s="7" t="str">
        <f t="shared" si="13"/>
        <v/>
      </c>
      <c r="AB62" s="7" t="str">
        <f>IF(A62="","",IF(B62&gt;'WHAT-IF SCENARIOS'!$B$49,0,D62))</f>
        <v/>
      </c>
      <c r="AC62" s="7" t="str">
        <f t="shared" si="14"/>
        <v/>
      </c>
    </row>
    <row r="63" spans="1:29" ht="18" customHeight="1" x14ac:dyDescent="0.25">
      <c r="A63" s="7" t="str">
        <f>IF(ENGINE!A63="","",ENGINE!A63)</f>
        <v/>
      </c>
      <c r="B63" s="7" t="str">
        <f>IF(A63="","",ENGINE!B63)</f>
        <v/>
      </c>
      <c r="C63" s="7" t="str">
        <f>IF(A63="","",IF(A63=0,INPUTS!$C$8,J62))</f>
        <v/>
      </c>
      <c r="D63" s="7" t="str">
        <f>IF(A63="","",ENGINE!D63)</f>
        <v/>
      </c>
      <c r="E63" s="26" t="str">
        <f t="shared" si="0"/>
        <v/>
      </c>
      <c r="F63" s="26" t="str">
        <f t="shared" si="1"/>
        <v/>
      </c>
      <c r="G63" s="26" t="str">
        <f t="shared" si="2"/>
        <v/>
      </c>
      <c r="H63" s="28" t="str">
        <f t="shared" si="3"/>
        <v/>
      </c>
      <c r="I63" s="26" t="str">
        <f t="shared" si="4"/>
        <v/>
      </c>
      <c r="J63" s="26" t="str">
        <f>IF(A63="","",IF(G63=0,C63+D63,C63*H63+IF(INPUTS!$C$12="Beginning",F63*(1+G63)*(H63-1)/G63,F63*(H63-1)/G63)))</f>
        <v/>
      </c>
      <c r="K63" s="26" t="str">
        <f>IF(A63="","",SUM($D$2:D63))</f>
        <v/>
      </c>
      <c r="L63" s="7" t="str">
        <f>IF(A63="","",(1+G63)^((Horizon_Rows+1-ROW())*E63)*IF(INPUTS!$C$12="Beginning",1+G63,1))</f>
        <v/>
      </c>
      <c r="M63" s="7" t="str">
        <f t="shared" si="5"/>
        <v/>
      </c>
      <c r="N63" s="26" t="str">
        <f t="shared" si="6"/>
        <v/>
      </c>
      <c r="O63" s="26" t="str">
        <f t="shared" si="7"/>
        <v/>
      </c>
      <c r="P63" s="26" t="str">
        <f t="shared" si="8"/>
        <v/>
      </c>
      <c r="Q63" s="21" t="str">
        <f t="shared" si="9"/>
        <v/>
      </c>
      <c r="R63" s="7"/>
      <c r="S63" s="7"/>
      <c r="T63" s="7" t="str">
        <f>IF(A63="","",(1+'WHAT-IF SCENARIOS'!$B$8)^((Horizon_Rows+1-ROW())*E63+IF(INPUTS!$C$12="Beginning",1,0)))</f>
        <v/>
      </c>
      <c r="U63" s="7" t="str">
        <f t="shared" si="10"/>
        <v/>
      </c>
      <c r="V63" s="7" t="str">
        <f>IF(A63="","",(1+'WHAT-IF SCENARIOS'!$B$25)^((Horizon_Rows+1-ROW())*E63+IF(INPUTS!$C$12="Beginning",1,0)))</f>
        <v/>
      </c>
      <c r="W63" s="7" t="str">
        <f t="shared" si="11"/>
        <v/>
      </c>
      <c r="X63" s="7" t="str">
        <f>IF(A63="","",(1+'WHAT-IF SCENARIOS'!$B$27)^((Horizon_Rows+1-ROW())*E63+IF(INPUTS!$C$12="Beginning",1,0)))</f>
        <v/>
      </c>
      <c r="Y63" s="7" t="str">
        <f t="shared" si="12"/>
        <v/>
      </c>
      <c r="Z63" s="7" t="str">
        <f>IF(A63="","",IF(AND(A63&gt;='WHAT-IF SCENARIOS'!$B$41,A63&lt;'WHAT-IF SCENARIOS'!$B$41+'WHAT-IF SCENARIOS'!$B$42),0,D63))</f>
        <v/>
      </c>
      <c r="AA63" s="7" t="str">
        <f t="shared" si="13"/>
        <v/>
      </c>
      <c r="AB63" s="7" t="str">
        <f>IF(A63="","",IF(B63&gt;'WHAT-IF SCENARIOS'!$B$49,0,D63))</f>
        <v/>
      </c>
      <c r="AC63" s="7" t="str">
        <f t="shared" si="14"/>
        <v/>
      </c>
    </row>
    <row r="64" spans="1:29" ht="18" customHeight="1" x14ac:dyDescent="0.25">
      <c r="A64" s="7" t="str">
        <f>IF(ENGINE!A64="","",ENGINE!A64)</f>
        <v/>
      </c>
      <c r="B64" s="7" t="str">
        <f>IF(A64="","",ENGINE!B64)</f>
        <v/>
      </c>
      <c r="C64" s="7" t="str">
        <f>IF(A64="","",IF(A64=0,INPUTS!$C$8,J63))</f>
        <v/>
      </c>
      <c r="D64" s="7" t="str">
        <f>IF(A64="","",ENGINE!D64)</f>
        <v/>
      </c>
      <c r="E64" s="26" t="str">
        <f t="shared" si="0"/>
        <v/>
      </c>
      <c r="F64" s="26" t="str">
        <f t="shared" si="1"/>
        <v/>
      </c>
      <c r="G64" s="26" t="str">
        <f t="shared" si="2"/>
        <v/>
      </c>
      <c r="H64" s="28" t="str">
        <f t="shared" si="3"/>
        <v/>
      </c>
      <c r="I64" s="26" t="str">
        <f t="shared" si="4"/>
        <v/>
      </c>
      <c r="J64" s="26" t="str">
        <f>IF(A64="","",IF(G64=0,C64+D64,C64*H64+IF(INPUTS!$C$12="Beginning",F64*(1+G64)*(H64-1)/G64,F64*(H64-1)/G64)))</f>
        <v/>
      </c>
      <c r="K64" s="26" t="str">
        <f>IF(A64="","",SUM($D$2:D64))</f>
        <v/>
      </c>
      <c r="L64" s="7" t="str">
        <f>IF(A64="","",(1+G64)^((Horizon_Rows+1-ROW())*E64)*IF(INPUTS!$C$12="Beginning",1+G64,1))</f>
        <v/>
      </c>
      <c r="M64" s="7" t="str">
        <f t="shared" si="5"/>
        <v/>
      </c>
      <c r="N64" s="26" t="str">
        <f t="shared" si="6"/>
        <v/>
      </c>
      <c r="O64" s="26" t="str">
        <f t="shared" si="7"/>
        <v/>
      </c>
      <c r="P64" s="26" t="str">
        <f t="shared" si="8"/>
        <v/>
      </c>
      <c r="Q64" s="21" t="str">
        <f t="shared" si="9"/>
        <v/>
      </c>
      <c r="R64" s="7"/>
      <c r="S64" s="7"/>
      <c r="T64" s="7" t="str">
        <f>IF(A64="","",(1+'WHAT-IF SCENARIOS'!$B$8)^((Horizon_Rows+1-ROW())*E64+IF(INPUTS!$C$12="Beginning",1,0)))</f>
        <v/>
      </c>
      <c r="U64" s="7" t="str">
        <f t="shared" si="10"/>
        <v/>
      </c>
      <c r="V64" s="7" t="str">
        <f>IF(A64="","",(1+'WHAT-IF SCENARIOS'!$B$25)^((Horizon_Rows+1-ROW())*E64+IF(INPUTS!$C$12="Beginning",1,0)))</f>
        <v/>
      </c>
      <c r="W64" s="7" t="str">
        <f t="shared" si="11"/>
        <v/>
      </c>
      <c r="X64" s="7" t="str">
        <f>IF(A64="","",(1+'WHAT-IF SCENARIOS'!$B$27)^((Horizon_Rows+1-ROW())*E64+IF(INPUTS!$C$12="Beginning",1,0)))</f>
        <v/>
      </c>
      <c r="Y64" s="7" t="str">
        <f t="shared" si="12"/>
        <v/>
      </c>
      <c r="Z64" s="7" t="str">
        <f>IF(A64="","",IF(AND(A64&gt;='WHAT-IF SCENARIOS'!$B$41,A64&lt;'WHAT-IF SCENARIOS'!$B$41+'WHAT-IF SCENARIOS'!$B$42),0,D64))</f>
        <v/>
      </c>
      <c r="AA64" s="7" t="str">
        <f t="shared" si="13"/>
        <v/>
      </c>
      <c r="AB64" s="7" t="str">
        <f>IF(A64="","",IF(B64&gt;'WHAT-IF SCENARIOS'!$B$49,0,D64))</f>
        <v/>
      </c>
      <c r="AC64" s="7" t="str">
        <f t="shared" si="14"/>
        <v/>
      </c>
    </row>
    <row r="65" spans="1:29" ht="18" customHeight="1" x14ac:dyDescent="0.25">
      <c r="A65" s="7" t="str">
        <f>IF(ENGINE!A65="","",ENGINE!A65)</f>
        <v/>
      </c>
      <c r="B65" s="7" t="str">
        <f>IF(A65="","",ENGINE!B65)</f>
        <v/>
      </c>
      <c r="C65" s="7" t="str">
        <f>IF(A65="","",IF(A65=0,INPUTS!$C$8,J64))</f>
        <v/>
      </c>
      <c r="D65" s="7" t="str">
        <f>IF(A65="","",ENGINE!D65)</f>
        <v/>
      </c>
      <c r="E65" s="26" t="str">
        <f t="shared" si="0"/>
        <v/>
      </c>
      <c r="F65" s="26" t="str">
        <f t="shared" si="1"/>
        <v/>
      </c>
      <c r="G65" s="26" t="str">
        <f t="shared" si="2"/>
        <v/>
      </c>
      <c r="H65" s="28" t="str">
        <f t="shared" si="3"/>
        <v/>
      </c>
      <c r="I65" s="26" t="str">
        <f t="shared" si="4"/>
        <v/>
      </c>
      <c r="J65" s="26" t="str">
        <f>IF(A65="","",IF(G65=0,C65+D65,C65*H65+IF(INPUTS!$C$12="Beginning",F65*(1+G65)*(H65-1)/G65,F65*(H65-1)/G65)))</f>
        <v/>
      </c>
      <c r="K65" s="26" t="str">
        <f>IF(A65="","",SUM($D$2:D65))</f>
        <v/>
      </c>
      <c r="L65" s="7" t="str">
        <f>IF(A65="","",(1+G65)^((Horizon_Rows+1-ROW())*E65)*IF(INPUTS!$C$12="Beginning",1+G65,1))</f>
        <v/>
      </c>
      <c r="M65" s="7" t="str">
        <f t="shared" si="5"/>
        <v/>
      </c>
      <c r="N65" s="26" t="str">
        <f t="shared" si="6"/>
        <v/>
      </c>
      <c r="O65" s="26" t="str">
        <f t="shared" si="7"/>
        <v/>
      </c>
      <c r="P65" s="26" t="str">
        <f t="shared" si="8"/>
        <v/>
      </c>
      <c r="Q65" s="21" t="str">
        <f t="shared" si="9"/>
        <v/>
      </c>
      <c r="R65" s="7"/>
      <c r="S65" s="7"/>
      <c r="T65" s="7" t="str">
        <f>IF(A65="","",(1+'WHAT-IF SCENARIOS'!$B$8)^((Horizon_Rows+1-ROW())*E65+IF(INPUTS!$C$12="Beginning",1,0)))</f>
        <v/>
      </c>
      <c r="U65" s="7" t="str">
        <f t="shared" si="10"/>
        <v/>
      </c>
      <c r="V65" s="7" t="str">
        <f>IF(A65="","",(1+'WHAT-IF SCENARIOS'!$B$25)^((Horizon_Rows+1-ROW())*E65+IF(INPUTS!$C$12="Beginning",1,0)))</f>
        <v/>
      </c>
      <c r="W65" s="7" t="str">
        <f t="shared" si="11"/>
        <v/>
      </c>
      <c r="X65" s="7" t="str">
        <f>IF(A65="","",(1+'WHAT-IF SCENARIOS'!$B$27)^((Horizon_Rows+1-ROW())*E65+IF(INPUTS!$C$12="Beginning",1,0)))</f>
        <v/>
      </c>
      <c r="Y65" s="7" t="str">
        <f t="shared" si="12"/>
        <v/>
      </c>
      <c r="Z65" s="7" t="str">
        <f>IF(A65="","",IF(AND(A65&gt;='WHAT-IF SCENARIOS'!$B$41,A65&lt;'WHAT-IF SCENARIOS'!$B$41+'WHAT-IF SCENARIOS'!$B$42),0,D65))</f>
        <v/>
      </c>
      <c r="AA65" s="7" t="str">
        <f t="shared" si="13"/>
        <v/>
      </c>
      <c r="AB65" s="7" t="str">
        <f>IF(A65="","",IF(B65&gt;'WHAT-IF SCENARIOS'!$B$49,0,D65))</f>
        <v/>
      </c>
      <c r="AC65" s="7" t="str">
        <f t="shared" si="14"/>
        <v/>
      </c>
    </row>
    <row r="66" spans="1:29" ht="18" customHeight="1" x14ac:dyDescent="0.25">
      <c r="A66" s="7" t="str">
        <f>IF(ENGINE!A66="","",ENGINE!A66)</f>
        <v/>
      </c>
      <c r="B66" s="7" t="str">
        <f>IF(A66="","",ENGINE!B66)</f>
        <v/>
      </c>
      <c r="C66" s="7" t="str">
        <f>IF(A66="","",IF(A66=0,INPUTS!$C$8,J65))</f>
        <v/>
      </c>
      <c r="D66" s="7" t="str">
        <f>IF(A66="","",ENGINE!D66)</f>
        <v/>
      </c>
      <c r="E66" s="26" t="str">
        <f t="shared" si="0"/>
        <v/>
      </c>
      <c r="F66" s="26" t="str">
        <f t="shared" si="1"/>
        <v/>
      </c>
      <c r="G66" s="26" t="str">
        <f t="shared" si="2"/>
        <v/>
      </c>
      <c r="H66" s="28" t="str">
        <f t="shared" si="3"/>
        <v/>
      </c>
      <c r="I66" s="26" t="str">
        <f t="shared" si="4"/>
        <v/>
      </c>
      <c r="J66" s="26" t="str">
        <f>IF(A66="","",IF(G66=0,C66+D66,C66*H66+IF(INPUTS!$C$12="Beginning",F66*(1+G66)*(H66-1)/G66,F66*(H66-1)/G66)))</f>
        <v/>
      </c>
      <c r="K66" s="26" t="str">
        <f>IF(A66="","",SUM($D$2:D66))</f>
        <v/>
      </c>
      <c r="L66" s="7" t="str">
        <f>IF(A66="","",(1+G66)^((Horizon_Rows+1-ROW())*E66)*IF(INPUTS!$C$12="Beginning",1+G66,1))</f>
        <v/>
      </c>
      <c r="M66" s="7" t="str">
        <f t="shared" si="5"/>
        <v/>
      </c>
      <c r="N66" s="26" t="str">
        <f t="shared" si="6"/>
        <v/>
      </c>
      <c r="O66" s="26" t="str">
        <f t="shared" si="7"/>
        <v/>
      </c>
      <c r="P66" s="26" t="str">
        <f t="shared" si="8"/>
        <v/>
      </c>
      <c r="Q66" s="21" t="str">
        <f t="shared" si="9"/>
        <v/>
      </c>
      <c r="R66" s="7"/>
      <c r="S66" s="7"/>
      <c r="T66" s="7" t="str">
        <f>IF(A66="","",(1+'WHAT-IF SCENARIOS'!$B$8)^((Horizon_Rows+1-ROW())*E66+IF(INPUTS!$C$12="Beginning",1,0)))</f>
        <v/>
      </c>
      <c r="U66" s="7" t="str">
        <f t="shared" si="10"/>
        <v/>
      </c>
      <c r="V66" s="7" t="str">
        <f>IF(A66="","",(1+'WHAT-IF SCENARIOS'!$B$25)^((Horizon_Rows+1-ROW())*E66+IF(INPUTS!$C$12="Beginning",1,0)))</f>
        <v/>
      </c>
      <c r="W66" s="7" t="str">
        <f t="shared" si="11"/>
        <v/>
      </c>
      <c r="X66" s="7" t="str">
        <f>IF(A66="","",(1+'WHAT-IF SCENARIOS'!$B$27)^((Horizon_Rows+1-ROW())*E66+IF(INPUTS!$C$12="Beginning",1,0)))</f>
        <v/>
      </c>
      <c r="Y66" s="7" t="str">
        <f t="shared" si="12"/>
        <v/>
      </c>
      <c r="Z66" s="7" t="str">
        <f>IF(A66="","",IF(AND(A66&gt;='WHAT-IF SCENARIOS'!$B$41,A66&lt;'WHAT-IF SCENARIOS'!$B$41+'WHAT-IF SCENARIOS'!$B$42),0,D66))</f>
        <v/>
      </c>
      <c r="AA66" s="7" t="str">
        <f t="shared" si="13"/>
        <v/>
      </c>
      <c r="AB66" s="7" t="str">
        <f>IF(A66="","",IF(B66&gt;'WHAT-IF SCENARIOS'!$B$49,0,D66))</f>
        <v/>
      </c>
      <c r="AC66" s="7" t="str">
        <f t="shared" si="14"/>
        <v/>
      </c>
    </row>
    <row r="67" spans="1:29" ht="18" customHeight="1" x14ac:dyDescent="0.25">
      <c r="A67" s="7" t="str">
        <f>IF(ENGINE!A67="","",ENGINE!A67)</f>
        <v/>
      </c>
      <c r="B67" s="7" t="str">
        <f>IF(A67="","",ENGINE!B67)</f>
        <v/>
      </c>
      <c r="C67" s="7" t="str">
        <f>IF(A67="","",IF(A67=0,INPUTS!$C$8,J66))</f>
        <v/>
      </c>
      <c r="D67" s="7" t="str">
        <f>IF(A67="","",ENGINE!D67)</f>
        <v/>
      </c>
      <c r="E67" s="26" t="str">
        <f t="shared" ref="E67:E102" si="15">IF(A67="","",$S$3)</f>
        <v/>
      </c>
      <c r="F67" s="26" t="str">
        <f t="shared" ref="F67:F102" si="16">IF(A67="","",D67/E67)</f>
        <v/>
      </c>
      <c r="G67" s="26" t="str">
        <f t="shared" ref="G67:G102" si="17">IF(A67="","",$S$5)</f>
        <v/>
      </c>
      <c r="H67" s="28" t="str">
        <f t="shared" ref="H67:H102" si="18">IF(A67="","",(1+G67)^E67)</f>
        <v/>
      </c>
      <c r="I67" s="26" t="str">
        <f t="shared" ref="I67:I102" si="19">IF(A67="","",J67-C67-D67)</f>
        <v/>
      </c>
      <c r="J67" s="26" t="str">
        <f>IF(A67="","",IF(G67=0,C67+D67,C67*H67+IF(INPUTS!$C$12="Beginning",F67*(1+G67)*(H67-1)/G67,F67*(H67-1)/G67)))</f>
        <v/>
      </c>
      <c r="K67" s="26" t="str">
        <f>IF(A67="","",SUM($D$2:D67))</f>
        <v/>
      </c>
      <c r="L67" s="7" t="str">
        <f>IF(A67="","",(1+G67)^((Horizon_Rows+1-ROW())*E67)*IF(INPUTS!$C$12="Beginning",1+G67,1))</f>
        <v/>
      </c>
      <c r="M67" s="7" t="str">
        <f t="shared" ref="M67:M102" si="20">A67</f>
        <v/>
      </c>
      <c r="N67" s="26" t="str">
        <f t="shared" ref="N67:N102" si="21">D67</f>
        <v/>
      </c>
      <c r="O67" s="26" t="str">
        <f t="shared" ref="O67:O102" si="22">IF(A67="","",F67*E67)</f>
        <v/>
      </c>
      <c r="P67" s="26" t="str">
        <f t="shared" ref="P67:P102" si="23">IF(A67="","",ROUND(N67-O67,2))</f>
        <v/>
      </c>
      <c r="Q67" s="21" t="str">
        <f t="shared" ref="Q67:Q102" si="24">IF(A67="","",F67*IF(G67=0,E67,(H67-1)/G67)*L67)</f>
        <v/>
      </c>
      <c r="R67" s="7"/>
      <c r="S67" s="7"/>
      <c r="T67" s="7" t="str">
        <f>IF(A67="","",(1+'WHAT-IF SCENARIOS'!$B$8)^((Horizon_Rows+1-ROW())*E67+IF(INPUTS!$C$12="Beginning",1,0)))</f>
        <v/>
      </c>
      <c r="U67" s="7" t="str">
        <f t="shared" ref="U67:U102" si="25">IF(A67="","",D67*T67)</f>
        <v/>
      </c>
      <c r="V67" s="7" t="str">
        <f>IF(A67="","",(1+'WHAT-IF SCENARIOS'!$B$25)^((Horizon_Rows+1-ROW())*E67+IF(INPUTS!$C$12="Beginning",1,0)))</f>
        <v/>
      </c>
      <c r="W67" s="7" t="str">
        <f t="shared" ref="W67:W102" si="26">IF(A67="","",D67*V67)</f>
        <v/>
      </c>
      <c r="X67" s="7" t="str">
        <f>IF(A67="","",(1+'WHAT-IF SCENARIOS'!$B$27)^((Horizon_Rows+1-ROW())*E67+IF(INPUTS!$C$12="Beginning",1,0)))</f>
        <v/>
      </c>
      <c r="Y67" s="7" t="str">
        <f t="shared" ref="Y67:Y102" si="27">IF(A67="","",D67*X67)</f>
        <v/>
      </c>
      <c r="Z67" s="7" t="str">
        <f>IF(A67="","",IF(AND(A67&gt;='WHAT-IF SCENARIOS'!$B$41,A67&lt;'WHAT-IF SCENARIOS'!$B$41+'WHAT-IF SCENARIOS'!$B$42),0,D67))</f>
        <v/>
      </c>
      <c r="AA67" s="7" t="str">
        <f t="shared" ref="AA67:AA102" si="28">IF(A67="","",Z67*L67)</f>
        <v/>
      </c>
      <c r="AB67" s="7" t="str">
        <f>IF(A67="","",IF(B67&gt;'WHAT-IF SCENARIOS'!$B$49,0,D67))</f>
        <v/>
      </c>
      <c r="AC67" s="7" t="str">
        <f t="shared" ref="AC67:AC102" si="29">IF(A67="","",AB67*L67)</f>
        <v/>
      </c>
    </row>
    <row r="68" spans="1:29" ht="18" customHeight="1" x14ac:dyDescent="0.25">
      <c r="A68" s="7" t="str">
        <f>IF(ENGINE!A68="","",ENGINE!A68)</f>
        <v/>
      </c>
      <c r="B68" s="7" t="str">
        <f>IF(A68="","",ENGINE!B68)</f>
        <v/>
      </c>
      <c r="C68" s="7" t="str">
        <f>IF(A68="","",IF(A68=0,INPUTS!$C$8,J67))</f>
        <v/>
      </c>
      <c r="D68" s="7" t="str">
        <f>IF(A68="","",ENGINE!D68)</f>
        <v/>
      </c>
      <c r="E68" s="26" t="str">
        <f t="shared" si="15"/>
        <v/>
      </c>
      <c r="F68" s="26" t="str">
        <f t="shared" si="16"/>
        <v/>
      </c>
      <c r="G68" s="26" t="str">
        <f t="shared" si="17"/>
        <v/>
      </c>
      <c r="H68" s="28" t="str">
        <f t="shared" si="18"/>
        <v/>
      </c>
      <c r="I68" s="26" t="str">
        <f t="shared" si="19"/>
        <v/>
      </c>
      <c r="J68" s="26" t="str">
        <f>IF(A68="","",IF(G68=0,C68+D68,C68*H68+IF(INPUTS!$C$12="Beginning",F68*(1+G68)*(H68-1)/G68,F68*(H68-1)/G68)))</f>
        <v/>
      </c>
      <c r="K68" s="26" t="str">
        <f>IF(A68="","",SUM($D$2:D68))</f>
        <v/>
      </c>
      <c r="L68" s="7" t="str">
        <f>IF(A68="","",(1+G68)^((Horizon_Rows+1-ROW())*E68)*IF(INPUTS!$C$12="Beginning",1+G68,1))</f>
        <v/>
      </c>
      <c r="M68" s="7" t="str">
        <f t="shared" si="20"/>
        <v/>
      </c>
      <c r="N68" s="26" t="str">
        <f t="shared" si="21"/>
        <v/>
      </c>
      <c r="O68" s="26" t="str">
        <f t="shared" si="22"/>
        <v/>
      </c>
      <c r="P68" s="26" t="str">
        <f t="shared" si="23"/>
        <v/>
      </c>
      <c r="Q68" s="21" t="str">
        <f t="shared" si="24"/>
        <v/>
      </c>
      <c r="R68" s="7"/>
      <c r="S68" s="7"/>
      <c r="T68" s="7" t="str">
        <f>IF(A68="","",(1+'WHAT-IF SCENARIOS'!$B$8)^((Horizon_Rows+1-ROW())*E68+IF(INPUTS!$C$12="Beginning",1,0)))</f>
        <v/>
      </c>
      <c r="U68" s="7" t="str">
        <f t="shared" si="25"/>
        <v/>
      </c>
      <c r="V68" s="7" t="str">
        <f>IF(A68="","",(1+'WHAT-IF SCENARIOS'!$B$25)^((Horizon_Rows+1-ROW())*E68+IF(INPUTS!$C$12="Beginning",1,0)))</f>
        <v/>
      </c>
      <c r="W68" s="7" t="str">
        <f t="shared" si="26"/>
        <v/>
      </c>
      <c r="X68" s="7" t="str">
        <f>IF(A68="","",(1+'WHAT-IF SCENARIOS'!$B$27)^((Horizon_Rows+1-ROW())*E68+IF(INPUTS!$C$12="Beginning",1,0)))</f>
        <v/>
      </c>
      <c r="Y68" s="7" t="str">
        <f t="shared" si="27"/>
        <v/>
      </c>
      <c r="Z68" s="7" t="str">
        <f>IF(A68="","",IF(AND(A68&gt;='WHAT-IF SCENARIOS'!$B$41,A68&lt;'WHAT-IF SCENARIOS'!$B$41+'WHAT-IF SCENARIOS'!$B$42),0,D68))</f>
        <v/>
      </c>
      <c r="AA68" s="7" t="str">
        <f t="shared" si="28"/>
        <v/>
      </c>
      <c r="AB68" s="7" t="str">
        <f>IF(A68="","",IF(B68&gt;'WHAT-IF SCENARIOS'!$B$49,0,D68))</f>
        <v/>
      </c>
      <c r="AC68" s="7" t="str">
        <f t="shared" si="29"/>
        <v/>
      </c>
    </row>
    <row r="69" spans="1:29" ht="18" customHeight="1" x14ac:dyDescent="0.25">
      <c r="A69" s="7" t="str">
        <f>IF(ENGINE!A69="","",ENGINE!A69)</f>
        <v/>
      </c>
      <c r="B69" s="7" t="str">
        <f>IF(A69="","",ENGINE!B69)</f>
        <v/>
      </c>
      <c r="C69" s="7" t="str">
        <f>IF(A69="","",IF(A69=0,INPUTS!$C$8,J68))</f>
        <v/>
      </c>
      <c r="D69" s="7" t="str">
        <f>IF(A69="","",ENGINE!D69)</f>
        <v/>
      </c>
      <c r="E69" s="26" t="str">
        <f t="shared" si="15"/>
        <v/>
      </c>
      <c r="F69" s="26" t="str">
        <f t="shared" si="16"/>
        <v/>
      </c>
      <c r="G69" s="26" t="str">
        <f t="shared" si="17"/>
        <v/>
      </c>
      <c r="H69" s="28" t="str">
        <f t="shared" si="18"/>
        <v/>
      </c>
      <c r="I69" s="26" t="str">
        <f t="shared" si="19"/>
        <v/>
      </c>
      <c r="J69" s="26" t="str">
        <f>IF(A69="","",IF(G69=0,C69+D69,C69*H69+IF(INPUTS!$C$12="Beginning",F69*(1+G69)*(H69-1)/G69,F69*(H69-1)/G69)))</f>
        <v/>
      </c>
      <c r="K69" s="26" t="str">
        <f>IF(A69="","",SUM($D$2:D69))</f>
        <v/>
      </c>
      <c r="L69" s="7" t="str">
        <f>IF(A69="","",(1+G69)^((Horizon_Rows+1-ROW())*E69)*IF(INPUTS!$C$12="Beginning",1+G69,1))</f>
        <v/>
      </c>
      <c r="M69" s="7" t="str">
        <f t="shared" si="20"/>
        <v/>
      </c>
      <c r="N69" s="26" t="str">
        <f t="shared" si="21"/>
        <v/>
      </c>
      <c r="O69" s="26" t="str">
        <f t="shared" si="22"/>
        <v/>
      </c>
      <c r="P69" s="26" t="str">
        <f t="shared" si="23"/>
        <v/>
      </c>
      <c r="Q69" s="21" t="str">
        <f t="shared" si="24"/>
        <v/>
      </c>
      <c r="R69" s="7"/>
      <c r="S69" s="7"/>
      <c r="T69" s="7" t="str">
        <f>IF(A69="","",(1+'WHAT-IF SCENARIOS'!$B$8)^((Horizon_Rows+1-ROW())*E69+IF(INPUTS!$C$12="Beginning",1,0)))</f>
        <v/>
      </c>
      <c r="U69" s="7" t="str">
        <f t="shared" si="25"/>
        <v/>
      </c>
      <c r="V69" s="7" t="str">
        <f>IF(A69="","",(1+'WHAT-IF SCENARIOS'!$B$25)^((Horizon_Rows+1-ROW())*E69+IF(INPUTS!$C$12="Beginning",1,0)))</f>
        <v/>
      </c>
      <c r="W69" s="7" t="str">
        <f t="shared" si="26"/>
        <v/>
      </c>
      <c r="X69" s="7" t="str">
        <f>IF(A69="","",(1+'WHAT-IF SCENARIOS'!$B$27)^((Horizon_Rows+1-ROW())*E69+IF(INPUTS!$C$12="Beginning",1,0)))</f>
        <v/>
      </c>
      <c r="Y69" s="7" t="str">
        <f t="shared" si="27"/>
        <v/>
      </c>
      <c r="Z69" s="7" t="str">
        <f>IF(A69="","",IF(AND(A69&gt;='WHAT-IF SCENARIOS'!$B$41,A69&lt;'WHAT-IF SCENARIOS'!$B$41+'WHAT-IF SCENARIOS'!$B$42),0,D69))</f>
        <v/>
      </c>
      <c r="AA69" s="7" t="str">
        <f t="shared" si="28"/>
        <v/>
      </c>
      <c r="AB69" s="7" t="str">
        <f>IF(A69="","",IF(B69&gt;'WHAT-IF SCENARIOS'!$B$49,0,D69))</f>
        <v/>
      </c>
      <c r="AC69" s="7" t="str">
        <f t="shared" si="29"/>
        <v/>
      </c>
    </row>
    <row r="70" spans="1:29" ht="18" customHeight="1" x14ac:dyDescent="0.25">
      <c r="A70" s="7" t="str">
        <f>IF(ENGINE!A70="","",ENGINE!A70)</f>
        <v/>
      </c>
      <c r="B70" s="7" t="str">
        <f>IF(A70="","",ENGINE!B70)</f>
        <v/>
      </c>
      <c r="C70" s="7" t="str">
        <f>IF(A70="","",IF(A70=0,INPUTS!$C$8,J69))</f>
        <v/>
      </c>
      <c r="D70" s="7" t="str">
        <f>IF(A70="","",ENGINE!D70)</f>
        <v/>
      </c>
      <c r="E70" s="26" t="str">
        <f t="shared" si="15"/>
        <v/>
      </c>
      <c r="F70" s="26" t="str">
        <f t="shared" si="16"/>
        <v/>
      </c>
      <c r="G70" s="26" t="str">
        <f t="shared" si="17"/>
        <v/>
      </c>
      <c r="H70" s="28" t="str">
        <f t="shared" si="18"/>
        <v/>
      </c>
      <c r="I70" s="26" t="str">
        <f t="shared" si="19"/>
        <v/>
      </c>
      <c r="J70" s="26" t="str">
        <f>IF(A70="","",IF(G70=0,C70+D70,C70*H70+IF(INPUTS!$C$12="Beginning",F70*(1+G70)*(H70-1)/G70,F70*(H70-1)/G70)))</f>
        <v/>
      </c>
      <c r="K70" s="26" t="str">
        <f>IF(A70="","",SUM($D$2:D70))</f>
        <v/>
      </c>
      <c r="L70" s="7" t="str">
        <f>IF(A70="","",(1+G70)^((Horizon_Rows+1-ROW())*E70)*IF(INPUTS!$C$12="Beginning",1+G70,1))</f>
        <v/>
      </c>
      <c r="M70" s="7" t="str">
        <f t="shared" si="20"/>
        <v/>
      </c>
      <c r="N70" s="26" t="str">
        <f t="shared" si="21"/>
        <v/>
      </c>
      <c r="O70" s="26" t="str">
        <f t="shared" si="22"/>
        <v/>
      </c>
      <c r="P70" s="26" t="str">
        <f t="shared" si="23"/>
        <v/>
      </c>
      <c r="Q70" s="21" t="str">
        <f t="shared" si="24"/>
        <v/>
      </c>
      <c r="R70" s="7"/>
      <c r="S70" s="7"/>
      <c r="T70" s="7" t="str">
        <f>IF(A70="","",(1+'WHAT-IF SCENARIOS'!$B$8)^((Horizon_Rows+1-ROW())*E70+IF(INPUTS!$C$12="Beginning",1,0)))</f>
        <v/>
      </c>
      <c r="U70" s="7" t="str">
        <f t="shared" si="25"/>
        <v/>
      </c>
      <c r="V70" s="7" t="str">
        <f>IF(A70="","",(1+'WHAT-IF SCENARIOS'!$B$25)^((Horizon_Rows+1-ROW())*E70+IF(INPUTS!$C$12="Beginning",1,0)))</f>
        <v/>
      </c>
      <c r="W70" s="7" t="str">
        <f t="shared" si="26"/>
        <v/>
      </c>
      <c r="X70" s="7" t="str">
        <f>IF(A70="","",(1+'WHAT-IF SCENARIOS'!$B$27)^((Horizon_Rows+1-ROW())*E70+IF(INPUTS!$C$12="Beginning",1,0)))</f>
        <v/>
      </c>
      <c r="Y70" s="7" t="str">
        <f t="shared" si="27"/>
        <v/>
      </c>
      <c r="Z70" s="7" t="str">
        <f>IF(A70="","",IF(AND(A70&gt;='WHAT-IF SCENARIOS'!$B$41,A70&lt;'WHAT-IF SCENARIOS'!$B$41+'WHAT-IF SCENARIOS'!$B$42),0,D70))</f>
        <v/>
      </c>
      <c r="AA70" s="7" t="str">
        <f t="shared" si="28"/>
        <v/>
      </c>
      <c r="AB70" s="7" t="str">
        <f>IF(A70="","",IF(B70&gt;'WHAT-IF SCENARIOS'!$B$49,0,D70))</f>
        <v/>
      </c>
      <c r="AC70" s="7" t="str">
        <f t="shared" si="29"/>
        <v/>
      </c>
    </row>
    <row r="71" spans="1:29" ht="18" customHeight="1" x14ac:dyDescent="0.25">
      <c r="A71" s="7" t="str">
        <f>IF(ENGINE!A71="","",ENGINE!A71)</f>
        <v/>
      </c>
      <c r="B71" s="7" t="str">
        <f>IF(A71="","",ENGINE!B71)</f>
        <v/>
      </c>
      <c r="C71" s="7" t="str">
        <f>IF(A71="","",IF(A71=0,INPUTS!$C$8,J70))</f>
        <v/>
      </c>
      <c r="D71" s="7" t="str">
        <f>IF(A71="","",ENGINE!D71)</f>
        <v/>
      </c>
      <c r="E71" s="26" t="str">
        <f t="shared" si="15"/>
        <v/>
      </c>
      <c r="F71" s="26" t="str">
        <f t="shared" si="16"/>
        <v/>
      </c>
      <c r="G71" s="26" t="str">
        <f t="shared" si="17"/>
        <v/>
      </c>
      <c r="H71" s="28" t="str">
        <f t="shared" si="18"/>
        <v/>
      </c>
      <c r="I71" s="26" t="str">
        <f t="shared" si="19"/>
        <v/>
      </c>
      <c r="J71" s="26" t="str">
        <f>IF(A71="","",IF(G71=0,C71+D71,C71*H71+IF(INPUTS!$C$12="Beginning",F71*(1+G71)*(H71-1)/G71,F71*(H71-1)/G71)))</f>
        <v/>
      </c>
      <c r="K71" s="26" t="str">
        <f>IF(A71="","",SUM($D$2:D71))</f>
        <v/>
      </c>
      <c r="L71" s="7" t="str">
        <f>IF(A71="","",(1+G71)^((Horizon_Rows+1-ROW())*E71)*IF(INPUTS!$C$12="Beginning",1+G71,1))</f>
        <v/>
      </c>
      <c r="M71" s="7" t="str">
        <f t="shared" si="20"/>
        <v/>
      </c>
      <c r="N71" s="26" t="str">
        <f t="shared" si="21"/>
        <v/>
      </c>
      <c r="O71" s="26" t="str">
        <f t="shared" si="22"/>
        <v/>
      </c>
      <c r="P71" s="26" t="str">
        <f t="shared" si="23"/>
        <v/>
      </c>
      <c r="Q71" s="21" t="str">
        <f t="shared" si="24"/>
        <v/>
      </c>
      <c r="R71" s="7"/>
      <c r="S71" s="7"/>
      <c r="T71" s="7" t="str">
        <f>IF(A71="","",(1+'WHAT-IF SCENARIOS'!$B$8)^((Horizon_Rows+1-ROW())*E71+IF(INPUTS!$C$12="Beginning",1,0)))</f>
        <v/>
      </c>
      <c r="U71" s="7" t="str">
        <f t="shared" si="25"/>
        <v/>
      </c>
      <c r="V71" s="7" t="str">
        <f>IF(A71="","",(1+'WHAT-IF SCENARIOS'!$B$25)^((Horizon_Rows+1-ROW())*E71+IF(INPUTS!$C$12="Beginning",1,0)))</f>
        <v/>
      </c>
      <c r="W71" s="7" t="str">
        <f t="shared" si="26"/>
        <v/>
      </c>
      <c r="X71" s="7" t="str">
        <f>IF(A71="","",(1+'WHAT-IF SCENARIOS'!$B$27)^((Horizon_Rows+1-ROW())*E71+IF(INPUTS!$C$12="Beginning",1,0)))</f>
        <v/>
      </c>
      <c r="Y71" s="7" t="str">
        <f t="shared" si="27"/>
        <v/>
      </c>
      <c r="Z71" s="7" t="str">
        <f>IF(A71="","",IF(AND(A71&gt;='WHAT-IF SCENARIOS'!$B$41,A71&lt;'WHAT-IF SCENARIOS'!$B$41+'WHAT-IF SCENARIOS'!$B$42),0,D71))</f>
        <v/>
      </c>
      <c r="AA71" s="7" t="str">
        <f t="shared" si="28"/>
        <v/>
      </c>
      <c r="AB71" s="7" t="str">
        <f>IF(A71="","",IF(B71&gt;'WHAT-IF SCENARIOS'!$B$49,0,D71))</f>
        <v/>
      </c>
      <c r="AC71" s="7" t="str">
        <f t="shared" si="29"/>
        <v/>
      </c>
    </row>
    <row r="72" spans="1:29" ht="18" customHeight="1" x14ac:dyDescent="0.25">
      <c r="A72" s="7" t="str">
        <f>IF(ENGINE!A72="","",ENGINE!A72)</f>
        <v/>
      </c>
      <c r="B72" s="7" t="str">
        <f>IF(A72="","",ENGINE!B72)</f>
        <v/>
      </c>
      <c r="C72" s="7" t="str">
        <f>IF(A72="","",IF(A72=0,INPUTS!$C$8,J71))</f>
        <v/>
      </c>
      <c r="D72" s="7" t="str">
        <f>IF(A72="","",ENGINE!D72)</f>
        <v/>
      </c>
      <c r="E72" s="26" t="str">
        <f t="shared" si="15"/>
        <v/>
      </c>
      <c r="F72" s="26" t="str">
        <f t="shared" si="16"/>
        <v/>
      </c>
      <c r="G72" s="26" t="str">
        <f t="shared" si="17"/>
        <v/>
      </c>
      <c r="H72" s="28" t="str">
        <f t="shared" si="18"/>
        <v/>
      </c>
      <c r="I72" s="26" t="str">
        <f t="shared" si="19"/>
        <v/>
      </c>
      <c r="J72" s="26" t="str">
        <f>IF(A72="","",IF(G72=0,C72+D72,C72*H72+IF(INPUTS!$C$12="Beginning",F72*(1+G72)*(H72-1)/G72,F72*(H72-1)/G72)))</f>
        <v/>
      </c>
      <c r="K72" s="26" t="str">
        <f>IF(A72="","",SUM($D$2:D72))</f>
        <v/>
      </c>
      <c r="L72" s="7" t="str">
        <f>IF(A72="","",(1+G72)^((Horizon_Rows+1-ROW())*E72)*IF(INPUTS!$C$12="Beginning",1+G72,1))</f>
        <v/>
      </c>
      <c r="M72" s="7" t="str">
        <f t="shared" si="20"/>
        <v/>
      </c>
      <c r="N72" s="26" t="str">
        <f t="shared" si="21"/>
        <v/>
      </c>
      <c r="O72" s="26" t="str">
        <f t="shared" si="22"/>
        <v/>
      </c>
      <c r="P72" s="26" t="str">
        <f t="shared" si="23"/>
        <v/>
      </c>
      <c r="Q72" s="21" t="str">
        <f t="shared" si="24"/>
        <v/>
      </c>
      <c r="R72" s="7"/>
      <c r="S72" s="7"/>
      <c r="T72" s="7" t="str">
        <f>IF(A72="","",(1+'WHAT-IF SCENARIOS'!$B$8)^((Horizon_Rows+1-ROW())*E72+IF(INPUTS!$C$12="Beginning",1,0)))</f>
        <v/>
      </c>
      <c r="U72" s="7" t="str">
        <f t="shared" si="25"/>
        <v/>
      </c>
      <c r="V72" s="7" t="str">
        <f>IF(A72="","",(1+'WHAT-IF SCENARIOS'!$B$25)^((Horizon_Rows+1-ROW())*E72+IF(INPUTS!$C$12="Beginning",1,0)))</f>
        <v/>
      </c>
      <c r="W72" s="7" t="str">
        <f t="shared" si="26"/>
        <v/>
      </c>
      <c r="X72" s="7" t="str">
        <f>IF(A72="","",(1+'WHAT-IF SCENARIOS'!$B$27)^((Horizon_Rows+1-ROW())*E72+IF(INPUTS!$C$12="Beginning",1,0)))</f>
        <v/>
      </c>
      <c r="Y72" s="7" t="str">
        <f t="shared" si="27"/>
        <v/>
      </c>
      <c r="Z72" s="7" t="str">
        <f>IF(A72="","",IF(AND(A72&gt;='WHAT-IF SCENARIOS'!$B$41,A72&lt;'WHAT-IF SCENARIOS'!$B$41+'WHAT-IF SCENARIOS'!$B$42),0,D72))</f>
        <v/>
      </c>
      <c r="AA72" s="7" t="str">
        <f t="shared" si="28"/>
        <v/>
      </c>
      <c r="AB72" s="7" t="str">
        <f>IF(A72="","",IF(B72&gt;'WHAT-IF SCENARIOS'!$B$49,0,D72))</f>
        <v/>
      </c>
      <c r="AC72" s="7" t="str">
        <f t="shared" si="29"/>
        <v/>
      </c>
    </row>
    <row r="73" spans="1:29" ht="18" customHeight="1" x14ac:dyDescent="0.25">
      <c r="A73" s="7" t="str">
        <f>IF(ENGINE!A73="","",ENGINE!A73)</f>
        <v/>
      </c>
      <c r="B73" s="7" t="str">
        <f>IF(A73="","",ENGINE!B73)</f>
        <v/>
      </c>
      <c r="C73" s="7" t="str">
        <f>IF(A73="","",IF(A73=0,INPUTS!$C$8,J72))</f>
        <v/>
      </c>
      <c r="D73" s="7" t="str">
        <f>IF(A73="","",ENGINE!D73)</f>
        <v/>
      </c>
      <c r="E73" s="26" t="str">
        <f t="shared" si="15"/>
        <v/>
      </c>
      <c r="F73" s="26" t="str">
        <f t="shared" si="16"/>
        <v/>
      </c>
      <c r="G73" s="26" t="str">
        <f t="shared" si="17"/>
        <v/>
      </c>
      <c r="H73" s="28" t="str">
        <f t="shared" si="18"/>
        <v/>
      </c>
      <c r="I73" s="26" t="str">
        <f t="shared" si="19"/>
        <v/>
      </c>
      <c r="J73" s="26" t="str">
        <f>IF(A73="","",IF(G73=0,C73+D73,C73*H73+IF(INPUTS!$C$12="Beginning",F73*(1+G73)*(H73-1)/G73,F73*(H73-1)/G73)))</f>
        <v/>
      </c>
      <c r="K73" s="26" t="str">
        <f>IF(A73="","",SUM($D$2:D73))</f>
        <v/>
      </c>
      <c r="L73" s="7" t="str">
        <f>IF(A73="","",(1+G73)^((Horizon_Rows+1-ROW())*E73)*IF(INPUTS!$C$12="Beginning",1+G73,1))</f>
        <v/>
      </c>
      <c r="M73" s="7" t="str">
        <f t="shared" si="20"/>
        <v/>
      </c>
      <c r="N73" s="26" t="str">
        <f t="shared" si="21"/>
        <v/>
      </c>
      <c r="O73" s="26" t="str">
        <f t="shared" si="22"/>
        <v/>
      </c>
      <c r="P73" s="26" t="str">
        <f t="shared" si="23"/>
        <v/>
      </c>
      <c r="Q73" s="21" t="str">
        <f t="shared" si="24"/>
        <v/>
      </c>
      <c r="R73" s="7"/>
      <c r="S73" s="7"/>
      <c r="T73" s="7" t="str">
        <f>IF(A73="","",(1+'WHAT-IF SCENARIOS'!$B$8)^((Horizon_Rows+1-ROW())*E73+IF(INPUTS!$C$12="Beginning",1,0)))</f>
        <v/>
      </c>
      <c r="U73" s="7" t="str">
        <f t="shared" si="25"/>
        <v/>
      </c>
      <c r="V73" s="7" t="str">
        <f>IF(A73="","",(1+'WHAT-IF SCENARIOS'!$B$25)^((Horizon_Rows+1-ROW())*E73+IF(INPUTS!$C$12="Beginning",1,0)))</f>
        <v/>
      </c>
      <c r="W73" s="7" t="str">
        <f t="shared" si="26"/>
        <v/>
      </c>
      <c r="X73" s="7" t="str">
        <f>IF(A73="","",(1+'WHAT-IF SCENARIOS'!$B$27)^((Horizon_Rows+1-ROW())*E73+IF(INPUTS!$C$12="Beginning",1,0)))</f>
        <v/>
      </c>
      <c r="Y73" s="7" t="str">
        <f t="shared" si="27"/>
        <v/>
      </c>
      <c r="Z73" s="7" t="str">
        <f>IF(A73="","",IF(AND(A73&gt;='WHAT-IF SCENARIOS'!$B$41,A73&lt;'WHAT-IF SCENARIOS'!$B$41+'WHAT-IF SCENARIOS'!$B$42),0,D73))</f>
        <v/>
      </c>
      <c r="AA73" s="7" t="str">
        <f t="shared" si="28"/>
        <v/>
      </c>
      <c r="AB73" s="7" t="str">
        <f>IF(A73="","",IF(B73&gt;'WHAT-IF SCENARIOS'!$B$49,0,D73))</f>
        <v/>
      </c>
      <c r="AC73" s="7" t="str">
        <f t="shared" si="29"/>
        <v/>
      </c>
    </row>
    <row r="74" spans="1:29" ht="18" customHeight="1" x14ac:dyDescent="0.25">
      <c r="A74" s="7" t="str">
        <f>IF(ENGINE!A74="","",ENGINE!A74)</f>
        <v/>
      </c>
      <c r="B74" s="7" t="str">
        <f>IF(A74="","",ENGINE!B74)</f>
        <v/>
      </c>
      <c r="C74" s="7" t="str">
        <f>IF(A74="","",IF(A74=0,INPUTS!$C$8,J73))</f>
        <v/>
      </c>
      <c r="D74" s="7" t="str">
        <f>IF(A74="","",ENGINE!D74)</f>
        <v/>
      </c>
      <c r="E74" s="26" t="str">
        <f t="shared" si="15"/>
        <v/>
      </c>
      <c r="F74" s="26" t="str">
        <f t="shared" si="16"/>
        <v/>
      </c>
      <c r="G74" s="26" t="str">
        <f t="shared" si="17"/>
        <v/>
      </c>
      <c r="H74" s="28" t="str">
        <f t="shared" si="18"/>
        <v/>
      </c>
      <c r="I74" s="26" t="str">
        <f t="shared" si="19"/>
        <v/>
      </c>
      <c r="J74" s="26" t="str">
        <f>IF(A74="","",IF(G74=0,C74+D74,C74*H74+IF(INPUTS!$C$12="Beginning",F74*(1+G74)*(H74-1)/G74,F74*(H74-1)/G74)))</f>
        <v/>
      </c>
      <c r="K74" s="26" t="str">
        <f>IF(A74="","",SUM($D$2:D74))</f>
        <v/>
      </c>
      <c r="L74" s="7" t="str">
        <f>IF(A74="","",(1+G74)^((Horizon_Rows+1-ROW())*E74)*IF(INPUTS!$C$12="Beginning",1+G74,1))</f>
        <v/>
      </c>
      <c r="M74" s="7" t="str">
        <f t="shared" si="20"/>
        <v/>
      </c>
      <c r="N74" s="26" t="str">
        <f t="shared" si="21"/>
        <v/>
      </c>
      <c r="O74" s="26" t="str">
        <f t="shared" si="22"/>
        <v/>
      </c>
      <c r="P74" s="26" t="str">
        <f t="shared" si="23"/>
        <v/>
      </c>
      <c r="Q74" s="21" t="str">
        <f t="shared" si="24"/>
        <v/>
      </c>
      <c r="R74" s="7"/>
      <c r="S74" s="7"/>
      <c r="T74" s="7" t="str">
        <f>IF(A74="","",(1+'WHAT-IF SCENARIOS'!$B$8)^((Horizon_Rows+1-ROW())*E74+IF(INPUTS!$C$12="Beginning",1,0)))</f>
        <v/>
      </c>
      <c r="U74" s="7" t="str">
        <f t="shared" si="25"/>
        <v/>
      </c>
      <c r="V74" s="7" t="str">
        <f>IF(A74="","",(1+'WHAT-IF SCENARIOS'!$B$25)^((Horizon_Rows+1-ROW())*E74+IF(INPUTS!$C$12="Beginning",1,0)))</f>
        <v/>
      </c>
      <c r="W74" s="7" t="str">
        <f t="shared" si="26"/>
        <v/>
      </c>
      <c r="X74" s="7" t="str">
        <f>IF(A74="","",(1+'WHAT-IF SCENARIOS'!$B$27)^((Horizon_Rows+1-ROW())*E74+IF(INPUTS!$C$12="Beginning",1,0)))</f>
        <v/>
      </c>
      <c r="Y74" s="7" t="str">
        <f t="shared" si="27"/>
        <v/>
      </c>
      <c r="Z74" s="7" t="str">
        <f>IF(A74="","",IF(AND(A74&gt;='WHAT-IF SCENARIOS'!$B$41,A74&lt;'WHAT-IF SCENARIOS'!$B$41+'WHAT-IF SCENARIOS'!$B$42),0,D74))</f>
        <v/>
      </c>
      <c r="AA74" s="7" t="str">
        <f t="shared" si="28"/>
        <v/>
      </c>
      <c r="AB74" s="7" t="str">
        <f>IF(A74="","",IF(B74&gt;'WHAT-IF SCENARIOS'!$B$49,0,D74))</f>
        <v/>
      </c>
      <c r="AC74" s="7" t="str">
        <f t="shared" si="29"/>
        <v/>
      </c>
    </row>
    <row r="75" spans="1:29" ht="18" customHeight="1" x14ac:dyDescent="0.25">
      <c r="A75" s="7" t="str">
        <f>IF(ENGINE!A75="","",ENGINE!A75)</f>
        <v/>
      </c>
      <c r="B75" s="7" t="str">
        <f>IF(A75="","",ENGINE!B75)</f>
        <v/>
      </c>
      <c r="C75" s="7" t="str">
        <f>IF(A75="","",IF(A75=0,INPUTS!$C$8,J74))</f>
        <v/>
      </c>
      <c r="D75" s="7" t="str">
        <f>IF(A75="","",ENGINE!D75)</f>
        <v/>
      </c>
      <c r="E75" s="26" t="str">
        <f t="shared" si="15"/>
        <v/>
      </c>
      <c r="F75" s="26" t="str">
        <f t="shared" si="16"/>
        <v/>
      </c>
      <c r="G75" s="26" t="str">
        <f t="shared" si="17"/>
        <v/>
      </c>
      <c r="H75" s="28" t="str">
        <f t="shared" si="18"/>
        <v/>
      </c>
      <c r="I75" s="26" t="str">
        <f t="shared" si="19"/>
        <v/>
      </c>
      <c r="J75" s="26" t="str">
        <f>IF(A75="","",IF(G75=0,C75+D75,C75*H75+IF(INPUTS!$C$12="Beginning",F75*(1+G75)*(H75-1)/G75,F75*(H75-1)/G75)))</f>
        <v/>
      </c>
      <c r="K75" s="26" t="str">
        <f>IF(A75="","",SUM($D$2:D75))</f>
        <v/>
      </c>
      <c r="L75" s="7" t="str">
        <f>IF(A75="","",(1+G75)^((Horizon_Rows+1-ROW())*E75)*IF(INPUTS!$C$12="Beginning",1+G75,1))</f>
        <v/>
      </c>
      <c r="M75" s="7" t="str">
        <f t="shared" si="20"/>
        <v/>
      </c>
      <c r="N75" s="26" t="str">
        <f t="shared" si="21"/>
        <v/>
      </c>
      <c r="O75" s="26" t="str">
        <f t="shared" si="22"/>
        <v/>
      </c>
      <c r="P75" s="26" t="str">
        <f t="shared" si="23"/>
        <v/>
      </c>
      <c r="Q75" s="21" t="str">
        <f t="shared" si="24"/>
        <v/>
      </c>
      <c r="R75" s="7"/>
      <c r="S75" s="7"/>
      <c r="T75" s="7" t="str">
        <f>IF(A75="","",(1+'WHAT-IF SCENARIOS'!$B$8)^((Horizon_Rows+1-ROW())*E75+IF(INPUTS!$C$12="Beginning",1,0)))</f>
        <v/>
      </c>
      <c r="U75" s="7" t="str">
        <f t="shared" si="25"/>
        <v/>
      </c>
      <c r="V75" s="7" t="str">
        <f>IF(A75="","",(1+'WHAT-IF SCENARIOS'!$B$25)^((Horizon_Rows+1-ROW())*E75+IF(INPUTS!$C$12="Beginning",1,0)))</f>
        <v/>
      </c>
      <c r="W75" s="7" t="str">
        <f t="shared" si="26"/>
        <v/>
      </c>
      <c r="X75" s="7" t="str">
        <f>IF(A75="","",(1+'WHAT-IF SCENARIOS'!$B$27)^((Horizon_Rows+1-ROW())*E75+IF(INPUTS!$C$12="Beginning",1,0)))</f>
        <v/>
      </c>
      <c r="Y75" s="7" t="str">
        <f t="shared" si="27"/>
        <v/>
      </c>
      <c r="Z75" s="7" t="str">
        <f>IF(A75="","",IF(AND(A75&gt;='WHAT-IF SCENARIOS'!$B$41,A75&lt;'WHAT-IF SCENARIOS'!$B$41+'WHAT-IF SCENARIOS'!$B$42),0,D75))</f>
        <v/>
      </c>
      <c r="AA75" s="7" t="str">
        <f t="shared" si="28"/>
        <v/>
      </c>
      <c r="AB75" s="7" t="str">
        <f>IF(A75="","",IF(B75&gt;'WHAT-IF SCENARIOS'!$B$49,0,D75))</f>
        <v/>
      </c>
      <c r="AC75" s="7" t="str">
        <f t="shared" si="29"/>
        <v/>
      </c>
    </row>
    <row r="76" spans="1:29" ht="18" customHeight="1" x14ac:dyDescent="0.25">
      <c r="A76" s="7" t="str">
        <f>IF(ENGINE!A76="","",ENGINE!A76)</f>
        <v/>
      </c>
      <c r="B76" s="7" t="str">
        <f>IF(A76="","",ENGINE!B76)</f>
        <v/>
      </c>
      <c r="C76" s="7" t="str">
        <f>IF(A76="","",IF(A76=0,INPUTS!$C$8,J75))</f>
        <v/>
      </c>
      <c r="D76" s="7" t="str">
        <f>IF(A76="","",ENGINE!D76)</f>
        <v/>
      </c>
      <c r="E76" s="26" t="str">
        <f t="shared" si="15"/>
        <v/>
      </c>
      <c r="F76" s="26" t="str">
        <f t="shared" si="16"/>
        <v/>
      </c>
      <c r="G76" s="26" t="str">
        <f t="shared" si="17"/>
        <v/>
      </c>
      <c r="H76" s="28" t="str">
        <f t="shared" si="18"/>
        <v/>
      </c>
      <c r="I76" s="26" t="str">
        <f t="shared" si="19"/>
        <v/>
      </c>
      <c r="J76" s="26" t="str">
        <f>IF(A76="","",IF(G76=0,C76+D76,C76*H76+IF(INPUTS!$C$12="Beginning",F76*(1+G76)*(H76-1)/G76,F76*(H76-1)/G76)))</f>
        <v/>
      </c>
      <c r="K76" s="26" t="str">
        <f>IF(A76="","",SUM($D$2:D76))</f>
        <v/>
      </c>
      <c r="L76" s="7" t="str">
        <f>IF(A76="","",(1+G76)^((Horizon_Rows+1-ROW())*E76)*IF(INPUTS!$C$12="Beginning",1+G76,1))</f>
        <v/>
      </c>
      <c r="M76" s="7" t="str">
        <f t="shared" si="20"/>
        <v/>
      </c>
      <c r="N76" s="26" t="str">
        <f t="shared" si="21"/>
        <v/>
      </c>
      <c r="O76" s="26" t="str">
        <f t="shared" si="22"/>
        <v/>
      </c>
      <c r="P76" s="26" t="str">
        <f t="shared" si="23"/>
        <v/>
      </c>
      <c r="Q76" s="21" t="str">
        <f t="shared" si="24"/>
        <v/>
      </c>
      <c r="R76" s="7"/>
      <c r="S76" s="7"/>
      <c r="T76" s="7" t="str">
        <f>IF(A76="","",(1+'WHAT-IF SCENARIOS'!$B$8)^((Horizon_Rows+1-ROW())*E76+IF(INPUTS!$C$12="Beginning",1,0)))</f>
        <v/>
      </c>
      <c r="U76" s="7" t="str">
        <f t="shared" si="25"/>
        <v/>
      </c>
      <c r="V76" s="7" t="str">
        <f>IF(A76="","",(1+'WHAT-IF SCENARIOS'!$B$25)^((Horizon_Rows+1-ROW())*E76+IF(INPUTS!$C$12="Beginning",1,0)))</f>
        <v/>
      </c>
      <c r="W76" s="7" t="str">
        <f t="shared" si="26"/>
        <v/>
      </c>
      <c r="X76" s="7" t="str">
        <f>IF(A76="","",(1+'WHAT-IF SCENARIOS'!$B$27)^((Horizon_Rows+1-ROW())*E76+IF(INPUTS!$C$12="Beginning",1,0)))</f>
        <v/>
      </c>
      <c r="Y76" s="7" t="str">
        <f t="shared" si="27"/>
        <v/>
      </c>
      <c r="Z76" s="7" t="str">
        <f>IF(A76="","",IF(AND(A76&gt;='WHAT-IF SCENARIOS'!$B$41,A76&lt;'WHAT-IF SCENARIOS'!$B$41+'WHAT-IF SCENARIOS'!$B$42),0,D76))</f>
        <v/>
      </c>
      <c r="AA76" s="7" t="str">
        <f t="shared" si="28"/>
        <v/>
      </c>
      <c r="AB76" s="7" t="str">
        <f>IF(A76="","",IF(B76&gt;'WHAT-IF SCENARIOS'!$B$49,0,D76))</f>
        <v/>
      </c>
      <c r="AC76" s="7" t="str">
        <f t="shared" si="29"/>
        <v/>
      </c>
    </row>
    <row r="77" spans="1:29" ht="18" customHeight="1" x14ac:dyDescent="0.25">
      <c r="A77" s="7" t="str">
        <f>IF(ENGINE!A77="","",ENGINE!A77)</f>
        <v/>
      </c>
      <c r="B77" s="7" t="str">
        <f>IF(A77="","",ENGINE!B77)</f>
        <v/>
      </c>
      <c r="C77" s="7" t="str">
        <f>IF(A77="","",IF(A77=0,INPUTS!$C$8,J76))</f>
        <v/>
      </c>
      <c r="D77" s="7" t="str">
        <f>IF(A77="","",ENGINE!D77)</f>
        <v/>
      </c>
      <c r="E77" s="26" t="str">
        <f t="shared" si="15"/>
        <v/>
      </c>
      <c r="F77" s="26" t="str">
        <f t="shared" si="16"/>
        <v/>
      </c>
      <c r="G77" s="26" t="str">
        <f t="shared" si="17"/>
        <v/>
      </c>
      <c r="H77" s="28" t="str">
        <f t="shared" si="18"/>
        <v/>
      </c>
      <c r="I77" s="26" t="str">
        <f t="shared" si="19"/>
        <v/>
      </c>
      <c r="J77" s="26" t="str">
        <f>IF(A77="","",IF(G77=0,C77+D77,C77*H77+IF(INPUTS!$C$12="Beginning",F77*(1+G77)*(H77-1)/G77,F77*(H77-1)/G77)))</f>
        <v/>
      </c>
      <c r="K77" s="26" t="str">
        <f>IF(A77="","",SUM($D$2:D77))</f>
        <v/>
      </c>
      <c r="L77" s="7" t="str">
        <f>IF(A77="","",(1+G77)^((Horizon_Rows+1-ROW())*E77)*IF(INPUTS!$C$12="Beginning",1+G77,1))</f>
        <v/>
      </c>
      <c r="M77" s="7" t="str">
        <f t="shared" si="20"/>
        <v/>
      </c>
      <c r="N77" s="26" t="str">
        <f t="shared" si="21"/>
        <v/>
      </c>
      <c r="O77" s="26" t="str">
        <f t="shared" si="22"/>
        <v/>
      </c>
      <c r="P77" s="26" t="str">
        <f t="shared" si="23"/>
        <v/>
      </c>
      <c r="Q77" s="21" t="str">
        <f t="shared" si="24"/>
        <v/>
      </c>
      <c r="R77" s="7"/>
      <c r="S77" s="7"/>
      <c r="T77" s="7" t="str">
        <f>IF(A77="","",(1+'WHAT-IF SCENARIOS'!$B$8)^((Horizon_Rows+1-ROW())*E77+IF(INPUTS!$C$12="Beginning",1,0)))</f>
        <v/>
      </c>
      <c r="U77" s="7" t="str">
        <f t="shared" si="25"/>
        <v/>
      </c>
      <c r="V77" s="7" t="str">
        <f>IF(A77="","",(1+'WHAT-IF SCENARIOS'!$B$25)^((Horizon_Rows+1-ROW())*E77+IF(INPUTS!$C$12="Beginning",1,0)))</f>
        <v/>
      </c>
      <c r="W77" s="7" t="str">
        <f t="shared" si="26"/>
        <v/>
      </c>
      <c r="X77" s="7" t="str">
        <f>IF(A77="","",(1+'WHAT-IF SCENARIOS'!$B$27)^((Horizon_Rows+1-ROW())*E77+IF(INPUTS!$C$12="Beginning",1,0)))</f>
        <v/>
      </c>
      <c r="Y77" s="7" t="str">
        <f t="shared" si="27"/>
        <v/>
      </c>
      <c r="Z77" s="7" t="str">
        <f>IF(A77="","",IF(AND(A77&gt;='WHAT-IF SCENARIOS'!$B$41,A77&lt;'WHAT-IF SCENARIOS'!$B$41+'WHAT-IF SCENARIOS'!$B$42),0,D77))</f>
        <v/>
      </c>
      <c r="AA77" s="7" t="str">
        <f t="shared" si="28"/>
        <v/>
      </c>
      <c r="AB77" s="7" t="str">
        <f>IF(A77="","",IF(B77&gt;'WHAT-IF SCENARIOS'!$B$49,0,D77))</f>
        <v/>
      </c>
      <c r="AC77" s="7" t="str">
        <f t="shared" si="29"/>
        <v/>
      </c>
    </row>
    <row r="78" spans="1:29" ht="18" customHeight="1" x14ac:dyDescent="0.25">
      <c r="A78" s="7" t="str">
        <f>IF(ENGINE!A78="","",ENGINE!A78)</f>
        <v/>
      </c>
      <c r="B78" s="7" t="str">
        <f>IF(A78="","",ENGINE!B78)</f>
        <v/>
      </c>
      <c r="C78" s="7" t="str">
        <f>IF(A78="","",IF(A78=0,INPUTS!$C$8,J77))</f>
        <v/>
      </c>
      <c r="D78" s="7" t="str">
        <f>IF(A78="","",ENGINE!D78)</f>
        <v/>
      </c>
      <c r="E78" s="26" t="str">
        <f t="shared" si="15"/>
        <v/>
      </c>
      <c r="F78" s="26" t="str">
        <f t="shared" si="16"/>
        <v/>
      </c>
      <c r="G78" s="26" t="str">
        <f t="shared" si="17"/>
        <v/>
      </c>
      <c r="H78" s="28" t="str">
        <f t="shared" si="18"/>
        <v/>
      </c>
      <c r="I78" s="26" t="str">
        <f t="shared" si="19"/>
        <v/>
      </c>
      <c r="J78" s="26" t="str">
        <f>IF(A78="","",IF(G78=0,C78+D78,C78*H78+IF(INPUTS!$C$12="Beginning",F78*(1+G78)*(H78-1)/G78,F78*(H78-1)/G78)))</f>
        <v/>
      </c>
      <c r="K78" s="26" t="str">
        <f>IF(A78="","",SUM($D$2:D78))</f>
        <v/>
      </c>
      <c r="L78" s="7" t="str">
        <f>IF(A78="","",(1+G78)^((Horizon_Rows+1-ROW())*E78)*IF(INPUTS!$C$12="Beginning",1+G78,1))</f>
        <v/>
      </c>
      <c r="M78" s="7" t="str">
        <f t="shared" si="20"/>
        <v/>
      </c>
      <c r="N78" s="26" t="str">
        <f t="shared" si="21"/>
        <v/>
      </c>
      <c r="O78" s="26" t="str">
        <f t="shared" si="22"/>
        <v/>
      </c>
      <c r="P78" s="26" t="str">
        <f t="shared" si="23"/>
        <v/>
      </c>
      <c r="Q78" s="21" t="str">
        <f t="shared" si="24"/>
        <v/>
      </c>
      <c r="R78" s="7"/>
      <c r="S78" s="7"/>
      <c r="T78" s="7" t="str">
        <f>IF(A78="","",(1+'WHAT-IF SCENARIOS'!$B$8)^((Horizon_Rows+1-ROW())*E78+IF(INPUTS!$C$12="Beginning",1,0)))</f>
        <v/>
      </c>
      <c r="U78" s="7" t="str">
        <f t="shared" si="25"/>
        <v/>
      </c>
      <c r="V78" s="7" t="str">
        <f>IF(A78="","",(1+'WHAT-IF SCENARIOS'!$B$25)^((Horizon_Rows+1-ROW())*E78+IF(INPUTS!$C$12="Beginning",1,0)))</f>
        <v/>
      </c>
      <c r="W78" s="7" t="str">
        <f t="shared" si="26"/>
        <v/>
      </c>
      <c r="X78" s="7" t="str">
        <f>IF(A78="","",(1+'WHAT-IF SCENARIOS'!$B$27)^((Horizon_Rows+1-ROW())*E78+IF(INPUTS!$C$12="Beginning",1,0)))</f>
        <v/>
      </c>
      <c r="Y78" s="7" t="str">
        <f t="shared" si="27"/>
        <v/>
      </c>
      <c r="Z78" s="7" t="str">
        <f>IF(A78="","",IF(AND(A78&gt;='WHAT-IF SCENARIOS'!$B$41,A78&lt;'WHAT-IF SCENARIOS'!$B$41+'WHAT-IF SCENARIOS'!$B$42),0,D78))</f>
        <v/>
      </c>
      <c r="AA78" s="7" t="str">
        <f t="shared" si="28"/>
        <v/>
      </c>
      <c r="AB78" s="7" t="str">
        <f>IF(A78="","",IF(B78&gt;'WHAT-IF SCENARIOS'!$B$49,0,D78))</f>
        <v/>
      </c>
      <c r="AC78" s="7" t="str">
        <f t="shared" si="29"/>
        <v/>
      </c>
    </row>
    <row r="79" spans="1:29" ht="18" customHeight="1" x14ac:dyDescent="0.25">
      <c r="A79" s="7" t="str">
        <f>IF(ENGINE!A79="","",ENGINE!A79)</f>
        <v/>
      </c>
      <c r="B79" s="7" t="str">
        <f>IF(A79="","",ENGINE!B79)</f>
        <v/>
      </c>
      <c r="C79" s="7" t="str">
        <f>IF(A79="","",IF(A79=0,INPUTS!$C$8,J78))</f>
        <v/>
      </c>
      <c r="D79" s="7" t="str">
        <f>IF(A79="","",ENGINE!D79)</f>
        <v/>
      </c>
      <c r="E79" s="26" t="str">
        <f t="shared" si="15"/>
        <v/>
      </c>
      <c r="F79" s="26" t="str">
        <f t="shared" si="16"/>
        <v/>
      </c>
      <c r="G79" s="26" t="str">
        <f t="shared" si="17"/>
        <v/>
      </c>
      <c r="H79" s="28" t="str">
        <f t="shared" si="18"/>
        <v/>
      </c>
      <c r="I79" s="26" t="str">
        <f t="shared" si="19"/>
        <v/>
      </c>
      <c r="J79" s="26" t="str">
        <f>IF(A79="","",IF(G79=0,C79+D79,C79*H79+IF(INPUTS!$C$12="Beginning",F79*(1+G79)*(H79-1)/G79,F79*(H79-1)/G79)))</f>
        <v/>
      </c>
      <c r="K79" s="26" t="str">
        <f>IF(A79="","",SUM($D$2:D79))</f>
        <v/>
      </c>
      <c r="L79" s="7" t="str">
        <f>IF(A79="","",(1+G79)^((Horizon_Rows+1-ROW())*E79)*IF(INPUTS!$C$12="Beginning",1+G79,1))</f>
        <v/>
      </c>
      <c r="M79" s="7" t="str">
        <f t="shared" si="20"/>
        <v/>
      </c>
      <c r="N79" s="26" t="str">
        <f t="shared" si="21"/>
        <v/>
      </c>
      <c r="O79" s="26" t="str">
        <f t="shared" si="22"/>
        <v/>
      </c>
      <c r="P79" s="26" t="str">
        <f t="shared" si="23"/>
        <v/>
      </c>
      <c r="Q79" s="21" t="str">
        <f t="shared" si="24"/>
        <v/>
      </c>
      <c r="R79" s="7"/>
      <c r="S79" s="7"/>
      <c r="T79" s="7" t="str">
        <f>IF(A79="","",(1+'WHAT-IF SCENARIOS'!$B$8)^((Horizon_Rows+1-ROW())*E79+IF(INPUTS!$C$12="Beginning",1,0)))</f>
        <v/>
      </c>
      <c r="U79" s="7" t="str">
        <f t="shared" si="25"/>
        <v/>
      </c>
      <c r="V79" s="7" t="str">
        <f>IF(A79="","",(1+'WHAT-IF SCENARIOS'!$B$25)^((Horizon_Rows+1-ROW())*E79+IF(INPUTS!$C$12="Beginning",1,0)))</f>
        <v/>
      </c>
      <c r="W79" s="7" t="str">
        <f t="shared" si="26"/>
        <v/>
      </c>
      <c r="X79" s="7" t="str">
        <f>IF(A79="","",(1+'WHAT-IF SCENARIOS'!$B$27)^((Horizon_Rows+1-ROW())*E79+IF(INPUTS!$C$12="Beginning",1,0)))</f>
        <v/>
      </c>
      <c r="Y79" s="7" t="str">
        <f t="shared" si="27"/>
        <v/>
      </c>
      <c r="Z79" s="7" t="str">
        <f>IF(A79="","",IF(AND(A79&gt;='WHAT-IF SCENARIOS'!$B$41,A79&lt;'WHAT-IF SCENARIOS'!$B$41+'WHAT-IF SCENARIOS'!$B$42),0,D79))</f>
        <v/>
      </c>
      <c r="AA79" s="7" t="str">
        <f t="shared" si="28"/>
        <v/>
      </c>
      <c r="AB79" s="7" t="str">
        <f>IF(A79="","",IF(B79&gt;'WHAT-IF SCENARIOS'!$B$49,0,D79))</f>
        <v/>
      </c>
      <c r="AC79" s="7" t="str">
        <f t="shared" si="29"/>
        <v/>
      </c>
    </row>
    <row r="80" spans="1:29" ht="18" customHeight="1" x14ac:dyDescent="0.25">
      <c r="A80" s="7" t="str">
        <f>IF(ENGINE!A80="","",ENGINE!A80)</f>
        <v/>
      </c>
      <c r="B80" s="7" t="str">
        <f>IF(A80="","",ENGINE!B80)</f>
        <v/>
      </c>
      <c r="C80" s="7" t="str">
        <f>IF(A80="","",IF(A80=0,INPUTS!$C$8,J79))</f>
        <v/>
      </c>
      <c r="D80" s="7" t="str">
        <f>IF(A80="","",ENGINE!D80)</f>
        <v/>
      </c>
      <c r="E80" s="26" t="str">
        <f t="shared" si="15"/>
        <v/>
      </c>
      <c r="F80" s="26" t="str">
        <f t="shared" si="16"/>
        <v/>
      </c>
      <c r="G80" s="26" t="str">
        <f t="shared" si="17"/>
        <v/>
      </c>
      <c r="H80" s="28" t="str">
        <f t="shared" si="18"/>
        <v/>
      </c>
      <c r="I80" s="26" t="str">
        <f t="shared" si="19"/>
        <v/>
      </c>
      <c r="J80" s="26" t="str">
        <f>IF(A80="","",IF(G80=0,C80+D80,C80*H80+IF(INPUTS!$C$12="Beginning",F80*(1+G80)*(H80-1)/G80,F80*(H80-1)/G80)))</f>
        <v/>
      </c>
      <c r="K80" s="26" t="str">
        <f>IF(A80="","",SUM($D$2:D80))</f>
        <v/>
      </c>
      <c r="L80" s="7" t="str">
        <f>IF(A80="","",(1+G80)^((Horizon_Rows+1-ROW())*E80)*IF(INPUTS!$C$12="Beginning",1+G80,1))</f>
        <v/>
      </c>
      <c r="M80" s="7" t="str">
        <f t="shared" si="20"/>
        <v/>
      </c>
      <c r="N80" s="26" t="str">
        <f t="shared" si="21"/>
        <v/>
      </c>
      <c r="O80" s="26" t="str">
        <f t="shared" si="22"/>
        <v/>
      </c>
      <c r="P80" s="26" t="str">
        <f t="shared" si="23"/>
        <v/>
      </c>
      <c r="Q80" s="21" t="str">
        <f t="shared" si="24"/>
        <v/>
      </c>
      <c r="R80" s="7"/>
      <c r="S80" s="7"/>
      <c r="T80" s="7" t="str">
        <f>IF(A80="","",(1+'WHAT-IF SCENARIOS'!$B$8)^((Horizon_Rows+1-ROW())*E80+IF(INPUTS!$C$12="Beginning",1,0)))</f>
        <v/>
      </c>
      <c r="U80" s="7" t="str">
        <f t="shared" si="25"/>
        <v/>
      </c>
      <c r="V80" s="7" t="str">
        <f>IF(A80="","",(1+'WHAT-IF SCENARIOS'!$B$25)^((Horizon_Rows+1-ROW())*E80+IF(INPUTS!$C$12="Beginning",1,0)))</f>
        <v/>
      </c>
      <c r="W80" s="7" t="str">
        <f t="shared" si="26"/>
        <v/>
      </c>
      <c r="X80" s="7" t="str">
        <f>IF(A80="","",(1+'WHAT-IF SCENARIOS'!$B$27)^((Horizon_Rows+1-ROW())*E80+IF(INPUTS!$C$12="Beginning",1,0)))</f>
        <v/>
      </c>
      <c r="Y80" s="7" t="str">
        <f t="shared" si="27"/>
        <v/>
      </c>
      <c r="Z80" s="7" t="str">
        <f>IF(A80="","",IF(AND(A80&gt;='WHAT-IF SCENARIOS'!$B$41,A80&lt;'WHAT-IF SCENARIOS'!$B$41+'WHAT-IF SCENARIOS'!$B$42),0,D80))</f>
        <v/>
      </c>
      <c r="AA80" s="7" t="str">
        <f t="shared" si="28"/>
        <v/>
      </c>
      <c r="AB80" s="7" t="str">
        <f>IF(A80="","",IF(B80&gt;'WHAT-IF SCENARIOS'!$B$49,0,D80))</f>
        <v/>
      </c>
      <c r="AC80" s="7" t="str">
        <f t="shared" si="29"/>
        <v/>
      </c>
    </row>
    <row r="81" spans="1:29" ht="18" customHeight="1" x14ac:dyDescent="0.25">
      <c r="A81" s="7" t="str">
        <f>IF(ENGINE!A81="","",ENGINE!A81)</f>
        <v/>
      </c>
      <c r="B81" s="7" t="str">
        <f>IF(A81="","",ENGINE!B81)</f>
        <v/>
      </c>
      <c r="C81" s="7" t="str">
        <f>IF(A81="","",IF(A81=0,INPUTS!$C$8,J80))</f>
        <v/>
      </c>
      <c r="D81" s="7" t="str">
        <f>IF(A81="","",ENGINE!D81)</f>
        <v/>
      </c>
      <c r="E81" s="26" t="str">
        <f t="shared" si="15"/>
        <v/>
      </c>
      <c r="F81" s="26" t="str">
        <f t="shared" si="16"/>
        <v/>
      </c>
      <c r="G81" s="26" t="str">
        <f t="shared" si="17"/>
        <v/>
      </c>
      <c r="H81" s="28" t="str">
        <f t="shared" si="18"/>
        <v/>
      </c>
      <c r="I81" s="26" t="str">
        <f t="shared" si="19"/>
        <v/>
      </c>
      <c r="J81" s="26" t="str">
        <f>IF(A81="","",IF(G81=0,C81+D81,C81*H81+IF(INPUTS!$C$12="Beginning",F81*(1+G81)*(H81-1)/G81,F81*(H81-1)/G81)))</f>
        <v/>
      </c>
      <c r="K81" s="26" t="str">
        <f>IF(A81="","",SUM($D$2:D81))</f>
        <v/>
      </c>
      <c r="L81" s="7" t="str">
        <f>IF(A81="","",(1+G81)^((Horizon_Rows+1-ROW())*E81)*IF(INPUTS!$C$12="Beginning",1+G81,1))</f>
        <v/>
      </c>
      <c r="M81" s="7" t="str">
        <f t="shared" si="20"/>
        <v/>
      </c>
      <c r="N81" s="26" t="str">
        <f t="shared" si="21"/>
        <v/>
      </c>
      <c r="O81" s="26" t="str">
        <f t="shared" si="22"/>
        <v/>
      </c>
      <c r="P81" s="26" t="str">
        <f t="shared" si="23"/>
        <v/>
      </c>
      <c r="Q81" s="21" t="str">
        <f t="shared" si="24"/>
        <v/>
      </c>
      <c r="R81" s="7"/>
      <c r="S81" s="7"/>
      <c r="T81" s="7" t="str">
        <f>IF(A81="","",(1+'WHAT-IF SCENARIOS'!$B$8)^((Horizon_Rows+1-ROW())*E81+IF(INPUTS!$C$12="Beginning",1,0)))</f>
        <v/>
      </c>
      <c r="U81" s="7" t="str">
        <f t="shared" si="25"/>
        <v/>
      </c>
      <c r="V81" s="7" t="str">
        <f>IF(A81="","",(1+'WHAT-IF SCENARIOS'!$B$25)^((Horizon_Rows+1-ROW())*E81+IF(INPUTS!$C$12="Beginning",1,0)))</f>
        <v/>
      </c>
      <c r="W81" s="7" t="str">
        <f t="shared" si="26"/>
        <v/>
      </c>
      <c r="X81" s="7" t="str">
        <f>IF(A81="","",(1+'WHAT-IF SCENARIOS'!$B$27)^((Horizon_Rows+1-ROW())*E81+IF(INPUTS!$C$12="Beginning",1,0)))</f>
        <v/>
      </c>
      <c r="Y81" s="7" t="str">
        <f t="shared" si="27"/>
        <v/>
      </c>
      <c r="Z81" s="7" t="str">
        <f>IF(A81="","",IF(AND(A81&gt;='WHAT-IF SCENARIOS'!$B$41,A81&lt;'WHAT-IF SCENARIOS'!$B$41+'WHAT-IF SCENARIOS'!$B$42),0,D81))</f>
        <v/>
      </c>
      <c r="AA81" s="7" t="str">
        <f t="shared" si="28"/>
        <v/>
      </c>
      <c r="AB81" s="7" t="str">
        <f>IF(A81="","",IF(B81&gt;'WHAT-IF SCENARIOS'!$B$49,0,D81))</f>
        <v/>
      </c>
      <c r="AC81" s="7" t="str">
        <f t="shared" si="29"/>
        <v/>
      </c>
    </row>
    <row r="82" spans="1:29" ht="18" customHeight="1" x14ac:dyDescent="0.25">
      <c r="A82" s="7" t="str">
        <f>IF(ENGINE!A82="","",ENGINE!A82)</f>
        <v/>
      </c>
      <c r="B82" s="7" t="str">
        <f>IF(A82="","",ENGINE!B82)</f>
        <v/>
      </c>
      <c r="C82" s="7" t="str">
        <f>IF(A82="","",IF(A82=0,INPUTS!$C$8,J81))</f>
        <v/>
      </c>
      <c r="D82" s="7" t="str">
        <f>IF(A82="","",ENGINE!D82)</f>
        <v/>
      </c>
      <c r="E82" s="26" t="str">
        <f t="shared" si="15"/>
        <v/>
      </c>
      <c r="F82" s="26" t="str">
        <f t="shared" si="16"/>
        <v/>
      </c>
      <c r="G82" s="26" t="str">
        <f t="shared" si="17"/>
        <v/>
      </c>
      <c r="H82" s="28" t="str">
        <f t="shared" si="18"/>
        <v/>
      </c>
      <c r="I82" s="26" t="str">
        <f t="shared" si="19"/>
        <v/>
      </c>
      <c r="J82" s="26" t="str">
        <f>IF(A82="","",IF(G82=0,C82+D82,C82*H82+IF(INPUTS!$C$12="Beginning",F82*(1+G82)*(H82-1)/G82,F82*(H82-1)/G82)))</f>
        <v/>
      </c>
      <c r="K82" s="26" t="str">
        <f>IF(A82="","",SUM($D$2:D82))</f>
        <v/>
      </c>
      <c r="L82" s="7" t="str">
        <f>IF(A82="","",(1+G82)^((Horizon_Rows+1-ROW())*E82)*IF(INPUTS!$C$12="Beginning",1+G82,1))</f>
        <v/>
      </c>
      <c r="M82" s="7" t="str">
        <f t="shared" si="20"/>
        <v/>
      </c>
      <c r="N82" s="26" t="str">
        <f t="shared" si="21"/>
        <v/>
      </c>
      <c r="O82" s="26" t="str">
        <f t="shared" si="22"/>
        <v/>
      </c>
      <c r="P82" s="26" t="str">
        <f t="shared" si="23"/>
        <v/>
      </c>
      <c r="Q82" s="21" t="str">
        <f t="shared" si="24"/>
        <v/>
      </c>
      <c r="R82" s="7"/>
      <c r="S82" s="7"/>
      <c r="T82" s="7" t="str">
        <f>IF(A82="","",(1+'WHAT-IF SCENARIOS'!$B$8)^((Horizon_Rows+1-ROW())*E82+IF(INPUTS!$C$12="Beginning",1,0)))</f>
        <v/>
      </c>
      <c r="U82" s="7" t="str">
        <f t="shared" si="25"/>
        <v/>
      </c>
      <c r="V82" s="7" t="str">
        <f>IF(A82="","",(1+'WHAT-IF SCENARIOS'!$B$25)^((Horizon_Rows+1-ROW())*E82+IF(INPUTS!$C$12="Beginning",1,0)))</f>
        <v/>
      </c>
      <c r="W82" s="7" t="str">
        <f t="shared" si="26"/>
        <v/>
      </c>
      <c r="X82" s="7" t="str">
        <f>IF(A82="","",(1+'WHAT-IF SCENARIOS'!$B$27)^((Horizon_Rows+1-ROW())*E82+IF(INPUTS!$C$12="Beginning",1,0)))</f>
        <v/>
      </c>
      <c r="Y82" s="7" t="str">
        <f t="shared" si="27"/>
        <v/>
      </c>
      <c r="Z82" s="7" t="str">
        <f>IF(A82="","",IF(AND(A82&gt;='WHAT-IF SCENARIOS'!$B$41,A82&lt;'WHAT-IF SCENARIOS'!$B$41+'WHAT-IF SCENARIOS'!$B$42),0,D82))</f>
        <v/>
      </c>
      <c r="AA82" s="7" t="str">
        <f t="shared" si="28"/>
        <v/>
      </c>
      <c r="AB82" s="7" t="str">
        <f>IF(A82="","",IF(B82&gt;'WHAT-IF SCENARIOS'!$B$49,0,D82))</f>
        <v/>
      </c>
      <c r="AC82" s="7" t="str">
        <f t="shared" si="29"/>
        <v/>
      </c>
    </row>
    <row r="83" spans="1:29" ht="18" customHeight="1" x14ac:dyDescent="0.25">
      <c r="A83" s="7" t="str">
        <f>IF(ENGINE!A83="","",ENGINE!A83)</f>
        <v/>
      </c>
      <c r="B83" s="7" t="str">
        <f>IF(A83="","",ENGINE!B83)</f>
        <v/>
      </c>
      <c r="C83" s="7" t="str">
        <f>IF(A83="","",IF(A83=0,INPUTS!$C$8,J82))</f>
        <v/>
      </c>
      <c r="D83" s="7" t="str">
        <f>IF(A83="","",ENGINE!D83)</f>
        <v/>
      </c>
      <c r="E83" s="26" t="str">
        <f t="shared" si="15"/>
        <v/>
      </c>
      <c r="F83" s="26" t="str">
        <f t="shared" si="16"/>
        <v/>
      </c>
      <c r="G83" s="26" t="str">
        <f t="shared" si="17"/>
        <v/>
      </c>
      <c r="H83" s="28" t="str">
        <f t="shared" si="18"/>
        <v/>
      </c>
      <c r="I83" s="26" t="str">
        <f t="shared" si="19"/>
        <v/>
      </c>
      <c r="J83" s="26" t="str">
        <f>IF(A83="","",IF(G83=0,C83+D83,C83*H83+IF(INPUTS!$C$12="Beginning",F83*(1+G83)*(H83-1)/G83,F83*(H83-1)/G83)))</f>
        <v/>
      </c>
      <c r="K83" s="26" t="str">
        <f>IF(A83="","",SUM($D$2:D83))</f>
        <v/>
      </c>
      <c r="L83" s="7" t="str">
        <f>IF(A83="","",(1+G83)^((Horizon_Rows+1-ROW())*E83)*IF(INPUTS!$C$12="Beginning",1+G83,1))</f>
        <v/>
      </c>
      <c r="M83" s="7" t="str">
        <f t="shared" si="20"/>
        <v/>
      </c>
      <c r="N83" s="26" t="str">
        <f t="shared" si="21"/>
        <v/>
      </c>
      <c r="O83" s="26" t="str">
        <f t="shared" si="22"/>
        <v/>
      </c>
      <c r="P83" s="26" t="str">
        <f t="shared" si="23"/>
        <v/>
      </c>
      <c r="Q83" s="21" t="str">
        <f t="shared" si="24"/>
        <v/>
      </c>
      <c r="R83" s="7"/>
      <c r="S83" s="7"/>
      <c r="T83" s="7" t="str">
        <f>IF(A83="","",(1+'WHAT-IF SCENARIOS'!$B$8)^((Horizon_Rows+1-ROW())*E83+IF(INPUTS!$C$12="Beginning",1,0)))</f>
        <v/>
      </c>
      <c r="U83" s="7" t="str">
        <f t="shared" si="25"/>
        <v/>
      </c>
      <c r="V83" s="7" t="str">
        <f>IF(A83="","",(1+'WHAT-IF SCENARIOS'!$B$25)^((Horizon_Rows+1-ROW())*E83+IF(INPUTS!$C$12="Beginning",1,0)))</f>
        <v/>
      </c>
      <c r="W83" s="7" t="str">
        <f t="shared" si="26"/>
        <v/>
      </c>
      <c r="X83" s="7" t="str">
        <f>IF(A83="","",(1+'WHAT-IF SCENARIOS'!$B$27)^((Horizon_Rows+1-ROW())*E83+IF(INPUTS!$C$12="Beginning",1,0)))</f>
        <v/>
      </c>
      <c r="Y83" s="7" t="str">
        <f t="shared" si="27"/>
        <v/>
      </c>
      <c r="Z83" s="7" t="str">
        <f>IF(A83="","",IF(AND(A83&gt;='WHAT-IF SCENARIOS'!$B$41,A83&lt;'WHAT-IF SCENARIOS'!$B$41+'WHAT-IF SCENARIOS'!$B$42),0,D83))</f>
        <v/>
      </c>
      <c r="AA83" s="7" t="str">
        <f t="shared" si="28"/>
        <v/>
      </c>
      <c r="AB83" s="7" t="str">
        <f>IF(A83="","",IF(B83&gt;'WHAT-IF SCENARIOS'!$B$49,0,D83))</f>
        <v/>
      </c>
      <c r="AC83" s="7" t="str">
        <f t="shared" si="29"/>
        <v/>
      </c>
    </row>
    <row r="84" spans="1:29" ht="18" customHeight="1" x14ac:dyDescent="0.25">
      <c r="A84" s="7" t="str">
        <f>IF(ENGINE!A84="","",ENGINE!A84)</f>
        <v/>
      </c>
      <c r="B84" s="7" t="str">
        <f>IF(A84="","",ENGINE!B84)</f>
        <v/>
      </c>
      <c r="C84" s="7" t="str">
        <f>IF(A84="","",IF(A84=0,INPUTS!$C$8,J83))</f>
        <v/>
      </c>
      <c r="D84" s="7" t="str">
        <f>IF(A84="","",ENGINE!D84)</f>
        <v/>
      </c>
      <c r="E84" s="26" t="str">
        <f t="shared" si="15"/>
        <v/>
      </c>
      <c r="F84" s="26" t="str">
        <f t="shared" si="16"/>
        <v/>
      </c>
      <c r="G84" s="26" t="str">
        <f t="shared" si="17"/>
        <v/>
      </c>
      <c r="H84" s="28" t="str">
        <f t="shared" si="18"/>
        <v/>
      </c>
      <c r="I84" s="26" t="str">
        <f t="shared" si="19"/>
        <v/>
      </c>
      <c r="J84" s="26" t="str">
        <f>IF(A84="","",IF(G84=0,C84+D84,C84*H84+IF(INPUTS!$C$12="Beginning",F84*(1+G84)*(H84-1)/G84,F84*(H84-1)/G84)))</f>
        <v/>
      </c>
      <c r="K84" s="26" t="str">
        <f>IF(A84="","",SUM($D$2:D84))</f>
        <v/>
      </c>
      <c r="L84" s="7" t="str">
        <f>IF(A84="","",(1+G84)^((Horizon_Rows+1-ROW())*E84)*IF(INPUTS!$C$12="Beginning",1+G84,1))</f>
        <v/>
      </c>
      <c r="M84" s="7" t="str">
        <f t="shared" si="20"/>
        <v/>
      </c>
      <c r="N84" s="26" t="str">
        <f t="shared" si="21"/>
        <v/>
      </c>
      <c r="O84" s="26" t="str">
        <f t="shared" si="22"/>
        <v/>
      </c>
      <c r="P84" s="26" t="str">
        <f t="shared" si="23"/>
        <v/>
      </c>
      <c r="Q84" s="21" t="str">
        <f t="shared" si="24"/>
        <v/>
      </c>
      <c r="R84" s="7"/>
      <c r="S84" s="7"/>
      <c r="T84" s="7" t="str">
        <f>IF(A84="","",(1+'WHAT-IF SCENARIOS'!$B$8)^((Horizon_Rows+1-ROW())*E84+IF(INPUTS!$C$12="Beginning",1,0)))</f>
        <v/>
      </c>
      <c r="U84" s="7" t="str">
        <f t="shared" si="25"/>
        <v/>
      </c>
      <c r="V84" s="7" t="str">
        <f>IF(A84="","",(1+'WHAT-IF SCENARIOS'!$B$25)^((Horizon_Rows+1-ROW())*E84+IF(INPUTS!$C$12="Beginning",1,0)))</f>
        <v/>
      </c>
      <c r="W84" s="7" t="str">
        <f t="shared" si="26"/>
        <v/>
      </c>
      <c r="X84" s="7" t="str">
        <f>IF(A84="","",(1+'WHAT-IF SCENARIOS'!$B$27)^((Horizon_Rows+1-ROW())*E84+IF(INPUTS!$C$12="Beginning",1,0)))</f>
        <v/>
      </c>
      <c r="Y84" s="7" t="str">
        <f t="shared" si="27"/>
        <v/>
      </c>
      <c r="Z84" s="7" t="str">
        <f>IF(A84="","",IF(AND(A84&gt;='WHAT-IF SCENARIOS'!$B$41,A84&lt;'WHAT-IF SCENARIOS'!$B$41+'WHAT-IF SCENARIOS'!$B$42),0,D84))</f>
        <v/>
      </c>
      <c r="AA84" s="7" t="str">
        <f t="shared" si="28"/>
        <v/>
      </c>
      <c r="AB84" s="7" t="str">
        <f>IF(A84="","",IF(B84&gt;'WHAT-IF SCENARIOS'!$B$49,0,D84))</f>
        <v/>
      </c>
      <c r="AC84" s="7" t="str">
        <f t="shared" si="29"/>
        <v/>
      </c>
    </row>
    <row r="85" spans="1:29" ht="18" customHeight="1" x14ac:dyDescent="0.25">
      <c r="A85" s="7" t="str">
        <f>IF(ENGINE!A85="","",ENGINE!A85)</f>
        <v/>
      </c>
      <c r="B85" s="7" t="str">
        <f>IF(A85="","",ENGINE!B85)</f>
        <v/>
      </c>
      <c r="C85" s="7" t="str">
        <f>IF(A85="","",IF(A85=0,INPUTS!$C$8,J84))</f>
        <v/>
      </c>
      <c r="D85" s="7" t="str">
        <f>IF(A85="","",ENGINE!D85)</f>
        <v/>
      </c>
      <c r="E85" s="26" t="str">
        <f t="shared" si="15"/>
        <v/>
      </c>
      <c r="F85" s="26" t="str">
        <f t="shared" si="16"/>
        <v/>
      </c>
      <c r="G85" s="26" t="str">
        <f t="shared" si="17"/>
        <v/>
      </c>
      <c r="H85" s="28" t="str">
        <f t="shared" si="18"/>
        <v/>
      </c>
      <c r="I85" s="26" t="str">
        <f t="shared" si="19"/>
        <v/>
      </c>
      <c r="J85" s="26" t="str">
        <f>IF(A85="","",IF(G85=0,C85+D85,C85*H85+IF(INPUTS!$C$12="Beginning",F85*(1+G85)*(H85-1)/G85,F85*(H85-1)/G85)))</f>
        <v/>
      </c>
      <c r="K85" s="26" t="str">
        <f>IF(A85="","",SUM($D$2:D85))</f>
        <v/>
      </c>
      <c r="L85" s="7" t="str">
        <f>IF(A85="","",(1+G85)^((Horizon_Rows+1-ROW())*E85)*IF(INPUTS!$C$12="Beginning",1+G85,1))</f>
        <v/>
      </c>
      <c r="M85" s="7" t="str">
        <f t="shared" si="20"/>
        <v/>
      </c>
      <c r="N85" s="26" t="str">
        <f t="shared" si="21"/>
        <v/>
      </c>
      <c r="O85" s="26" t="str">
        <f t="shared" si="22"/>
        <v/>
      </c>
      <c r="P85" s="26" t="str">
        <f t="shared" si="23"/>
        <v/>
      </c>
      <c r="Q85" s="21" t="str">
        <f t="shared" si="24"/>
        <v/>
      </c>
      <c r="R85" s="7"/>
      <c r="S85" s="7"/>
      <c r="T85" s="7" t="str">
        <f>IF(A85="","",(1+'WHAT-IF SCENARIOS'!$B$8)^((Horizon_Rows+1-ROW())*E85+IF(INPUTS!$C$12="Beginning",1,0)))</f>
        <v/>
      </c>
      <c r="U85" s="7" t="str">
        <f t="shared" si="25"/>
        <v/>
      </c>
      <c r="V85" s="7" t="str">
        <f>IF(A85="","",(1+'WHAT-IF SCENARIOS'!$B$25)^((Horizon_Rows+1-ROW())*E85+IF(INPUTS!$C$12="Beginning",1,0)))</f>
        <v/>
      </c>
      <c r="W85" s="7" t="str">
        <f t="shared" si="26"/>
        <v/>
      </c>
      <c r="X85" s="7" t="str">
        <f>IF(A85="","",(1+'WHAT-IF SCENARIOS'!$B$27)^((Horizon_Rows+1-ROW())*E85+IF(INPUTS!$C$12="Beginning",1,0)))</f>
        <v/>
      </c>
      <c r="Y85" s="7" t="str">
        <f t="shared" si="27"/>
        <v/>
      </c>
      <c r="Z85" s="7" t="str">
        <f>IF(A85="","",IF(AND(A85&gt;='WHAT-IF SCENARIOS'!$B$41,A85&lt;'WHAT-IF SCENARIOS'!$B$41+'WHAT-IF SCENARIOS'!$B$42),0,D85))</f>
        <v/>
      </c>
      <c r="AA85" s="7" t="str">
        <f t="shared" si="28"/>
        <v/>
      </c>
      <c r="AB85" s="7" t="str">
        <f>IF(A85="","",IF(B85&gt;'WHAT-IF SCENARIOS'!$B$49,0,D85))</f>
        <v/>
      </c>
      <c r="AC85" s="7" t="str">
        <f t="shared" si="29"/>
        <v/>
      </c>
    </row>
    <row r="86" spans="1:29" ht="18" customHeight="1" x14ac:dyDescent="0.25">
      <c r="A86" s="7" t="str">
        <f>IF(ENGINE!A86="","",ENGINE!A86)</f>
        <v/>
      </c>
      <c r="B86" s="7" t="str">
        <f>IF(A86="","",ENGINE!B86)</f>
        <v/>
      </c>
      <c r="C86" s="7" t="str">
        <f>IF(A86="","",IF(A86=0,INPUTS!$C$8,J85))</f>
        <v/>
      </c>
      <c r="D86" s="7" t="str">
        <f>IF(A86="","",ENGINE!D86)</f>
        <v/>
      </c>
      <c r="E86" s="26" t="str">
        <f t="shared" si="15"/>
        <v/>
      </c>
      <c r="F86" s="26" t="str">
        <f t="shared" si="16"/>
        <v/>
      </c>
      <c r="G86" s="26" t="str">
        <f t="shared" si="17"/>
        <v/>
      </c>
      <c r="H86" s="28" t="str">
        <f t="shared" si="18"/>
        <v/>
      </c>
      <c r="I86" s="26" t="str">
        <f t="shared" si="19"/>
        <v/>
      </c>
      <c r="J86" s="26" t="str">
        <f>IF(A86="","",IF(G86=0,C86+D86,C86*H86+IF(INPUTS!$C$12="Beginning",F86*(1+G86)*(H86-1)/G86,F86*(H86-1)/G86)))</f>
        <v/>
      </c>
      <c r="K86" s="26" t="str">
        <f>IF(A86="","",SUM($D$2:D86))</f>
        <v/>
      </c>
      <c r="L86" s="7" t="str">
        <f>IF(A86="","",(1+G86)^((Horizon_Rows+1-ROW())*E86)*IF(INPUTS!$C$12="Beginning",1+G86,1))</f>
        <v/>
      </c>
      <c r="M86" s="7" t="str">
        <f t="shared" si="20"/>
        <v/>
      </c>
      <c r="N86" s="26" t="str">
        <f t="shared" si="21"/>
        <v/>
      </c>
      <c r="O86" s="26" t="str">
        <f t="shared" si="22"/>
        <v/>
      </c>
      <c r="P86" s="26" t="str">
        <f t="shared" si="23"/>
        <v/>
      </c>
      <c r="Q86" s="21" t="str">
        <f t="shared" si="24"/>
        <v/>
      </c>
      <c r="R86" s="7"/>
      <c r="S86" s="7"/>
      <c r="T86" s="7" t="str">
        <f>IF(A86="","",(1+'WHAT-IF SCENARIOS'!$B$8)^((Horizon_Rows+1-ROW())*E86+IF(INPUTS!$C$12="Beginning",1,0)))</f>
        <v/>
      </c>
      <c r="U86" s="7" t="str">
        <f t="shared" si="25"/>
        <v/>
      </c>
      <c r="V86" s="7" t="str">
        <f>IF(A86="","",(1+'WHAT-IF SCENARIOS'!$B$25)^((Horizon_Rows+1-ROW())*E86+IF(INPUTS!$C$12="Beginning",1,0)))</f>
        <v/>
      </c>
      <c r="W86" s="7" t="str">
        <f t="shared" si="26"/>
        <v/>
      </c>
      <c r="X86" s="7" t="str">
        <f>IF(A86="","",(1+'WHAT-IF SCENARIOS'!$B$27)^((Horizon_Rows+1-ROW())*E86+IF(INPUTS!$C$12="Beginning",1,0)))</f>
        <v/>
      </c>
      <c r="Y86" s="7" t="str">
        <f t="shared" si="27"/>
        <v/>
      </c>
      <c r="Z86" s="7" t="str">
        <f>IF(A86="","",IF(AND(A86&gt;='WHAT-IF SCENARIOS'!$B$41,A86&lt;'WHAT-IF SCENARIOS'!$B$41+'WHAT-IF SCENARIOS'!$B$42),0,D86))</f>
        <v/>
      </c>
      <c r="AA86" s="7" t="str">
        <f t="shared" si="28"/>
        <v/>
      </c>
      <c r="AB86" s="7" t="str">
        <f>IF(A86="","",IF(B86&gt;'WHAT-IF SCENARIOS'!$B$49,0,D86))</f>
        <v/>
      </c>
      <c r="AC86" s="7" t="str">
        <f t="shared" si="29"/>
        <v/>
      </c>
    </row>
    <row r="87" spans="1:29" ht="18" customHeight="1" x14ac:dyDescent="0.25">
      <c r="A87" s="7" t="str">
        <f>IF(ENGINE!A87="","",ENGINE!A87)</f>
        <v/>
      </c>
      <c r="B87" s="7" t="str">
        <f>IF(A87="","",ENGINE!B87)</f>
        <v/>
      </c>
      <c r="C87" s="7" t="str">
        <f>IF(A87="","",IF(A87=0,INPUTS!$C$8,J86))</f>
        <v/>
      </c>
      <c r="D87" s="7" t="str">
        <f>IF(A87="","",ENGINE!D87)</f>
        <v/>
      </c>
      <c r="E87" s="26" t="str">
        <f t="shared" si="15"/>
        <v/>
      </c>
      <c r="F87" s="26" t="str">
        <f t="shared" si="16"/>
        <v/>
      </c>
      <c r="G87" s="26" t="str">
        <f t="shared" si="17"/>
        <v/>
      </c>
      <c r="H87" s="28" t="str">
        <f t="shared" si="18"/>
        <v/>
      </c>
      <c r="I87" s="26" t="str">
        <f t="shared" si="19"/>
        <v/>
      </c>
      <c r="J87" s="26" t="str">
        <f>IF(A87="","",IF(G87=0,C87+D87,C87*H87+IF(INPUTS!$C$12="Beginning",F87*(1+G87)*(H87-1)/G87,F87*(H87-1)/G87)))</f>
        <v/>
      </c>
      <c r="K87" s="26" t="str">
        <f>IF(A87="","",SUM($D$2:D87))</f>
        <v/>
      </c>
      <c r="L87" s="7" t="str">
        <f>IF(A87="","",(1+G87)^((Horizon_Rows+1-ROW())*E87)*IF(INPUTS!$C$12="Beginning",1+G87,1))</f>
        <v/>
      </c>
      <c r="M87" s="7" t="str">
        <f t="shared" si="20"/>
        <v/>
      </c>
      <c r="N87" s="26" t="str">
        <f t="shared" si="21"/>
        <v/>
      </c>
      <c r="O87" s="26" t="str">
        <f t="shared" si="22"/>
        <v/>
      </c>
      <c r="P87" s="26" t="str">
        <f t="shared" si="23"/>
        <v/>
      </c>
      <c r="Q87" s="21" t="str">
        <f t="shared" si="24"/>
        <v/>
      </c>
      <c r="R87" s="7"/>
      <c r="S87" s="7"/>
      <c r="T87" s="7" t="str">
        <f>IF(A87="","",(1+'WHAT-IF SCENARIOS'!$B$8)^((Horizon_Rows+1-ROW())*E87+IF(INPUTS!$C$12="Beginning",1,0)))</f>
        <v/>
      </c>
      <c r="U87" s="7" t="str">
        <f t="shared" si="25"/>
        <v/>
      </c>
      <c r="V87" s="7" t="str">
        <f>IF(A87="","",(1+'WHAT-IF SCENARIOS'!$B$25)^((Horizon_Rows+1-ROW())*E87+IF(INPUTS!$C$12="Beginning",1,0)))</f>
        <v/>
      </c>
      <c r="W87" s="7" t="str">
        <f t="shared" si="26"/>
        <v/>
      </c>
      <c r="X87" s="7" t="str">
        <f>IF(A87="","",(1+'WHAT-IF SCENARIOS'!$B$27)^((Horizon_Rows+1-ROW())*E87+IF(INPUTS!$C$12="Beginning",1,0)))</f>
        <v/>
      </c>
      <c r="Y87" s="7" t="str">
        <f t="shared" si="27"/>
        <v/>
      </c>
      <c r="Z87" s="7" t="str">
        <f>IF(A87="","",IF(AND(A87&gt;='WHAT-IF SCENARIOS'!$B$41,A87&lt;'WHAT-IF SCENARIOS'!$B$41+'WHAT-IF SCENARIOS'!$B$42),0,D87))</f>
        <v/>
      </c>
      <c r="AA87" s="7" t="str">
        <f t="shared" si="28"/>
        <v/>
      </c>
      <c r="AB87" s="7" t="str">
        <f>IF(A87="","",IF(B87&gt;'WHAT-IF SCENARIOS'!$B$49,0,D87))</f>
        <v/>
      </c>
      <c r="AC87" s="7" t="str">
        <f t="shared" si="29"/>
        <v/>
      </c>
    </row>
    <row r="88" spans="1:29" ht="18" customHeight="1" x14ac:dyDescent="0.25">
      <c r="A88" s="7" t="str">
        <f>IF(ENGINE!A88="","",ENGINE!A88)</f>
        <v/>
      </c>
      <c r="B88" s="7" t="str">
        <f>IF(A88="","",ENGINE!B88)</f>
        <v/>
      </c>
      <c r="C88" s="7" t="str">
        <f>IF(A88="","",IF(A88=0,INPUTS!$C$8,J87))</f>
        <v/>
      </c>
      <c r="D88" s="7" t="str">
        <f>IF(A88="","",ENGINE!D88)</f>
        <v/>
      </c>
      <c r="E88" s="26" t="str">
        <f t="shared" si="15"/>
        <v/>
      </c>
      <c r="F88" s="26" t="str">
        <f t="shared" si="16"/>
        <v/>
      </c>
      <c r="G88" s="26" t="str">
        <f t="shared" si="17"/>
        <v/>
      </c>
      <c r="H88" s="28" t="str">
        <f t="shared" si="18"/>
        <v/>
      </c>
      <c r="I88" s="26" t="str">
        <f t="shared" si="19"/>
        <v/>
      </c>
      <c r="J88" s="26" t="str">
        <f>IF(A88="","",IF(G88=0,C88+D88,C88*H88+IF(INPUTS!$C$12="Beginning",F88*(1+G88)*(H88-1)/G88,F88*(H88-1)/G88)))</f>
        <v/>
      </c>
      <c r="K88" s="26" t="str">
        <f>IF(A88="","",SUM($D$2:D88))</f>
        <v/>
      </c>
      <c r="L88" s="7" t="str">
        <f>IF(A88="","",(1+G88)^((Horizon_Rows+1-ROW())*E88)*IF(INPUTS!$C$12="Beginning",1+G88,1))</f>
        <v/>
      </c>
      <c r="M88" s="7" t="str">
        <f t="shared" si="20"/>
        <v/>
      </c>
      <c r="N88" s="26" t="str">
        <f t="shared" si="21"/>
        <v/>
      </c>
      <c r="O88" s="26" t="str">
        <f t="shared" si="22"/>
        <v/>
      </c>
      <c r="P88" s="26" t="str">
        <f t="shared" si="23"/>
        <v/>
      </c>
      <c r="Q88" s="21" t="str">
        <f t="shared" si="24"/>
        <v/>
      </c>
      <c r="R88" s="7"/>
      <c r="S88" s="7"/>
      <c r="T88" s="7" t="str">
        <f>IF(A88="","",(1+'WHAT-IF SCENARIOS'!$B$8)^((Horizon_Rows+1-ROW())*E88+IF(INPUTS!$C$12="Beginning",1,0)))</f>
        <v/>
      </c>
      <c r="U88" s="7" t="str">
        <f t="shared" si="25"/>
        <v/>
      </c>
      <c r="V88" s="7" t="str">
        <f>IF(A88="","",(1+'WHAT-IF SCENARIOS'!$B$25)^((Horizon_Rows+1-ROW())*E88+IF(INPUTS!$C$12="Beginning",1,0)))</f>
        <v/>
      </c>
      <c r="W88" s="7" t="str">
        <f t="shared" si="26"/>
        <v/>
      </c>
      <c r="X88" s="7" t="str">
        <f>IF(A88="","",(1+'WHAT-IF SCENARIOS'!$B$27)^((Horizon_Rows+1-ROW())*E88+IF(INPUTS!$C$12="Beginning",1,0)))</f>
        <v/>
      </c>
      <c r="Y88" s="7" t="str">
        <f t="shared" si="27"/>
        <v/>
      </c>
      <c r="Z88" s="7" t="str">
        <f>IF(A88="","",IF(AND(A88&gt;='WHAT-IF SCENARIOS'!$B$41,A88&lt;'WHAT-IF SCENARIOS'!$B$41+'WHAT-IF SCENARIOS'!$B$42),0,D88))</f>
        <v/>
      </c>
      <c r="AA88" s="7" t="str">
        <f t="shared" si="28"/>
        <v/>
      </c>
      <c r="AB88" s="7" t="str">
        <f>IF(A88="","",IF(B88&gt;'WHAT-IF SCENARIOS'!$B$49,0,D88))</f>
        <v/>
      </c>
      <c r="AC88" s="7" t="str">
        <f t="shared" si="29"/>
        <v/>
      </c>
    </row>
    <row r="89" spans="1:29" ht="18" customHeight="1" x14ac:dyDescent="0.25">
      <c r="A89" s="7" t="str">
        <f>IF(ENGINE!A89="","",ENGINE!A89)</f>
        <v/>
      </c>
      <c r="B89" s="7" t="str">
        <f>IF(A89="","",ENGINE!B89)</f>
        <v/>
      </c>
      <c r="C89" s="7" t="str">
        <f>IF(A89="","",IF(A89=0,INPUTS!$C$8,J88))</f>
        <v/>
      </c>
      <c r="D89" s="7" t="str">
        <f>IF(A89="","",ENGINE!D89)</f>
        <v/>
      </c>
      <c r="E89" s="26" t="str">
        <f t="shared" si="15"/>
        <v/>
      </c>
      <c r="F89" s="26" t="str">
        <f t="shared" si="16"/>
        <v/>
      </c>
      <c r="G89" s="26" t="str">
        <f t="shared" si="17"/>
        <v/>
      </c>
      <c r="H89" s="28" t="str">
        <f t="shared" si="18"/>
        <v/>
      </c>
      <c r="I89" s="26" t="str">
        <f t="shared" si="19"/>
        <v/>
      </c>
      <c r="J89" s="26" t="str">
        <f>IF(A89="","",IF(G89=0,C89+D89,C89*H89+IF(INPUTS!$C$12="Beginning",F89*(1+G89)*(H89-1)/G89,F89*(H89-1)/G89)))</f>
        <v/>
      </c>
      <c r="K89" s="26" t="str">
        <f>IF(A89="","",SUM($D$2:D89))</f>
        <v/>
      </c>
      <c r="L89" s="7" t="str">
        <f>IF(A89="","",(1+G89)^((Horizon_Rows+1-ROW())*E89)*IF(INPUTS!$C$12="Beginning",1+G89,1))</f>
        <v/>
      </c>
      <c r="M89" s="7" t="str">
        <f t="shared" si="20"/>
        <v/>
      </c>
      <c r="N89" s="26" t="str">
        <f t="shared" si="21"/>
        <v/>
      </c>
      <c r="O89" s="26" t="str">
        <f t="shared" si="22"/>
        <v/>
      </c>
      <c r="P89" s="26" t="str">
        <f t="shared" si="23"/>
        <v/>
      </c>
      <c r="Q89" s="21" t="str">
        <f t="shared" si="24"/>
        <v/>
      </c>
      <c r="R89" s="7"/>
      <c r="S89" s="7"/>
      <c r="T89" s="7" t="str">
        <f>IF(A89="","",(1+'WHAT-IF SCENARIOS'!$B$8)^((Horizon_Rows+1-ROW())*E89+IF(INPUTS!$C$12="Beginning",1,0)))</f>
        <v/>
      </c>
      <c r="U89" s="7" t="str">
        <f t="shared" si="25"/>
        <v/>
      </c>
      <c r="V89" s="7" t="str">
        <f>IF(A89="","",(1+'WHAT-IF SCENARIOS'!$B$25)^((Horizon_Rows+1-ROW())*E89+IF(INPUTS!$C$12="Beginning",1,0)))</f>
        <v/>
      </c>
      <c r="W89" s="7" t="str">
        <f t="shared" si="26"/>
        <v/>
      </c>
      <c r="X89" s="7" t="str">
        <f>IF(A89="","",(1+'WHAT-IF SCENARIOS'!$B$27)^((Horizon_Rows+1-ROW())*E89+IF(INPUTS!$C$12="Beginning",1,0)))</f>
        <v/>
      </c>
      <c r="Y89" s="7" t="str">
        <f t="shared" si="27"/>
        <v/>
      </c>
      <c r="Z89" s="7" t="str">
        <f>IF(A89="","",IF(AND(A89&gt;='WHAT-IF SCENARIOS'!$B$41,A89&lt;'WHAT-IF SCENARIOS'!$B$41+'WHAT-IF SCENARIOS'!$B$42),0,D89))</f>
        <v/>
      </c>
      <c r="AA89" s="7" t="str">
        <f t="shared" si="28"/>
        <v/>
      </c>
      <c r="AB89" s="7" t="str">
        <f>IF(A89="","",IF(B89&gt;'WHAT-IF SCENARIOS'!$B$49,0,D89))</f>
        <v/>
      </c>
      <c r="AC89" s="7" t="str">
        <f t="shared" si="29"/>
        <v/>
      </c>
    </row>
    <row r="90" spans="1:29" ht="18" customHeight="1" x14ac:dyDescent="0.25">
      <c r="A90" s="7" t="str">
        <f>IF(ENGINE!A90="","",ENGINE!A90)</f>
        <v/>
      </c>
      <c r="B90" s="7" t="str">
        <f>IF(A90="","",ENGINE!B90)</f>
        <v/>
      </c>
      <c r="C90" s="7" t="str">
        <f>IF(A90="","",IF(A90=0,INPUTS!$C$8,J89))</f>
        <v/>
      </c>
      <c r="D90" s="7" t="str">
        <f>IF(A90="","",ENGINE!D90)</f>
        <v/>
      </c>
      <c r="E90" s="26" t="str">
        <f t="shared" si="15"/>
        <v/>
      </c>
      <c r="F90" s="26" t="str">
        <f t="shared" si="16"/>
        <v/>
      </c>
      <c r="G90" s="26" t="str">
        <f t="shared" si="17"/>
        <v/>
      </c>
      <c r="H90" s="28" t="str">
        <f t="shared" si="18"/>
        <v/>
      </c>
      <c r="I90" s="26" t="str">
        <f t="shared" si="19"/>
        <v/>
      </c>
      <c r="J90" s="26" t="str">
        <f>IF(A90="","",IF(G90=0,C90+D90,C90*H90+IF(INPUTS!$C$12="Beginning",F90*(1+G90)*(H90-1)/G90,F90*(H90-1)/G90)))</f>
        <v/>
      </c>
      <c r="K90" s="26" t="str">
        <f>IF(A90="","",SUM($D$2:D90))</f>
        <v/>
      </c>
      <c r="L90" s="7" t="str">
        <f>IF(A90="","",(1+G90)^((Horizon_Rows+1-ROW())*E90)*IF(INPUTS!$C$12="Beginning",1+G90,1))</f>
        <v/>
      </c>
      <c r="M90" s="7" t="str">
        <f t="shared" si="20"/>
        <v/>
      </c>
      <c r="N90" s="26" t="str">
        <f t="shared" si="21"/>
        <v/>
      </c>
      <c r="O90" s="26" t="str">
        <f t="shared" si="22"/>
        <v/>
      </c>
      <c r="P90" s="26" t="str">
        <f t="shared" si="23"/>
        <v/>
      </c>
      <c r="Q90" s="21" t="str">
        <f t="shared" si="24"/>
        <v/>
      </c>
      <c r="R90" s="7"/>
      <c r="S90" s="7"/>
      <c r="T90" s="7" t="str">
        <f>IF(A90="","",(1+'WHAT-IF SCENARIOS'!$B$8)^((Horizon_Rows+1-ROW())*E90+IF(INPUTS!$C$12="Beginning",1,0)))</f>
        <v/>
      </c>
      <c r="U90" s="7" t="str">
        <f t="shared" si="25"/>
        <v/>
      </c>
      <c r="V90" s="7" t="str">
        <f>IF(A90="","",(1+'WHAT-IF SCENARIOS'!$B$25)^((Horizon_Rows+1-ROW())*E90+IF(INPUTS!$C$12="Beginning",1,0)))</f>
        <v/>
      </c>
      <c r="W90" s="7" t="str">
        <f t="shared" si="26"/>
        <v/>
      </c>
      <c r="X90" s="7" t="str">
        <f>IF(A90="","",(1+'WHAT-IF SCENARIOS'!$B$27)^((Horizon_Rows+1-ROW())*E90+IF(INPUTS!$C$12="Beginning",1,0)))</f>
        <v/>
      </c>
      <c r="Y90" s="7" t="str">
        <f t="shared" si="27"/>
        <v/>
      </c>
      <c r="Z90" s="7" t="str">
        <f>IF(A90="","",IF(AND(A90&gt;='WHAT-IF SCENARIOS'!$B$41,A90&lt;'WHAT-IF SCENARIOS'!$B$41+'WHAT-IF SCENARIOS'!$B$42),0,D90))</f>
        <v/>
      </c>
      <c r="AA90" s="7" t="str">
        <f t="shared" si="28"/>
        <v/>
      </c>
      <c r="AB90" s="7" t="str">
        <f>IF(A90="","",IF(B90&gt;'WHAT-IF SCENARIOS'!$B$49,0,D90))</f>
        <v/>
      </c>
      <c r="AC90" s="7" t="str">
        <f t="shared" si="29"/>
        <v/>
      </c>
    </row>
    <row r="91" spans="1:29" ht="18" customHeight="1" x14ac:dyDescent="0.25">
      <c r="A91" s="7" t="str">
        <f>IF(ENGINE!A91="","",ENGINE!A91)</f>
        <v/>
      </c>
      <c r="B91" s="7" t="str">
        <f>IF(A91="","",ENGINE!B91)</f>
        <v/>
      </c>
      <c r="C91" s="7" t="str">
        <f>IF(A91="","",IF(A91=0,INPUTS!$C$8,J90))</f>
        <v/>
      </c>
      <c r="D91" s="7" t="str">
        <f>IF(A91="","",ENGINE!D91)</f>
        <v/>
      </c>
      <c r="E91" s="26" t="str">
        <f t="shared" si="15"/>
        <v/>
      </c>
      <c r="F91" s="26" t="str">
        <f t="shared" si="16"/>
        <v/>
      </c>
      <c r="G91" s="26" t="str">
        <f t="shared" si="17"/>
        <v/>
      </c>
      <c r="H91" s="28" t="str">
        <f t="shared" si="18"/>
        <v/>
      </c>
      <c r="I91" s="26" t="str">
        <f t="shared" si="19"/>
        <v/>
      </c>
      <c r="J91" s="26" t="str">
        <f>IF(A91="","",IF(G91=0,C91+D91,C91*H91+IF(INPUTS!$C$12="Beginning",F91*(1+G91)*(H91-1)/G91,F91*(H91-1)/G91)))</f>
        <v/>
      </c>
      <c r="K91" s="26" t="str">
        <f>IF(A91="","",SUM($D$2:D91))</f>
        <v/>
      </c>
      <c r="L91" s="7" t="str">
        <f>IF(A91="","",(1+G91)^((Horizon_Rows+1-ROW())*E91)*IF(INPUTS!$C$12="Beginning",1+G91,1))</f>
        <v/>
      </c>
      <c r="M91" s="7" t="str">
        <f t="shared" si="20"/>
        <v/>
      </c>
      <c r="N91" s="26" t="str">
        <f t="shared" si="21"/>
        <v/>
      </c>
      <c r="O91" s="26" t="str">
        <f t="shared" si="22"/>
        <v/>
      </c>
      <c r="P91" s="26" t="str">
        <f t="shared" si="23"/>
        <v/>
      </c>
      <c r="Q91" s="21" t="str">
        <f t="shared" si="24"/>
        <v/>
      </c>
      <c r="R91" s="7"/>
      <c r="S91" s="7"/>
      <c r="T91" s="7" t="str">
        <f>IF(A91="","",(1+'WHAT-IF SCENARIOS'!$B$8)^((Horizon_Rows+1-ROW())*E91+IF(INPUTS!$C$12="Beginning",1,0)))</f>
        <v/>
      </c>
      <c r="U91" s="7" t="str">
        <f t="shared" si="25"/>
        <v/>
      </c>
      <c r="V91" s="7" t="str">
        <f>IF(A91="","",(1+'WHAT-IF SCENARIOS'!$B$25)^((Horizon_Rows+1-ROW())*E91+IF(INPUTS!$C$12="Beginning",1,0)))</f>
        <v/>
      </c>
      <c r="W91" s="7" t="str">
        <f t="shared" si="26"/>
        <v/>
      </c>
      <c r="X91" s="7" t="str">
        <f>IF(A91="","",(1+'WHAT-IF SCENARIOS'!$B$27)^((Horizon_Rows+1-ROW())*E91+IF(INPUTS!$C$12="Beginning",1,0)))</f>
        <v/>
      </c>
      <c r="Y91" s="7" t="str">
        <f t="shared" si="27"/>
        <v/>
      </c>
      <c r="Z91" s="7" t="str">
        <f>IF(A91="","",IF(AND(A91&gt;='WHAT-IF SCENARIOS'!$B$41,A91&lt;'WHAT-IF SCENARIOS'!$B$41+'WHAT-IF SCENARIOS'!$B$42),0,D91))</f>
        <v/>
      </c>
      <c r="AA91" s="7" t="str">
        <f t="shared" si="28"/>
        <v/>
      </c>
      <c r="AB91" s="7" t="str">
        <f>IF(A91="","",IF(B91&gt;'WHAT-IF SCENARIOS'!$B$49,0,D91))</f>
        <v/>
      </c>
      <c r="AC91" s="7" t="str">
        <f t="shared" si="29"/>
        <v/>
      </c>
    </row>
    <row r="92" spans="1:29" ht="18" customHeight="1" x14ac:dyDescent="0.25">
      <c r="A92" s="7" t="str">
        <f>IF(ENGINE!A92="","",ENGINE!A92)</f>
        <v/>
      </c>
      <c r="B92" s="7" t="str">
        <f>IF(A92="","",ENGINE!B92)</f>
        <v/>
      </c>
      <c r="C92" s="7" t="str">
        <f>IF(A92="","",IF(A92=0,INPUTS!$C$8,J91))</f>
        <v/>
      </c>
      <c r="D92" s="7" t="str">
        <f>IF(A92="","",ENGINE!D92)</f>
        <v/>
      </c>
      <c r="E92" s="26" t="str">
        <f t="shared" si="15"/>
        <v/>
      </c>
      <c r="F92" s="26" t="str">
        <f t="shared" si="16"/>
        <v/>
      </c>
      <c r="G92" s="26" t="str">
        <f t="shared" si="17"/>
        <v/>
      </c>
      <c r="H92" s="28" t="str">
        <f t="shared" si="18"/>
        <v/>
      </c>
      <c r="I92" s="26" t="str">
        <f t="shared" si="19"/>
        <v/>
      </c>
      <c r="J92" s="26" t="str">
        <f>IF(A92="","",IF(G92=0,C92+D92,C92*H92+IF(INPUTS!$C$12="Beginning",F92*(1+G92)*(H92-1)/G92,F92*(H92-1)/G92)))</f>
        <v/>
      </c>
      <c r="K92" s="26" t="str">
        <f>IF(A92="","",SUM($D$2:D92))</f>
        <v/>
      </c>
      <c r="L92" s="7" t="str">
        <f>IF(A92="","",(1+G92)^((Horizon_Rows+1-ROW())*E92)*IF(INPUTS!$C$12="Beginning",1+G92,1))</f>
        <v/>
      </c>
      <c r="M92" s="7" t="str">
        <f t="shared" si="20"/>
        <v/>
      </c>
      <c r="N92" s="26" t="str">
        <f t="shared" si="21"/>
        <v/>
      </c>
      <c r="O92" s="26" t="str">
        <f t="shared" si="22"/>
        <v/>
      </c>
      <c r="P92" s="26" t="str">
        <f t="shared" si="23"/>
        <v/>
      </c>
      <c r="Q92" s="21" t="str">
        <f t="shared" si="24"/>
        <v/>
      </c>
      <c r="R92" s="7"/>
      <c r="S92" s="7"/>
      <c r="T92" s="7" t="str">
        <f>IF(A92="","",(1+'WHAT-IF SCENARIOS'!$B$8)^((Horizon_Rows+1-ROW())*E92+IF(INPUTS!$C$12="Beginning",1,0)))</f>
        <v/>
      </c>
      <c r="U92" s="7" t="str">
        <f t="shared" si="25"/>
        <v/>
      </c>
      <c r="V92" s="7" t="str">
        <f>IF(A92="","",(1+'WHAT-IF SCENARIOS'!$B$25)^((Horizon_Rows+1-ROW())*E92+IF(INPUTS!$C$12="Beginning",1,0)))</f>
        <v/>
      </c>
      <c r="W92" s="7" t="str">
        <f t="shared" si="26"/>
        <v/>
      </c>
      <c r="X92" s="7" t="str">
        <f>IF(A92="","",(1+'WHAT-IF SCENARIOS'!$B$27)^((Horizon_Rows+1-ROW())*E92+IF(INPUTS!$C$12="Beginning",1,0)))</f>
        <v/>
      </c>
      <c r="Y92" s="7" t="str">
        <f t="shared" si="27"/>
        <v/>
      </c>
      <c r="Z92" s="7" t="str">
        <f>IF(A92="","",IF(AND(A92&gt;='WHAT-IF SCENARIOS'!$B$41,A92&lt;'WHAT-IF SCENARIOS'!$B$41+'WHAT-IF SCENARIOS'!$B$42),0,D92))</f>
        <v/>
      </c>
      <c r="AA92" s="7" t="str">
        <f t="shared" si="28"/>
        <v/>
      </c>
      <c r="AB92" s="7" t="str">
        <f>IF(A92="","",IF(B92&gt;'WHAT-IF SCENARIOS'!$B$49,0,D92))</f>
        <v/>
      </c>
      <c r="AC92" s="7" t="str">
        <f t="shared" si="29"/>
        <v/>
      </c>
    </row>
    <row r="93" spans="1:29" ht="18" customHeight="1" x14ac:dyDescent="0.25">
      <c r="A93" s="7" t="str">
        <f>IF(ENGINE!A93="","",ENGINE!A93)</f>
        <v/>
      </c>
      <c r="B93" s="7" t="str">
        <f>IF(A93="","",ENGINE!B93)</f>
        <v/>
      </c>
      <c r="C93" s="7" t="str">
        <f>IF(A93="","",IF(A93=0,INPUTS!$C$8,J92))</f>
        <v/>
      </c>
      <c r="D93" s="7" t="str">
        <f>IF(A93="","",ENGINE!D93)</f>
        <v/>
      </c>
      <c r="E93" s="26" t="str">
        <f t="shared" si="15"/>
        <v/>
      </c>
      <c r="F93" s="26" t="str">
        <f t="shared" si="16"/>
        <v/>
      </c>
      <c r="G93" s="26" t="str">
        <f t="shared" si="17"/>
        <v/>
      </c>
      <c r="H93" s="28" t="str">
        <f t="shared" si="18"/>
        <v/>
      </c>
      <c r="I93" s="26" t="str">
        <f t="shared" si="19"/>
        <v/>
      </c>
      <c r="J93" s="26" t="str">
        <f>IF(A93="","",IF(G93=0,C93+D93,C93*H93+IF(INPUTS!$C$12="Beginning",F93*(1+G93)*(H93-1)/G93,F93*(H93-1)/G93)))</f>
        <v/>
      </c>
      <c r="K93" s="26" t="str">
        <f>IF(A93="","",SUM($D$2:D93))</f>
        <v/>
      </c>
      <c r="L93" s="7" t="str">
        <f>IF(A93="","",(1+G93)^((Horizon_Rows+1-ROW())*E93)*IF(INPUTS!$C$12="Beginning",1+G93,1))</f>
        <v/>
      </c>
      <c r="M93" s="7" t="str">
        <f t="shared" si="20"/>
        <v/>
      </c>
      <c r="N93" s="26" t="str">
        <f t="shared" si="21"/>
        <v/>
      </c>
      <c r="O93" s="26" t="str">
        <f t="shared" si="22"/>
        <v/>
      </c>
      <c r="P93" s="26" t="str">
        <f t="shared" si="23"/>
        <v/>
      </c>
      <c r="Q93" s="21" t="str">
        <f t="shared" si="24"/>
        <v/>
      </c>
      <c r="R93" s="7"/>
      <c r="S93" s="7"/>
      <c r="T93" s="7" t="str">
        <f>IF(A93="","",(1+'WHAT-IF SCENARIOS'!$B$8)^((Horizon_Rows+1-ROW())*E93+IF(INPUTS!$C$12="Beginning",1,0)))</f>
        <v/>
      </c>
      <c r="U93" s="7" t="str">
        <f t="shared" si="25"/>
        <v/>
      </c>
      <c r="V93" s="7" t="str">
        <f>IF(A93="","",(1+'WHAT-IF SCENARIOS'!$B$25)^((Horizon_Rows+1-ROW())*E93+IF(INPUTS!$C$12="Beginning",1,0)))</f>
        <v/>
      </c>
      <c r="W93" s="7" t="str">
        <f t="shared" si="26"/>
        <v/>
      </c>
      <c r="X93" s="7" t="str">
        <f>IF(A93="","",(1+'WHAT-IF SCENARIOS'!$B$27)^((Horizon_Rows+1-ROW())*E93+IF(INPUTS!$C$12="Beginning",1,0)))</f>
        <v/>
      </c>
      <c r="Y93" s="7" t="str">
        <f t="shared" si="27"/>
        <v/>
      </c>
      <c r="Z93" s="7" t="str">
        <f>IF(A93="","",IF(AND(A93&gt;='WHAT-IF SCENARIOS'!$B$41,A93&lt;'WHAT-IF SCENARIOS'!$B$41+'WHAT-IF SCENARIOS'!$B$42),0,D93))</f>
        <v/>
      </c>
      <c r="AA93" s="7" t="str">
        <f t="shared" si="28"/>
        <v/>
      </c>
      <c r="AB93" s="7" t="str">
        <f>IF(A93="","",IF(B93&gt;'WHAT-IF SCENARIOS'!$B$49,0,D93))</f>
        <v/>
      </c>
      <c r="AC93" s="7" t="str">
        <f t="shared" si="29"/>
        <v/>
      </c>
    </row>
    <row r="94" spans="1:29" ht="18" customHeight="1" x14ac:dyDescent="0.25">
      <c r="A94" s="7" t="str">
        <f>IF(ENGINE!A94="","",ENGINE!A94)</f>
        <v/>
      </c>
      <c r="B94" s="7" t="str">
        <f>IF(A94="","",ENGINE!B94)</f>
        <v/>
      </c>
      <c r="C94" s="7" t="str">
        <f>IF(A94="","",IF(A94=0,INPUTS!$C$8,J93))</f>
        <v/>
      </c>
      <c r="D94" s="7" t="str">
        <f>IF(A94="","",ENGINE!D94)</f>
        <v/>
      </c>
      <c r="E94" s="26" t="str">
        <f t="shared" si="15"/>
        <v/>
      </c>
      <c r="F94" s="26" t="str">
        <f t="shared" si="16"/>
        <v/>
      </c>
      <c r="G94" s="26" t="str">
        <f t="shared" si="17"/>
        <v/>
      </c>
      <c r="H94" s="28" t="str">
        <f t="shared" si="18"/>
        <v/>
      </c>
      <c r="I94" s="26" t="str">
        <f t="shared" si="19"/>
        <v/>
      </c>
      <c r="J94" s="26" t="str">
        <f>IF(A94="","",IF(G94=0,C94+D94,C94*H94+IF(INPUTS!$C$12="Beginning",F94*(1+G94)*(H94-1)/G94,F94*(H94-1)/G94)))</f>
        <v/>
      </c>
      <c r="K94" s="26" t="str">
        <f>IF(A94="","",SUM($D$2:D94))</f>
        <v/>
      </c>
      <c r="L94" s="7" t="str">
        <f>IF(A94="","",(1+G94)^((Horizon_Rows+1-ROW())*E94)*IF(INPUTS!$C$12="Beginning",1+G94,1))</f>
        <v/>
      </c>
      <c r="M94" s="7" t="str">
        <f t="shared" si="20"/>
        <v/>
      </c>
      <c r="N94" s="26" t="str">
        <f t="shared" si="21"/>
        <v/>
      </c>
      <c r="O94" s="26" t="str">
        <f t="shared" si="22"/>
        <v/>
      </c>
      <c r="P94" s="26" t="str">
        <f t="shared" si="23"/>
        <v/>
      </c>
      <c r="Q94" s="21" t="str">
        <f t="shared" si="24"/>
        <v/>
      </c>
      <c r="R94" s="7"/>
      <c r="S94" s="7"/>
      <c r="T94" s="7" t="str">
        <f>IF(A94="","",(1+'WHAT-IF SCENARIOS'!$B$8)^((Horizon_Rows+1-ROW())*E94+IF(INPUTS!$C$12="Beginning",1,0)))</f>
        <v/>
      </c>
      <c r="U94" s="7" t="str">
        <f t="shared" si="25"/>
        <v/>
      </c>
      <c r="V94" s="7" t="str">
        <f>IF(A94="","",(1+'WHAT-IF SCENARIOS'!$B$25)^((Horizon_Rows+1-ROW())*E94+IF(INPUTS!$C$12="Beginning",1,0)))</f>
        <v/>
      </c>
      <c r="W94" s="7" t="str">
        <f t="shared" si="26"/>
        <v/>
      </c>
      <c r="X94" s="7" t="str">
        <f>IF(A94="","",(1+'WHAT-IF SCENARIOS'!$B$27)^((Horizon_Rows+1-ROW())*E94+IF(INPUTS!$C$12="Beginning",1,0)))</f>
        <v/>
      </c>
      <c r="Y94" s="7" t="str">
        <f t="shared" si="27"/>
        <v/>
      </c>
      <c r="Z94" s="7" t="str">
        <f>IF(A94="","",IF(AND(A94&gt;='WHAT-IF SCENARIOS'!$B$41,A94&lt;'WHAT-IF SCENARIOS'!$B$41+'WHAT-IF SCENARIOS'!$B$42),0,D94))</f>
        <v/>
      </c>
      <c r="AA94" s="7" t="str">
        <f t="shared" si="28"/>
        <v/>
      </c>
      <c r="AB94" s="7" t="str">
        <f>IF(A94="","",IF(B94&gt;'WHAT-IF SCENARIOS'!$B$49,0,D94))</f>
        <v/>
      </c>
      <c r="AC94" s="7" t="str">
        <f t="shared" si="29"/>
        <v/>
      </c>
    </row>
    <row r="95" spans="1:29" ht="18" customHeight="1" x14ac:dyDescent="0.25">
      <c r="A95" s="7" t="str">
        <f>IF(ENGINE!A95="","",ENGINE!A95)</f>
        <v/>
      </c>
      <c r="B95" s="7" t="str">
        <f>IF(A95="","",ENGINE!B95)</f>
        <v/>
      </c>
      <c r="C95" s="7" t="str">
        <f>IF(A95="","",IF(A95=0,INPUTS!$C$8,J94))</f>
        <v/>
      </c>
      <c r="D95" s="7" t="str">
        <f>IF(A95="","",ENGINE!D95)</f>
        <v/>
      </c>
      <c r="E95" s="26" t="str">
        <f t="shared" si="15"/>
        <v/>
      </c>
      <c r="F95" s="26" t="str">
        <f t="shared" si="16"/>
        <v/>
      </c>
      <c r="G95" s="26" t="str">
        <f t="shared" si="17"/>
        <v/>
      </c>
      <c r="H95" s="28" t="str">
        <f t="shared" si="18"/>
        <v/>
      </c>
      <c r="I95" s="26" t="str">
        <f t="shared" si="19"/>
        <v/>
      </c>
      <c r="J95" s="26" t="str">
        <f>IF(A95="","",IF(G95=0,C95+D95,C95*H95+IF(INPUTS!$C$12="Beginning",F95*(1+G95)*(H95-1)/G95,F95*(H95-1)/G95)))</f>
        <v/>
      </c>
      <c r="K95" s="26" t="str">
        <f>IF(A95="","",SUM($D$2:D95))</f>
        <v/>
      </c>
      <c r="L95" s="7" t="str">
        <f>IF(A95="","",(1+G95)^((Horizon_Rows+1-ROW())*E95)*IF(INPUTS!$C$12="Beginning",1+G95,1))</f>
        <v/>
      </c>
      <c r="M95" s="7" t="str">
        <f t="shared" si="20"/>
        <v/>
      </c>
      <c r="N95" s="26" t="str">
        <f t="shared" si="21"/>
        <v/>
      </c>
      <c r="O95" s="26" t="str">
        <f t="shared" si="22"/>
        <v/>
      </c>
      <c r="P95" s="26" t="str">
        <f t="shared" si="23"/>
        <v/>
      </c>
      <c r="Q95" s="21" t="str">
        <f t="shared" si="24"/>
        <v/>
      </c>
      <c r="R95" s="7"/>
      <c r="S95" s="7"/>
      <c r="T95" s="7" t="str">
        <f>IF(A95="","",(1+'WHAT-IF SCENARIOS'!$B$8)^((Horizon_Rows+1-ROW())*E95+IF(INPUTS!$C$12="Beginning",1,0)))</f>
        <v/>
      </c>
      <c r="U95" s="7" t="str">
        <f t="shared" si="25"/>
        <v/>
      </c>
      <c r="V95" s="7" t="str">
        <f>IF(A95="","",(1+'WHAT-IF SCENARIOS'!$B$25)^((Horizon_Rows+1-ROW())*E95+IF(INPUTS!$C$12="Beginning",1,0)))</f>
        <v/>
      </c>
      <c r="W95" s="7" t="str">
        <f t="shared" si="26"/>
        <v/>
      </c>
      <c r="X95" s="7" t="str">
        <f>IF(A95="","",(1+'WHAT-IF SCENARIOS'!$B$27)^((Horizon_Rows+1-ROW())*E95+IF(INPUTS!$C$12="Beginning",1,0)))</f>
        <v/>
      </c>
      <c r="Y95" s="7" t="str">
        <f t="shared" si="27"/>
        <v/>
      </c>
      <c r="Z95" s="7" t="str">
        <f>IF(A95="","",IF(AND(A95&gt;='WHAT-IF SCENARIOS'!$B$41,A95&lt;'WHAT-IF SCENARIOS'!$B$41+'WHAT-IF SCENARIOS'!$B$42),0,D95))</f>
        <v/>
      </c>
      <c r="AA95" s="7" t="str">
        <f t="shared" si="28"/>
        <v/>
      </c>
      <c r="AB95" s="7" t="str">
        <f>IF(A95="","",IF(B95&gt;'WHAT-IF SCENARIOS'!$B$49,0,D95))</f>
        <v/>
      </c>
      <c r="AC95" s="7" t="str">
        <f t="shared" si="29"/>
        <v/>
      </c>
    </row>
    <row r="96" spans="1:29" ht="18" customHeight="1" x14ac:dyDescent="0.25">
      <c r="A96" s="7" t="str">
        <f>IF(ENGINE!A96="","",ENGINE!A96)</f>
        <v/>
      </c>
      <c r="B96" s="7" t="str">
        <f>IF(A96="","",ENGINE!B96)</f>
        <v/>
      </c>
      <c r="C96" s="7" t="str">
        <f>IF(A96="","",IF(A96=0,INPUTS!$C$8,J95))</f>
        <v/>
      </c>
      <c r="D96" s="7" t="str">
        <f>IF(A96="","",ENGINE!D96)</f>
        <v/>
      </c>
      <c r="E96" s="26" t="str">
        <f t="shared" si="15"/>
        <v/>
      </c>
      <c r="F96" s="26" t="str">
        <f t="shared" si="16"/>
        <v/>
      </c>
      <c r="G96" s="26" t="str">
        <f t="shared" si="17"/>
        <v/>
      </c>
      <c r="H96" s="28" t="str">
        <f t="shared" si="18"/>
        <v/>
      </c>
      <c r="I96" s="26" t="str">
        <f t="shared" si="19"/>
        <v/>
      </c>
      <c r="J96" s="26" t="str">
        <f>IF(A96="","",IF(G96=0,C96+D96,C96*H96+IF(INPUTS!$C$12="Beginning",F96*(1+G96)*(H96-1)/G96,F96*(H96-1)/G96)))</f>
        <v/>
      </c>
      <c r="K96" s="26" t="str">
        <f>IF(A96="","",SUM($D$2:D96))</f>
        <v/>
      </c>
      <c r="L96" s="7" t="str">
        <f>IF(A96="","",(1+G96)^((Horizon_Rows+1-ROW())*E96)*IF(INPUTS!$C$12="Beginning",1+G96,1))</f>
        <v/>
      </c>
      <c r="M96" s="7" t="str">
        <f t="shared" si="20"/>
        <v/>
      </c>
      <c r="N96" s="26" t="str">
        <f t="shared" si="21"/>
        <v/>
      </c>
      <c r="O96" s="26" t="str">
        <f t="shared" si="22"/>
        <v/>
      </c>
      <c r="P96" s="26" t="str">
        <f t="shared" si="23"/>
        <v/>
      </c>
      <c r="Q96" s="21" t="str">
        <f t="shared" si="24"/>
        <v/>
      </c>
      <c r="R96" s="7"/>
      <c r="S96" s="7"/>
      <c r="T96" s="7" t="str">
        <f>IF(A96="","",(1+'WHAT-IF SCENARIOS'!$B$8)^((Horizon_Rows+1-ROW())*E96+IF(INPUTS!$C$12="Beginning",1,0)))</f>
        <v/>
      </c>
      <c r="U96" s="7" t="str">
        <f t="shared" si="25"/>
        <v/>
      </c>
      <c r="V96" s="7" t="str">
        <f>IF(A96="","",(1+'WHAT-IF SCENARIOS'!$B$25)^((Horizon_Rows+1-ROW())*E96+IF(INPUTS!$C$12="Beginning",1,0)))</f>
        <v/>
      </c>
      <c r="W96" s="7" t="str">
        <f t="shared" si="26"/>
        <v/>
      </c>
      <c r="X96" s="7" t="str">
        <f>IF(A96="","",(1+'WHAT-IF SCENARIOS'!$B$27)^((Horizon_Rows+1-ROW())*E96+IF(INPUTS!$C$12="Beginning",1,0)))</f>
        <v/>
      </c>
      <c r="Y96" s="7" t="str">
        <f t="shared" si="27"/>
        <v/>
      </c>
      <c r="Z96" s="7" t="str">
        <f>IF(A96="","",IF(AND(A96&gt;='WHAT-IF SCENARIOS'!$B$41,A96&lt;'WHAT-IF SCENARIOS'!$B$41+'WHAT-IF SCENARIOS'!$B$42),0,D96))</f>
        <v/>
      </c>
      <c r="AA96" s="7" t="str">
        <f t="shared" si="28"/>
        <v/>
      </c>
      <c r="AB96" s="7" t="str">
        <f>IF(A96="","",IF(B96&gt;'WHAT-IF SCENARIOS'!$B$49,0,D96))</f>
        <v/>
      </c>
      <c r="AC96" s="7" t="str">
        <f t="shared" si="29"/>
        <v/>
      </c>
    </row>
    <row r="97" spans="1:29" ht="18" customHeight="1" x14ac:dyDescent="0.25">
      <c r="A97" s="7" t="str">
        <f>IF(ENGINE!A97="","",ENGINE!A97)</f>
        <v/>
      </c>
      <c r="B97" s="7" t="str">
        <f>IF(A97="","",ENGINE!B97)</f>
        <v/>
      </c>
      <c r="C97" s="7" t="str">
        <f>IF(A97="","",IF(A97=0,INPUTS!$C$8,J96))</f>
        <v/>
      </c>
      <c r="D97" s="7" t="str">
        <f>IF(A97="","",ENGINE!D97)</f>
        <v/>
      </c>
      <c r="E97" s="26" t="str">
        <f t="shared" si="15"/>
        <v/>
      </c>
      <c r="F97" s="26" t="str">
        <f t="shared" si="16"/>
        <v/>
      </c>
      <c r="G97" s="26" t="str">
        <f t="shared" si="17"/>
        <v/>
      </c>
      <c r="H97" s="28" t="str">
        <f t="shared" si="18"/>
        <v/>
      </c>
      <c r="I97" s="26" t="str">
        <f t="shared" si="19"/>
        <v/>
      </c>
      <c r="J97" s="26" t="str">
        <f>IF(A97="","",IF(G97=0,C97+D97,C97*H97+IF(INPUTS!$C$12="Beginning",F97*(1+G97)*(H97-1)/G97,F97*(H97-1)/G97)))</f>
        <v/>
      </c>
      <c r="K97" s="26" t="str">
        <f>IF(A97="","",SUM($D$2:D97))</f>
        <v/>
      </c>
      <c r="L97" s="7" t="str">
        <f>IF(A97="","",(1+G97)^((Horizon_Rows+1-ROW())*E97)*IF(INPUTS!$C$12="Beginning",1+G97,1))</f>
        <v/>
      </c>
      <c r="M97" s="7" t="str">
        <f t="shared" si="20"/>
        <v/>
      </c>
      <c r="N97" s="26" t="str">
        <f t="shared" si="21"/>
        <v/>
      </c>
      <c r="O97" s="26" t="str">
        <f t="shared" si="22"/>
        <v/>
      </c>
      <c r="P97" s="26" t="str">
        <f t="shared" si="23"/>
        <v/>
      </c>
      <c r="Q97" s="21" t="str">
        <f t="shared" si="24"/>
        <v/>
      </c>
      <c r="R97" s="7"/>
      <c r="S97" s="7"/>
      <c r="T97" s="7" t="str">
        <f>IF(A97="","",(1+'WHAT-IF SCENARIOS'!$B$8)^((Horizon_Rows+1-ROW())*E97+IF(INPUTS!$C$12="Beginning",1,0)))</f>
        <v/>
      </c>
      <c r="U97" s="7" t="str">
        <f t="shared" si="25"/>
        <v/>
      </c>
      <c r="V97" s="7" t="str">
        <f>IF(A97="","",(1+'WHAT-IF SCENARIOS'!$B$25)^((Horizon_Rows+1-ROW())*E97+IF(INPUTS!$C$12="Beginning",1,0)))</f>
        <v/>
      </c>
      <c r="W97" s="7" t="str">
        <f t="shared" si="26"/>
        <v/>
      </c>
      <c r="X97" s="7" t="str">
        <f>IF(A97="","",(1+'WHAT-IF SCENARIOS'!$B$27)^((Horizon_Rows+1-ROW())*E97+IF(INPUTS!$C$12="Beginning",1,0)))</f>
        <v/>
      </c>
      <c r="Y97" s="7" t="str">
        <f t="shared" si="27"/>
        <v/>
      </c>
      <c r="Z97" s="7" t="str">
        <f>IF(A97="","",IF(AND(A97&gt;='WHAT-IF SCENARIOS'!$B$41,A97&lt;'WHAT-IF SCENARIOS'!$B$41+'WHAT-IF SCENARIOS'!$B$42),0,D97))</f>
        <v/>
      </c>
      <c r="AA97" s="7" t="str">
        <f t="shared" si="28"/>
        <v/>
      </c>
      <c r="AB97" s="7" t="str">
        <f>IF(A97="","",IF(B97&gt;'WHAT-IF SCENARIOS'!$B$49,0,D97))</f>
        <v/>
      </c>
      <c r="AC97" s="7" t="str">
        <f t="shared" si="29"/>
        <v/>
      </c>
    </row>
    <row r="98" spans="1:29" ht="18" customHeight="1" x14ac:dyDescent="0.25">
      <c r="A98" s="7" t="str">
        <f>IF(ENGINE!A98="","",ENGINE!A98)</f>
        <v/>
      </c>
      <c r="B98" s="7" t="str">
        <f>IF(A98="","",ENGINE!B98)</f>
        <v/>
      </c>
      <c r="C98" s="7" t="str">
        <f>IF(A98="","",IF(A98=0,INPUTS!$C$8,J97))</f>
        <v/>
      </c>
      <c r="D98" s="7" t="str">
        <f>IF(A98="","",ENGINE!D98)</f>
        <v/>
      </c>
      <c r="E98" s="26" t="str">
        <f t="shared" si="15"/>
        <v/>
      </c>
      <c r="F98" s="26" t="str">
        <f t="shared" si="16"/>
        <v/>
      </c>
      <c r="G98" s="26" t="str">
        <f t="shared" si="17"/>
        <v/>
      </c>
      <c r="H98" s="28" t="str">
        <f t="shared" si="18"/>
        <v/>
      </c>
      <c r="I98" s="26" t="str">
        <f t="shared" si="19"/>
        <v/>
      </c>
      <c r="J98" s="26" t="str">
        <f>IF(A98="","",IF(G98=0,C98+D98,C98*H98+IF(INPUTS!$C$12="Beginning",F98*(1+G98)*(H98-1)/G98,F98*(H98-1)/G98)))</f>
        <v/>
      </c>
      <c r="K98" s="26" t="str">
        <f>IF(A98="","",SUM($D$2:D98))</f>
        <v/>
      </c>
      <c r="L98" s="7" t="str">
        <f>IF(A98="","",(1+G98)^((Horizon_Rows+1-ROW())*E98)*IF(INPUTS!$C$12="Beginning",1+G98,1))</f>
        <v/>
      </c>
      <c r="M98" s="7" t="str">
        <f t="shared" si="20"/>
        <v/>
      </c>
      <c r="N98" s="26" t="str">
        <f t="shared" si="21"/>
        <v/>
      </c>
      <c r="O98" s="26" t="str">
        <f t="shared" si="22"/>
        <v/>
      </c>
      <c r="P98" s="26" t="str">
        <f t="shared" si="23"/>
        <v/>
      </c>
      <c r="Q98" s="21" t="str">
        <f t="shared" si="24"/>
        <v/>
      </c>
      <c r="R98" s="7"/>
      <c r="S98" s="7"/>
      <c r="T98" s="7" t="str">
        <f>IF(A98="","",(1+'WHAT-IF SCENARIOS'!$B$8)^((Horizon_Rows+1-ROW())*E98+IF(INPUTS!$C$12="Beginning",1,0)))</f>
        <v/>
      </c>
      <c r="U98" s="7" t="str">
        <f t="shared" si="25"/>
        <v/>
      </c>
      <c r="V98" s="7" t="str">
        <f>IF(A98="","",(1+'WHAT-IF SCENARIOS'!$B$25)^((Horizon_Rows+1-ROW())*E98+IF(INPUTS!$C$12="Beginning",1,0)))</f>
        <v/>
      </c>
      <c r="W98" s="7" t="str">
        <f t="shared" si="26"/>
        <v/>
      </c>
      <c r="X98" s="7" t="str">
        <f>IF(A98="","",(1+'WHAT-IF SCENARIOS'!$B$27)^((Horizon_Rows+1-ROW())*E98+IF(INPUTS!$C$12="Beginning",1,0)))</f>
        <v/>
      </c>
      <c r="Y98" s="7" t="str">
        <f t="shared" si="27"/>
        <v/>
      </c>
      <c r="Z98" s="7" t="str">
        <f>IF(A98="","",IF(AND(A98&gt;='WHAT-IF SCENARIOS'!$B$41,A98&lt;'WHAT-IF SCENARIOS'!$B$41+'WHAT-IF SCENARIOS'!$B$42),0,D98))</f>
        <v/>
      </c>
      <c r="AA98" s="7" t="str">
        <f t="shared" si="28"/>
        <v/>
      </c>
      <c r="AB98" s="7" t="str">
        <f>IF(A98="","",IF(B98&gt;'WHAT-IF SCENARIOS'!$B$49,0,D98))</f>
        <v/>
      </c>
      <c r="AC98" s="7" t="str">
        <f t="shared" si="29"/>
        <v/>
      </c>
    </row>
    <row r="99" spans="1:29" ht="18" customHeight="1" x14ac:dyDescent="0.25">
      <c r="A99" s="7" t="str">
        <f>IF(ENGINE!A99="","",ENGINE!A99)</f>
        <v/>
      </c>
      <c r="B99" s="7" t="str">
        <f>IF(A99="","",ENGINE!B99)</f>
        <v/>
      </c>
      <c r="C99" s="7" t="str">
        <f>IF(A99="","",IF(A99=0,INPUTS!$C$8,J98))</f>
        <v/>
      </c>
      <c r="D99" s="7" t="str">
        <f>IF(A99="","",ENGINE!D99)</f>
        <v/>
      </c>
      <c r="E99" s="26" t="str">
        <f t="shared" si="15"/>
        <v/>
      </c>
      <c r="F99" s="26" t="str">
        <f t="shared" si="16"/>
        <v/>
      </c>
      <c r="G99" s="26" t="str">
        <f t="shared" si="17"/>
        <v/>
      </c>
      <c r="H99" s="28" t="str">
        <f t="shared" si="18"/>
        <v/>
      </c>
      <c r="I99" s="26" t="str">
        <f t="shared" si="19"/>
        <v/>
      </c>
      <c r="J99" s="26" t="str">
        <f>IF(A99="","",IF(G99=0,C99+D99,C99*H99+IF(INPUTS!$C$12="Beginning",F99*(1+G99)*(H99-1)/G99,F99*(H99-1)/G99)))</f>
        <v/>
      </c>
      <c r="K99" s="26" t="str">
        <f>IF(A99="","",SUM($D$2:D99))</f>
        <v/>
      </c>
      <c r="L99" s="7" t="str">
        <f>IF(A99="","",(1+G99)^((Horizon_Rows+1-ROW())*E99)*IF(INPUTS!$C$12="Beginning",1+G99,1))</f>
        <v/>
      </c>
      <c r="M99" s="7" t="str">
        <f t="shared" si="20"/>
        <v/>
      </c>
      <c r="N99" s="26" t="str">
        <f t="shared" si="21"/>
        <v/>
      </c>
      <c r="O99" s="26" t="str">
        <f t="shared" si="22"/>
        <v/>
      </c>
      <c r="P99" s="26" t="str">
        <f t="shared" si="23"/>
        <v/>
      </c>
      <c r="Q99" s="21" t="str">
        <f t="shared" si="24"/>
        <v/>
      </c>
      <c r="R99" s="7"/>
      <c r="S99" s="7"/>
      <c r="T99" s="7" t="str">
        <f>IF(A99="","",(1+'WHAT-IF SCENARIOS'!$B$8)^((Horizon_Rows+1-ROW())*E99+IF(INPUTS!$C$12="Beginning",1,0)))</f>
        <v/>
      </c>
      <c r="U99" s="7" t="str">
        <f t="shared" si="25"/>
        <v/>
      </c>
      <c r="V99" s="7" t="str">
        <f>IF(A99="","",(1+'WHAT-IF SCENARIOS'!$B$25)^((Horizon_Rows+1-ROW())*E99+IF(INPUTS!$C$12="Beginning",1,0)))</f>
        <v/>
      </c>
      <c r="W99" s="7" t="str">
        <f t="shared" si="26"/>
        <v/>
      </c>
      <c r="X99" s="7" t="str">
        <f>IF(A99="","",(1+'WHAT-IF SCENARIOS'!$B$27)^((Horizon_Rows+1-ROW())*E99+IF(INPUTS!$C$12="Beginning",1,0)))</f>
        <v/>
      </c>
      <c r="Y99" s="7" t="str">
        <f t="shared" si="27"/>
        <v/>
      </c>
      <c r="Z99" s="7" t="str">
        <f>IF(A99="","",IF(AND(A99&gt;='WHAT-IF SCENARIOS'!$B$41,A99&lt;'WHAT-IF SCENARIOS'!$B$41+'WHAT-IF SCENARIOS'!$B$42),0,D99))</f>
        <v/>
      </c>
      <c r="AA99" s="7" t="str">
        <f t="shared" si="28"/>
        <v/>
      </c>
      <c r="AB99" s="7" t="str">
        <f>IF(A99="","",IF(B99&gt;'WHAT-IF SCENARIOS'!$B$49,0,D99))</f>
        <v/>
      </c>
      <c r="AC99" s="7" t="str">
        <f t="shared" si="29"/>
        <v/>
      </c>
    </row>
    <row r="100" spans="1:29" ht="18" customHeight="1" x14ac:dyDescent="0.25">
      <c r="A100" s="7" t="str">
        <f>IF(ENGINE!A100="","",ENGINE!A100)</f>
        <v/>
      </c>
      <c r="B100" s="7" t="str">
        <f>IF(A100="","",ENGINE!B100)</f>
        <v/>
      </c>
      <c r="C100" s="7" t="str">
        <f>IF(A100="","",IF(A100=0,INPUTS!$C$8,J99))</f>
        <v/>
      </c>
      <c r="D100" s="7" t="str">
        <f>IF(A100="","",ENGINE!D100)</f>
        <v/>
      </c>
      <c r="E100" s="26" t="str">
        <f t="shared" si="15"/>
        <v/>
      </c>
      <c r="F100" s="26" t="str">
        <f t="shared" si="16"/>
        <v/>
      </c>
      <c r="G100" s="26" t="str">
        <f t="shared" si="17"/>
        <v/>
      </c>
      <c r="H100" s="28" t="str">
        <f t="shared" si="18"/>
        <v/>
      </c>
      <c r="I100" s="26" t="str">
        <f t="shared" si="19"/>
        <v/>
      </c>
      <c r="J100" s="26" t="str">
        <f>IF(A100="","",IF(G100=0,C100+D100,C100*H100+IF(INPUTS!$C$12="Beginning",F100*(1+G100)*(H100-1)/G100,F100*(H100-1)/G100)))</f>
        <v/>
      </c>
      <c r="K100" s="26" t="str">
        <f>IF(A100="","",SUM($D$2:D100))</f>
        <v/>
      </c>
      <c r="L100" s="7" t="str">
        <f>IF(A100="","",(1+G100)^((Horizon_Rows+1-ROW())*E100)*IF(INPUTS!$C$12="Beginning",1+G100,1))</f>
        <v/>
      </c>
      <c r="M100" s="7" t="str">
        <f t="shared" si="20"/>
        <v/>
      </c>
      <c r="N100" s="26" t="str">
        <f t="shared" si="21"/>
        <v/>
      </c>
      <c r="O100" s="26" t="str">
        <f t="shared" si="22"/>
        <v/>
      </c>
      <c r="P100" s="26" t="str">
        <f t="shared" si="23"/>
        <v/>
      </c>
      <c r="Q100" s="21" t="str">
        <f t="shared" si="24"/>
        <v/>
      </c>
      <c r="R100" s="7"/>
      <c r="S100" s="7"/>
      <c r="T100" s="7" t="str">
        <f>IF(A100="","",(1+'WHAT-IF SCENARIOS'!$B$8)^((Horizon_Rows+1-ROW())*E100+IF(INPUTS!$C$12="Beginning",1,0)))</f>
        <v/>
      </c>
      <c r="U100" s="7" t="str">
        <f t="shared" si="25"/>
        <v/>
      </c>
      <c r="V100" s="7" t="str">
        <f>IF(A100="","",(1+'WHAT-IF SCENARIOS'!$B$25)^((Horizon_Rows+1-ROW())*E100+IF(INPUTS!$C$12="Beginning",1,0)))</f>
        <v/>
      </c>
      <c r="W100" s="7" t="str">
        <f t="shared" si="26"/>
        <v/>
      </c>
      <c r="X100" s="7" t="str">
        <f>IF(A100="","",(1+'WHAT-IF SCENARIOS'!$B$27)^((Horizon_Rows+1-ROW())*E100+IF(INPUTS!$C$12="Beginning",1,0)))</f>
        <v/>
      </c>
      <c r="Y100" s="7" t="str">
        <f t="shared" si="27"/>
        <v/>
      </c>
      <c r="Z100" s="7" t="str">
        <f>IF(A100="","",IF(AND(A100&gt;='WHAT-IF SCENARIOS'!$B$41,A100&lt;'WHAT-IF SCENARIOS'!$B$41+'WHAT-IF SCENARIOS'!$B$42),0,D100))</f>
        <v/>
      </c>
      <c r="AA100" s="7" t="str">
        <f t="shared" si="28"/>
        <v/>
      </c>
      <c r="AB100" s="7" t="str">
        <f>IF(A100="","",IF(B100&gt;'WHAT-IF SCENARIOS'!$B$49,0,D100))</f>
        <v/>
      </c>
      <c r="AC100" s="7" t="str">
        <f t="shared" si="29"/>
        <v/>
      </c>
    </row>
    <row r="101" spans="1:29" ht="18" customHeight="1" x14ac:dyDescent="0.25">
      <c r="A101" s="7" t="str">
        <f>IF(ENGINE!A101="","",ENGINE!A101)</f>
        <v/>
      </c>
      <c r="B101" s="7" t="str">
        <f>IF(A101="","",ENGINE!B101)</f>
        <v/>
      </c>
      <c r="C101" s="7" t="str">
        <f>IF(A101="","",IF(A101=0,INPUTS!$C$8,J100))</f>
        <v/>
      </c>
      <c r="D101" s="7" t="str">
        <f>IF(A101="","",ENGINE!D101)</f>
        <v/>
      </c>
      <c r="E101" s="26" t="str">
        <f t="shared" si="15"/>
        <v/>
      </c>
      <c r="F101" s="26" t="str">
        <f t="shared" si="16"/>
        <v/>
      </c>
      <c r="G101" s="26" t="str">
        <f t="shared" si="17"/>
        <v/>
      </c>
      <c r="H101" s="28" t="str">
        <f t="shared" si="18"/>
        <v/>
      </c>
      <c r="I101" s="26" t="str">
        <f t="shared" si="19"/>
        <v/>
      </c>
      <c r="J101" s="26" t="str">
        <f>IF(A101="","",IF(G101=0,C101+D101,C101*H101+IF(INPUTS!$C$12="Beginning",F101*(1+G101)*(H101-1)/G101,F101*(H101-1)/G101)))</f>
        <v/>
      </c>
      <c r="K101" s="26" t="str">
        <f>IF(A101="","",SUM($D$2:D101))</f>
        <v/>
      </c>
      <c r="L101" s="7" t="str">
        <f>IF(A101="","",(1+G101)^((Horizon_Rows+1-ROW())*E101)*IF(INPUTS!$C$12="Beginning",1+G101,1))</f>
        <v/>
      </c>
      <c r="M101" s="7" t="str">
        <f t="shared" si="20"/>
        <v/>
      </c>
      <c r="N101" s="26" t="str">
        <f t="shared" si="21"/>
        <v/>
      </c>
      <c r="O101" s="26" t="str">
        <f t="shared" si="22"/>
        <v/>
      </c>
      <c r="P101" s="26" t="str">
        <f t="shared" si="23"/>
        <v/>
      </c>
      <c r="Q101" s="21" t="str">
        <f t="shared" si="24"/>
        <v/>
      </c>
      <c r="R101" s="7"/>
      <c r="S101" s="7"/>
      <c r="T101" s="7" t="str">
        <f>IF(A101="","",(1+'WHAT-IF SCENARIOS'!$B$8)^((Horizon_Rows+1-ROW())*E101+IF(INPUTS!$C$12="Beginning",1,0)))</f>
        <v/>
      </c>
      <c r="U101" s="7" t="str">
        <f t="shared" si="25"/>
        <v/>
      </c>
      <c r="V101" s="7" t="str">
        <f>IF(A101="","",(1+'WHAT-IF SCENARIOS'!$B$25)^((Horizon_Rows+1-ROW())*E101+IF(INPUTS!$C$12="Beginning",1,0)))</f>
        <v/>
      </c>
      <c r="W101" s="7" t="str">
        <f t="shared" si="26"/>
        <v/>
      </c>
      <c r="X101" s="7" t="str">
        <f>IF(A101="","",(1+'WHAT-IF SCENARIOS'!$B$27)^((Horizon_Rows+1-ROW())*E101+IF(INPUTS!$C$12="Beginning",1,0)))</f>
        <v/>
      </c>
      <c r="Y101" s="7" t="str">
        <f t="shared" si="27"/>
        <v/>
      </c>
      <c r="Z101" s="7" t="str">
        <f>IF(A101="","",IF(AND(A101&gt;='WHAT-IF SCENARIOS'!$B$41,A101&lt;'WHAT-IF SCENARIOS'!$B$41+'WHAT-IF SCENARIOS'!$B$42),0,D101))</f>
        <v/>
      </c>
      <c r="AA101" s="7" t="str">
        <f t="shared" si="28"/>
        <v/>
      </c>
      <c r="AB101" s="7" t="str">
        <f>IF(A101="","",IF(B101&gt;'WHAT-IF SCENARIOS'!$B$49,0,D101))</f>
        <v/>
      </c>
      <c r="AC101" s="7" t="str">
        <f t="shared" si="29"/>
        <v/>
      </c>
    </row>
    <row r="102" spans="1:29" ht="18" customHeight="1" x14ac:dyDescent="0.25">
      <c r="A102" s="7" t="str">
        <f>IF(ENGINE!A102="","",ENGINE!A102)</f>
        <v/>
      </c>
      <c r="B102" s="7" t="str">
        <f>IF(A102="","",ENGINE!B102)</f>
        <v/>
      </c>
      <c r="C102" s="7" t="str">
        <f>IF(A102="","",IF(A102=0,INPUTS!$C$8,J101))</f>
        <v/>
      </c>
      <c r="D102" s="7" t="str">
        <f>IF(A102="","",ENGINE!D102)</f>
        <v/>
      </c>
      <c r="E102" s="26" t="str">
        <f t="shared" si="15"/>
        <v/>
      </c>
      <c r="F102" s="26" t="str">
        <f t="shared" si="16"/>
        <v/>
      </c>
      <c r="G102" s="26" t="str">
        <f t="shared" si="17"/>
        <v/>
      </c>
      <c r="H102" s="28" t="str">
        <f t="shared" si="18"/>
        <v/>
      </c>
      <c r="I102" s="26" t="str">
        <f t="shared" si="19"/>
        <v/>
      </c>
      <c r="J102" s="26" t="str">
        <f>IF(A102="","",IF(G102=0,C102+D102,C102*H102+IF(INPUTS!$C$12="Beginning",F102*(1+G102)*(H102-1)/G102,F102*(H102-1)/G102)))</f>
        <v/>
      </c>
      <c r="K102" s="26" t="str">
        <f>IF(A102="","",SUM($D$2:D102))</f>
        <v/>
      </c>
      <c r="L102" s="7" t="str">
        <f>IF(A102="","",(1+G102)^((Horizon_Rows+1-ROW())*E102)*IF(INPUTS!$C$12="Beginning",1+G102,1))</f>
        <v/>
      </c>
      <c r="M102" s="7" t="str">
        <f t="shared" si="20"/>
        <v/>
      </c>
      <c r="N102" s="26" t="str">
        <f t="shared" si="21"/>
        <v/>
      </c>
      <c r="O102" s="26" t="str">
        <f t="shared" si="22"/>
        <v/>
      </c>
      <c r="P102" s="26" t="str">
        <f t="shared" si="23"/>
        <v/>
      </c>
      <c r="Q102" s="21" t="str">
        <f t="shared" si="24"/>
        <v/>
      </c>
      <c r="R102" s="7"/>
      <c r="S102" s="7"/>
      <c r="T102" s="7" t="str">
        <f>IF(A102="","",(1+'WHAT-IF SCENARIOS'!$B$8)^((Horizon_Rows+1-ROW())*E102+IF(INPUTS!$C$12="Beginning",1,0)))</f>
        <v/>
      </c>
      <c r="U102" s="7" t="str">
        <f t="shared" si="25"/>
        <v/>
      </c>
      <c r="V102" s="7" t="str">
        <f>IF(A102="","",(1+'WHAT-IF SCENARIOS'!$B$25)^((Horizon_Rows+1-ROW())*E102+IF(INPUTS!$C$12="Beginning",1,0)))</f>
        <v/>
      </c>
      <c r="W102" s="7" t="str">
        <f t="shared" si="26"/>
        <v/>
      </c>
      <c r="X102" s="7" t="str">
        <f>IF(A102="","",(1+'WHAT-IF SCENARIOS'!$B$27)^((Horizon_Rows+1-ROW())*E102+IF(INPUTS!$C$12="Beginning",1,0)))</f>
        <v/>
      </c>
      <c r="Y102" s="7" t="str">
        <f t="shared" si="27"/>
        <v/>
      </c>
      <c r="Z102" s="7" t="str">
        <f>IF(A102="","",IF(AND(A102&gt;='WHAT-IF SCENARIOS'!$B$41,A102&lt;'WHAT-IF SCENARIOS'!$B$41+'WHAT-IF SCENARIOS'!$B$42),0,D102))</f>
        <v/>
      </c>
      <c r="AA102" s="7" t="str">
        <f t="shared" si="28"/>
        <v/>
      </c>
      <c r="AB102" s="7" t="str">
        <f>IF(A102="","",IF(B102&gt;'WHAT-IF SCENARIOS'!$B$49,0,D102))</f>
        <v/>
      </c>
      <c r="AC102" s="7" t="str">
        <f t="shared" si="29"/>
        <v/>
      </c>
    </row>
  </sheetData>
  <mergeCells count="1">
    <mergeCell ref="R1:S1"/>
  </mergeCells>
  <conditionalFormatting sqref="P2:P102">
    <cfRule type="cellIs" dxfId="5" priority="1" operator="between">
      <formula>-0.01</formula>
      <formula>0.01</formula>
    </cfRule>
    <cfRule type="cellIs" dxfId="4" priority="2" operator="lessThan">
      <formula>-0.01</formula>
    </cfRule>
    <cfRule type="cellIs" dxfId="3" priority="3" operator="greaterThan">
      <formula>0.01</formula>
    </cfRule>
  </conditionalFormatting>
  <conditionalFormatting sqref="S10">
    <cfRule type="cellIs" dxfId="2" priority="4" operator="between">
      <formula>-0.01</formula>
      <formula>0.01</formula>
    </cfRule>
    <cfRule type="cellIs" dxfId="1" priority="5" operator="lessThan">
      <formula>-0.01</formula>
    </cfRule>
    <cfRule type="cellIs" dxfId="0" priority="6" operator="greaterThan">
      <formula>0.01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3661-FBC6-4171-8EC0-17D1BC00821D}">
  <sheetPr>
    <tabColor rgb="FFA24200"/>
  </sheetPr>
  <dimension ref="A1:AZ102"/>
  <sheetViews>
    <sheetView topLeftCell="F1" workbookViewId="0">
      <pane ySplit="1" topLeftCell="A2" activePane="bottomLeft" state="frozen"/>
      <selection activeCell="F1" sqref="F1"/>
      <selection pane="bottomLeft" activeCell="M1" sqref="M1:M1048576"/>
    </sheetView>
  </sheetViews>
  <sheetFormatPr defaultRowHeight="12.75" x14ac:dyDescent="0.2"/>
  <cols>
    <col min="1" max="1" width="4.5703125" bestFit="1" customWidth="1"/>
    <col min="2" max="2" width="20.85546875" bestFit="1" customWidth="1"/>
    <col min="3" max="3" width="17" bestFit="1" customWidth="1"/>
    <col min="5" max="5" width="14.5703125" bestFit="1" customWidth="1"/>
    <col min="6" max="6" width="25.7109375" bestFit="1" customWidth="1"/>
    <col min="8" max="8" width="4.5703125" bestFit="1" customWidth="1"/>
    <col min="9" max="9" width="20.85546875" bestFit="1" customWidth="1"/>
    <col min="10" max="10" width="18.85546875" bestFit="1" customWidth="1"/>
    <col min="11" max="12" width="20.5703125" bestFit="1" customWidth="1"/>
    <col min="13" max="13" width="22.140625" bestFit="1" customWidth="1"/>
    <col min="14" max="14" width="4.5703125" bestFit="1" customWidth="1"/>
    <col min="15" max="15" width="24.28515625" bestFit="1" customWidth="1"/>
    <col min="16" max="16" width="25.28515625" bestFit="1" customWidth="1"/>
    <col min="18" max="18" width="14.5703125" bestFit="1" customWidth="1"/>
    <col min="19" max="19" width="18.42578125" bestFit="1" customWidth="1"/>
    <col min="20" max="20" width="20.42578125" bestFit="1" customWidth="1"/>
    <col min="21" max="21" width="12.5703125" bestFit="1" customWidth="1"/>
    <col min="22" max="22" width="26.140625" bestFit="1" customWidth="1"/>
    <col min="24" max="24" width="34.28515625" bestFit="1" customWidth="1"/>
    <col min="25" max="25" width="12" bestFit="1" customWidth="1"/>
    <col min="27" max="27" width="19.140625" bestFit="1" customWidth="1"/>
    <col min="28" max="28" width="16.7109375" bestFit="1" customWidth="1"/>
    <col min="29" max="29" width="18.28515625" bestFit="1" customWidth="1"/>
    <col min="30" max="30" width="19.7109375" bestFit="1" customWidth="1"/>
    <col min="31" max="31" width="14.140625" bestFit="1" customWidth="1"/>
    <col min="33" max="33" width="19.140625" bestFit="1" customWidth="1"/>
    <col min="34" max="34" width="16.7109375" bestFit="1" customWidth="1"/>
    <col min="35" max="35" width="18.28515625" bestFit="1" customWidth="1"/>
    <col min="36" max="36" width="19.7109375" bestFit="1" customWidth="1"/>
    <col min="37" max="37" width="14.140625" bestFit="1" customWidth="1"/>
    <col min="39" max="39" width="19.140625" bestFit="1" customWidth="1"/>
    <col min="40" max="40" width="16.7109375" bestFit="1" customWidth="1"/>
    <col min="41" max="41" width="18.28515625" bestFit="1" customWidth="1"/>
    <col min="42" max="42" width="19.7109375" bestFit="1" customWidth="1"/>
    <col min="43" max="43" width="14.140625" bestFit="1" customWidth="1"/>
    <col min="44" max="44" width="15.5703125" bestFit="1" customWidth="1"/>
    <col min="45" max="45" width="18.140625" bestFit="1" customWidth="1"/>
    <col min="46" max="46" width="19.7109375" bestFit="1" customWidth="1"/>
    <col min="47" max="47" width="12.28515625" bestFit="1" customWidth="1"/>
    <col min="48" max="48" width="16.7109375" bestFit="1" customWidth="1"/>
    <col min="49" max="49" width="34.7109375" bestFit="1" customWidth="1"/>
    <col min="51" max="52" width="13.28515625" bestFit="1" customWidth="1"/>
  </cols>
  <sheetData>
    <row r="1" spans="1:52" ht="14.25" x14ac:dyDescent="0.25">
      <c r="A1" s="5" t="s">
        <v>1</v>
      </c>
      <c r="B1" s="5" t="s">
        <v>220</v>
      </c>
      <c r="C1" s="5" t="s">
        <v>221</v>
      </c>
      <c r="D1" s="5"/>
      <c r="E1" s="5" t="s">
        <v>218</v>
      </c>
      <c r="F1" s="5" t="s">
        <v>222</v>
      </c>
      <c r="G1" s="5"/>
      <c r="H1" s="5" t="s">
        <v>1</v>
      </c>
      <c r="I1" s="5" t="s">
        <v>220</v>
      </c>
      <c r="J1" s="5" t="s">
        <v>223</v>
      </c>
      <c r="K1" s="5" t="s">
        <v>224</v>
      </c>
      <c r="L1" s="5" t="s">
        <v>225</v>
      </c>
      <c r="M1" s="31" t="s">
        <v>321</v>
      </c>
      <c r="N1" s="5" t="s">
        <v>1</v>
      </c>
      <c r="O1" s="5" t="s">
        <v>227</v>
      </c>
      <c r="P1" s="5" t="s">
        <v>228</v>
      </c>
      <c r="Q1" s="5"/>
      <c r="R1" s="5" t="s">
        <v>218</v>
      </c>
      <c r="S1" s="5" t="s">
        <v>182</v>
      </c>
      <c r="T1" s="5" t="s">
        <v>244</v>
      </c>
      <c r="U1" s="5" t="s">
        <v>192</v>
      </c>
      <c r="V1" s="5" t="s">
        <v>219</v>
      </c>
      <c r="W1" s="5"/>
      <c r="X1" s="5" t="s">
        <v>257</v>
      </c>
      <c r="Y1" s="5" t="s">
        <v>258</v>
      </c>
      <c r="Z1" s="5"/>
      <c r="AA1" s="5"/>
      <c r="AB1" s="31"/>
      <c r="AC1" s="31"/>
      <c r="AD1" s="31"/>
      <c r="AE1" s="31"/>
      <c r="AF1" s="31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 t="s">
        <v>335</v>
      </c>
      <c r="AS1" s="5" t="str">
        <f>X2</f>
        <v>Federal income tax</v>
      </c>
      <c r="AT1" s="5" t="str">
        <f>X3</f>
        <v>Flat state income tax</v>
      </c>
      <c r="AU1" s="5" t="str">
        <f>X4</f>
        <v>Payroll taxes</v>
      </c>
      <c r="AV1" s="5" t="str">
        <f>X5</f>
        <v>IRA contributions</v>
      </c>
      <c r="AW1" s="5" t="str">
        <f>X6</f>
        <v>Remaining income (after tax &amp; Roth)</v>
      </c>
      <c r="AX1" s="5"/>
      <c r="AY1" s="5" t="s">
        <v>336</v>
      </c>
      <c r="AZ1" s="5" t="s">
        <v>337</v>
      </c>
    </row>
    <row r="2" spans="1:52" ht="18" customHeight="1" x14ac:dyDescent="0.25">
      <c r="A2" s="7">
        <f>IF(ENGINE!A2="","",ENGINE!B2)</f>
        <v>22</v>
      </c>
      <c r="B2" s="7">
        <f>IF(ENGINE!A2="","",INDEX('PERIODIC ENGINE'!$J$2:$J$102,MATCH(ENGINE!A2,'PERIODIC ENGINE'!$A$2:$A$102,0)))</f>
        <v>8250</v>
      </c>
      <c r="C2" s="7">
        <f>IF(B2="","",B2/(1+INPUTS!$C$11)^ENGINE!A2)</f>
        <v>8250</v>
      </c>
      <c r="D2" s="7"/>
      <c r="E2" s="7">
        <f>IF(ENGINE!A2="","",ENGINE!A2)</f>
        <v>0</v>
      </c>
      <c r="F2" s="7">
        <f>IF(ENGINE!A2="","",ENGINE!AI2-ENGINE!D2)</f>
        <v>50575</v>
      </c>
      <c r="G2" s="7"/>
      <c r="H2" s="7">
        <f>IF(ENGINE!A2="","",ENGINE!B2)</f>
        <v>22</v>
      </c>
      <c r="I2" s="7">
        <f>IF(ENGINE!A2="","",INDEX('PERIODIC ENGINE'!$J$2:$J$102,MATCH(ENGINE!A2,'PERIODIC ENGINE'!$A$2:$A$102,0)))</f>
        <v>8250</v>
      </c>
      <c r="J2" s="7">
        <f>IF(ENGINE!A2="","",500000)</f>
        <v>500000</v>
      </c>
      <c r="K2" s="7">
        <f>IF(ENGINE!A2="","",1000000)</f>
        <v>1000000</v>
      </c>
      <c r="L2" s="7">
        <f>IF(ENGINE!A2="","",2000000)</f>
        <v>2000000</v>
      </c>
      <c r="M2" s="32" t="str">
        <f>"PERIODIC ENGINE"</f>
        <v>PERIODIC ENGINE</v>
      </c>
      <c r="N2" s="7">
        <f>IF(ENGINE!A2="","",ENGINE!B2)</f>
        <v>22</v>
      </c>
      <c r="O2" s="7">
        <f>IF(ENGINE!A2="","",ENGINE!D2)</f>
        <v>7500</v>
      </c>
      <c r="P2" s="7">
        <f>IF(ENGINE!A2="","",ENGINE!K2)</f>
        <v>750</v>
      </c>
      <c r="Q2" s="7"/>
      <c r="R2" s="7">
        <f>IF(ENGINE!A2="","",ENGINE!A2)</f>
        <v>0</v>
      </c>
      <c r="S2" s="7">
        <f>IF(ENGINE!A2="","",ENGINE!AC2)</f>
        <v>6570</v>
      </c>
      <c r="T2" s="7">
        <f>IF(ENGINE!A2="","",ENGINE!AD2)</f>
        <v>0</v>
      </c>
      <c r="U2" s="7">
        <f>IF(ENGINE!A2="","",ENGINE!AG2)</f>
        <v>5355</v>
      </c>
      <c r="V2" s="7">
        <f>IF(ENGINE!A2="","",ENGINE!AI2)</f>
        <v>58075</v>
      </c>
      <c r="W2" s="7"/>
      <c r="X2" s="7" t="s">
        <v>250</v>
      </c>
      <c r="Y2" s="7">
        <f>SUM(ENGINE!AC2:AC102)</f>
        <v>288998.74631938792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>
        <f>Y2</f>
        <v>288998.74631938792</v>
      </c>
      <c r="AT2" s="7">
        <f>Y3</f>
        <v>0</v>
      </c>
      <c r="AU2" s="7">
        <f>Y4</f>
        <v>622072.03369739396</v>
      </c>
      <c r="AV2" s="7">
        <f>Y5</f>
        <v>1630400</v>
      </c>
      <c r="AW2" s="7">
        <f>Y6</f>
        <v>5546472.9576499537</v>
      </c>
      <c r="AX2" s="7"/>
      <c r="AY2" s="22">
        <f>INPUTS!$C$7-INPUTS!$C$6</f>
        <v>43</v>
      </c>
      <c r="AZ2" s="22">
        <f>AY2+1</f>
        <v>44</v>
      </c>
    </row>
    <row r="3" spans="1:52" ht="18" customHeight="1" x14ac:dyDescent="0.25">
      <c r="A3" s="7">
        <f>IF(ENGINE!A3="","",ENGINE!B3)</f>
        <v>23</v>
      </c>
      <c r="B3" s="7">
        <f>IF(ENGINE!A3="","",INDEX('PERIODIC ENGINE'!$J$2:$J$102,MATCH(ENGINE!A3,'PERIODIC ENGINE'!$A$2:$A$102,0)))</f>
        <v>17325</v>
      </c>
      <c r="C3" s="7">
        <f>IF(B3="","",B3/(1+INPUTS!$C$11)^ENGINE!A3)</f>
        <v>16344.339622641508</v>
      </c>
      <c r="D3" s="7"/>
      <c r="E3" s="7">
        <f>IF(ENGINE!A3="","",ENGINE!A3)</f>
        <v>1</v>
      </c>
      <c r="F3" s="7">
        <f>IF(ENGINE!A3="","",ENGINE!AI3-ENGINE!D3)</f>
        <v>54105.224999999999</v>
      </c>
      <c r="G3" s="7"/>
      <c r="H3" s="7">
        <f>IF(ENGINE!A3="","",ENGINE!B3)</f>
        <v>23</v>
      </c>
      <c r="I3" s="7">
        <f>IF(ENGINE!A3="","",INDEX('PERIODIC ENGINE'!$J$2:$J$102,MATCH(ENGINE!A3,'PERIODIC ENGINE'!$A$2:$A$102,0)))</f>
        <v>17325</v>
      </c>
      <c r="J3" s="7">
        <f>IF(ENGINE!A3="","",500000)</f>
        <v>500000</v>
      </c>
      <c r="K3" s="7">
        <f>IF(ENGINE!A3="","",1000000)</f>
        <v>1000000</v>
      </c>
      <c r="L3" s="7">
        <f>IF(ENGINE!A3="","",2000000)</f>
        <v>2000000</v>
      </c>
      <c r="M3" s="7"/>
      <c r="N3" s="7">
        <f>IF(ENGINE!A3="","",ENGINE!B3)</f>
        <v>23</v>
      </c>
      <c r="O3" s="7">
        <f>IF(ENGINE!A3="","",ENGINE!D3)</f>
        <v>7500</v>
      </c>
      <c r="P3" s="7">
        <f>IF(ENGINE!A3="","",ENGINE!K3)</f>
        <v>1575</v>
      </c>
      <c r="Q3" s="7"/>
      <c r="R3" s="7">
        <f>IF(ENGINE!A3="","",ENGINE!A3)</f>
        <v>1</v>
      </c>
      <c r="S3" s="7">
        <f>IF(ENGINE!A3="","",ENGINE!AC3)</f>
        <v>7057</v>
      </c>
      <c r="T3" s="7">
        <f>IF(ENGINE!A3="","",ENGINE!AD3)</f>
        <v>0</v>
      </c>
      <c r="U3" s="7">
        <f>IF(ENGINE!A3="","",ENGINE!AG3)</f>
        <v>5687.7749999999996</v>
      </c>
      <c r="V3" s="7">
        <f>IF(ENGINE!A3="","",ENGINE!AI3)</f>
        <v>61605.224999999999</v>
      </c>
      <c r="W3" s="7"/>
      <c r="X3" s="7" t="s">
        <v>251</v>
      </c>
      <c r="Y3" s="7">
        <f>SUM(ENGINE!AD2:AD102)</f>
        <v>0</v>
      </c>
      <c r="Z3" s="7"/>
      <c r="AA3" s="7" t="s">
        <v>330</v>
      </c>
      <c r="AB3" s="30">
        <v>0.08</v>
      </c>
      <c r="AC3" s="7"/>
      <c r="AD3" s="7"/>
      <c r="AE3" s="7"/>
      <c r="AF3" s="7"/>
      <c r="AG3" s="7" t="s">
        <v>330</v>
      </c>
      <c r="AH3" s="30">
        <v>9.5000000000000001E-2</v>
      </c>
      <c r="AI3" s="7"/>
      <c r="AJ3" s="7"/>
      <c r="AK3" s="7"/>
      <c r="AL3" s="7"/>
      <c r="AM3" s="7" t="s">
        <v>330</v>
      </c>
      <c r="AN3" s="30">
        <v>0.11</v>
      </c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ht="18" customHeight="1" x14ac:dyDescent="0.25">
      <c r="A4" s="7">
        <f>IF(ENGINE!A4="","",ENGINE!B4)</f>
        <v>24</v>
      </c>
      <c r="B4" s="7">
        <f>IF(ENGINE!A4="","",INDEX('PERIODIC ENGINE'!$J$2:$J$102,MATCH(ENGINE!A4,'PERIODIC ENGINE'!$A$2:$A$102,0)))</f>
        <v>27857.5</v>
      </c>
      <c r="C4" s="7">
        <f>IF(B4="","",B4/(1+INPUTS!$C$11)^ENGINE!A4)</f>
        <v>24793.075827696684</v>
      </c>
      <c r="D4" s="7"/>
      <c r="E4" s="7">
        <f>IF(ENGINE!A4="","",ENGINE!A4)</f>
        <v>2</v>
      </c>
      <c r="F4" s="7">
        <f>IF(ENGINE!A4="","",ENGINE!AI4-ENGINE!D4)</f>
        <v>57254.25675</v>
      </c>
      <c r="G4" s="7"/>
      <c r="H4" s="7">
        <f>IF(ENGINE!A4="","",ENGINE!B4)</f>
        <v>24</v>
      </c>
      <c r="I4" s="7">
        <f>IF(ENGINE!A4="","",INDEX('PERIODIC ENGINE'!$J$2:$J$102,MATCH(ENGINE!A4,'PERIODIC ENGINE'!$A$2:$A$102,0)))</f>
        <v>27857.5</v>
      </c>
      <c r="J4" s="7">
        <f>IF(ENGINE!A4="","",500000)</f>
        <v>500000</v>
      </c>
      <c r="K4" s="7">
        <f>IF(ENGINE!A4="","",1000000)</f>
        <v>1000000</v>
      </c>
      <c r="L4" s="7">
        <f>IF(ENGINE!A4="","",2000000)</f>
        <v>2000000</v>
      </c>
      <c r="M4" s="7"/>
      <c r="N4" s="7">
        <f>IF(ENGINE!A4="","",ENGINE!B4)</f>
        <v>24</v>
      </c>
      <c r="O4" s="7">
        <f>IF(ENGINE!A4="","",ENGINE!D4)</f>
        <v>8000</v>
      </c>
      <c r="P4" s="7">
        <f>IF(ENGINE!A4="","",ENGINE!K4)</f>
        <v>2532.5</v>
      </c>
      <c r="Q4" s="7"/>
      <c r="R4" s="7">
        <f>IF(ENGINE!A4="","",ENGINE!A4)</f>
        <v>2</v>
      </c>
      <c r="S4" s="7">
        <f>IF(ENGINE!A4="","",ENGINE!AC4)</f>
        <v>7545.71</v>
      </c>
      <c r="T4" s="7">
        <f>IF(ENGINE!A4="","",ENGINE!AD4)</f>
        <v>0</v>
      </c>
      <c r="U4" s="7">
        <f>IF(ENGINE!A4="","",ENGINE!AG4)</f>
        <v>6030.5332500000004</v>
      </c>
      <c r="V4" s="7">
        <f>IF(ENGINE!A4="","",ENGINE!AI4)</f>
        <v>65254.25675</v>
      </c>
      <c r="W4" s="7"/>
      <c r="X4" s="7" t="s">
        <v>252</v>
      </c>
      <c r="Y4" s="7">
        <f>SUM(ENGINE!AG2:AG102)</f>
        <v>622072.03369739396</v>
      </c>
      <c r="Z4" s="7"/>
      <c r="AA4" s="7" t="s">
        <v>331</v>
      </c>
      <c r="AB4" s="28">
        <f>(1+AB3)^(1/'PERIODIC ENGINE'!$S$3)-1</f>
        <v>8.0000000000000071E-2</v>
      </c>
      <c r="AC4" s="7"/>
      <c r="AD4" s="7"/>
      <c r="AE4" s="7"/>
      <c r="AF4" s="7"/>
      <c r="AG4" s="7" t="s">
        <v>331</v>
      </c>
      <c r="AH4" s="28">
        <f>(1+AH3)^(1/'PERIODIC ENGINE'!$S$3)-1</f>
        <v>9.4999999999999973E-2</v>
      </c>
      <c r="AI4" s="7"/>
      <c r="AJ4" s="7"/>
      <c r="AK4" s="7"/>
      <c r="AL4" s="7"/>
      <c r="AM4" s="7" t="s">
        <v>331</v>
      </c>
      <c r="AN4" s="28">
        <f>(1+AN3)^(1/'PERIODIC ENGINE'!$S$3)-1</f>
        <v>0.1100000000000001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ht="18" customHeight="1" x14ac:dyDescent="0.25">
      <c r="A5" s="7">
        <f>IF(ENGINE!A5="","",ENGINE!B5)</f>
        <v>25</v>
      </c>
      <c r="B5" s="7">
        <f>IF(ENGINE!A5="","",INDEX('PERIODIC ENGINE'!$J$2:$J$102,MATCH(ENGINE!A5,'PERIODIC ENGINE'!$A$2:$A$102,0)))</f>
        <v>39993.25</v>
      </c>
      <c r="C5" s="7">
        <f>IF(B5="","",B5/(1+INPUTS!$C$11)^ENGINE!A5)</f>
        <v>33579.103891131599</v>
      </c>
      <c r="D5" s="7"/>
      <c r="E5" s="7">
        <f>IF(ENGINE!A5="","",ENGINE!A5)</f>
        <v>3</v>
      </c>
      <c r="F5" s="7">
        <f>IF(ENGINE!A5="","",ENGINE!AI5-ENGINE!D5)</f>
        <v>60540.849452499999</v>
      </c>
      <c r="G5" s="7"/>
      <c r="H5" s="7">
        <f>IF(ENGINE!A5="","",ENGINE!B5)</f>
        <v>25</v>
      </c>
      <c r="I5" s="7">
        <f>IF(ENGINE!A5="","",INDEX('PERIODIC ENGINE'!$J$2:$J$102,MATCH(ENGINE!A5,'PERIODIC ENGINE'!$A$2:$A$102,0)))</f>
        <v>39993.25</v>
      </c>
      <c r="J5" s="7">
        <f>IF(ENGINE!A5="","",500000)</f>
        <v>500000</v>
      </c>
      <c r="K5" s="7">
        <f>IF(ENGINE!A5="","",1000000)</f>
        <v>1000000</v>
      </c>
      <c r="L5" s="7">
        <f>IF(ENGINE!A5="","",2000000)</f>
        <v>2000000</v>
      </c>
      <c r="M5" s="7"/>
      <c r="N5" s="7">
        <f>IF(ENGINE!A5="","",ENGINE!B5)</f>
        <v>25</v>
      </c>
      <c r="O5" s="7">
        <f>IF(ENGINE!A5="","",ENGINE!D5)</f>
        <v>8500</v>
      </c>
      <c r="P5" s="7">
        <f>IF(ENGINE!A5="","",ENGINE!K5)</f>
        <v>3635.75</v>
      </c>
      <c r="Q5" s="7"/>
      <c r="R5" s="7">
        <f>IF(ENGINE!A5="","",ENGINE!A5)</f>
        <v>3</v>
      </c>
      <c r="S5" s="7">
        <f>IF(ENGINE!A5="","",ENGINE!AC5)</f>
        <v>8020.9913000000015</v>
      </c>
      <c r="T5" s="7">
        <f>IF(ENGINE!A5="","",ENGINE!AD5)</f>
        <v>0</v>
      </c>
      <c r="U5" s="7">
        <f>IF(ENGINE!A5="","",ENGINE!AG5)</f>
        <v>6383.5742475000006</v>
      </c>
      <c r="V5" s="7">
        <f>IF(ENGINE!A5="","",ENGINE!AI5)</f>
        <v>69040.849452499999</v>
      </c>
      <c r="W5" s="7"/>
      <c r="X5" s="7" t="s">
        <v>447</v>
      </c>
      <c r="Y5" s="7" cm="1">
        <f t="array" ref="Y5">LOOKUP(2,1/(ENGINE!O2:O102&lt;&gt;""),ENGINE!O2:O102)</f>
        <v>1630400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ht="18" customHeight="1" x14ac:dyDescent="0.25">
      <c r="A6" s="7">
        <f>IF(ENGINE!A6="","",ENGINE!B6)</f>
        <v>26</v>
      </c>
      <c r="B6" s="7">
        <f>IF(ENGINE!A6="","",INDEX('PERIODIC ENGINE'!$J$2:$J$102,MATCH(ENGINE!A6,'PERIODIC ENGINE'!$A$2:$A$102,0)))</f>
        <v>53892.575000000004</v>
      </c>
      <c r="C6" s="7">
        <f>IF(B6="","",B6/(1+INPUTS!$C$11)^ENGINE!A6)</f>
        <v>42687.967153079764</v>
      </c>
      <c r="D6" s="7"/>
      <c r="E6" s="7">
        <f>IF(ENGINE!A6="","",ENGINE!A6)</f>
        <v>4</v>
      </c>
      <c r="F6" s="7">
        <f>IF(ENGINE!A6="","",ENGINE!AI6-ENGINE!D6)</f>
        <v>74493.339936075005</v>
      </c>
      <c r="G6" s="7"/>
      <c r="H6" s="7">
        <f>IF(ENGINE!A6="","",ENGINE!B6)</f>
        <v>26</v>
      </c>
      <c r="I6" s="7">
        <f>IF(ENGINE!A6="","",INDEX('PERIODIC ENGINE'!$J$2:$J$102,MATCH(ENGINE!A6,'PERIODIC ENGINE'!$A$2:$A$102,0)))</f>
        <v>53892.575000000004</v>
      </c>
      <c r="J6" s="7">
        <f>IF(ENGINE!A6="","",500000)</f>
        <v>500000</v>
      </c>
      <c r="K6" s="7">
        <f>IF(ENGINE!A6="","",1000000)</f>
        <v>1000000</v>
      </c>
      <c r="L6" s="7">
        <f>IF(ENGINE!A6="","",2000000)</f>
        <v>2000000</v>
      </c>
      <c r="M6" s="7"/>
      <c r="N6" s="7">
        <f>IF(ENGINE!A6="","",ENGINE!B6)</f>
        <v>26</v>
      </c>
      <c r="O6" s="7">
        <f>IF(ENGINE!A6="","",ENGINE!D6)</f>
        <v>9000</v>
      </c>
      <c r="P6" s="7">
        <f>IF(ENGINE!A6="","",ENGINE!K6)</f>
        <v>4899.3249999999998</v>
      </c>
      <c r="Q6" s="7"/>
      <c r="R6" s="7">
        <f>IF(ENGINE!A6="","",ENGINE!A6)</f>
        <v>4</v>
      </c>
      <c r="S6" s="7">
        <f>IF(ENGINE!A6="","",ENGINE!AC6)</f>
        <v>11810.731039000002</v>
      </c>
      <c r="T6" s="7">
        <f>IF(ENGINE!A6="","",ENGINE!AD6)</f>
        <v>0</v>
      </c>
      <c r="U6" s="7">
        <f>IF(ENGINE!A6="","",ENGINE!AG6)</f>
        <v>7894.7064749250012</v>
      </c>
      <c r="V6" s="7">
        <f>IF(ENGINE!A6="","",ENGINE!AI6)</f>
        <v>83493.339936075005</v>
      </c>
      <c r="W6" s="7"/>
      <c r="X6" s="7" t="s">
        <v>334</v>
      </c>
      <c r="Y6" s="7">
        <f>'OUTPUT - SUMMARY'!B26-Y2-Y3-Y4-Y5</f>
        <v>5546472.9576499537</v>
      </c>
      <c r="Z6" s="7"/>
      <c r="AA6" s="7" t="s">
        <v>16</v>
      </c>
      <c r="AB6" s="7" t="s">
        <v>74</v>
      </c>
      <c r="AC6" s="7" t="s">
        <v>332</v>
      </c>
      <c r="AD6" s="7" t="s">
        <v>319</v>
      </c>
      <c r="AE6" s="7" t="s">
        <v>76</v>
      </c>
      <c r="AF6" s="7"/>
      <c r="AG6" s="7" t="s">
        <v>16</v>
      </c>
      <c r="AH6" s="7" t="s">
        <v>74</v>
      </c>
      <c r="AI6" s="7" t="s">
        <v>332</v>
      </c>
      <c r="AJ6" s="7" t="s">
        <v>319</v>
      </c>
      <c r="AK6" s="7" t="s">
        <v>76</v>
      </c>
      <c r="AL6" s="7"/>
      <c r="AM6" s="7" t="s">
        <v>16</v>
      </c>
      <c r="AN6" s="7" t="s">
        <v>74</v>
      </c>
      <c r="AO6" s="7" t="s">
        <v>332</v>
      </c>
      <c r="AP6" s="7" t="s">
        <v>319</v>
      </c>
      <c r="AQ6" s="7" t="s">
        <v>76</v>
      </c>
      <c r="AR6" s="7"/>
      <c r="AS6" s="7"/>
      <c r="AT6" s="7"/>
      <c r="AU6" s="7"/>
      <c r="AV6" s="7"/>
      <c r="AW6" s="7"/>
      <c r="AX6" s="7"/>
      <c r="AY6" s="7"/>
      <c r="AZ6" s="7"/>
    </row>
    <row r="7" spans="1:52" ht="18" customHeight="1" x14ac:dyDescent="0.25">
      <c r="A7" s="7">
        <f>IF(ENGINE!A7="","",ENGINE!B7)</f>
        <v>27</v>
      </c>
      <c r="B7" s="7">
        <f>IF(ENGINE!A7="","",INDEX('PERIODIC ENGINE'!$J$2:$J$102,MATCH(ENGINE!A7,'PERIODIC ENGINE'!$A$2:$A$102,0)))</f>
        <v>70281.832500000019</v>
      </c>
      <c r="C7" s="7">
        <f>IF(B7="","",B7/(1+INPUTS!$C$11)^ENGINE!A7)</f>
        <v>52518.67373962827</v>
      </c>
      <c r="D7" s="7"/>
      <c r="E7" s="7">
        <f>IF(ENGINE!A7="","",ENGINE!A7)</f>
        <v>5</v>
      </c>
      <c r="F7" s="7">
        <f>IF(ENGINE!A7="","",ENGINE!AI7-ENGINE!D7)</f>
        <v>81074.824211507264</v>
      </c>
      <c r="G7" s="7"/>
      <c r="H7" s="7">
        <f>IF(ENGINE!A7="","",ENGINE!B7)</f>
        <v>27</v>
      </c>
      <c r="I7" s="7">
        <f>IF(ENGINE!A7="","",INDEX('PERIODIC ENGINE'!$J$2:$J$102,MATCH(ENGINE!A7,'PERIODIC ENGINE'!$A$2:$A$102,0)))</f>
        <v>70281.832500000019</v>
      </c>
      <c r="J7" s="7">
        <f>IF(ENGINE!A7="","",500000)</f>
        <v>500000</v>
      </c>
      <c r="K7" s="7">
        <f>IF(ENGINE!A7="","",1000000)</f>
        <v>1000000</v>
      </c>
      <c r="L7" s="7">
        <f>IF(ENGINE!A7="","",2000000)</f>
        <v>2000000</v>
      </c>
      <c r="M7" s="7"/>
      <c r="N7" s="7">
        <f>IF(ENGINE!A7="","",ENGINE!B7)</f>
        <v>27</v>
      </c>
      <c r="O7" s="7">
        <f>IF(ENGINE!A7="","",ENGINE!D7)</f>
        <v>10000</v>
      </c>
      <c r="P7" s="7">
        <f>IF(ENGINE!A7="","",ENGINE!K7)</f>
        <v>6389.2575000000006</v>
      </c>
      <c r="Q7" s="7"/>
      <c r="R7" s="7">
        <f>IF(ENGINE!A7="","",ENGINE!A7)</f>
        <v>5</v>
      </c>
      <c r="S7" s="7">
        <f>IF(ENGINE!A7="","",ENGINE!AC7)</f>
        <v>7088.3688928200017</v>
      </c>
      <c r="T7" s="7">
        <f>IF(ENGINE!A7="","",ENGINE!AD7)</f>
        <v>0</v>
      </c>
      <c r="U7" s="7">
        <f>IF(ENGINE!A7="","",ENGINE!AG7)</f>
        <v>8131.5476691727508</v>
      </c>
      <c r="V7" s="7">
        <f>IF(ENGINE!A7="","",ENGINE!AI7)</f>
        <v>91074.824211507264</v>
      </c>
      <c r="W7" s="7"/>
      <c r="X7" s="7"/>
      <c r="Y7" s="7"/>
      <c r="Z7" s="7"/>
      <c r="AA7" s="7">
        <f>'PERIODIC ENGINE'!A2</f>
        <v>0</v>
      </c>
      <c r="AB7" s="7">
        <f>IF($AA7="","",IF($AA7=0,INPUTS!$C$8,AE6))</f>
        <v>0</v>
      </c>
      <c r="AC7" s="7">
        <f>IF($AA7="","",'PERIODIC ENGINE'!D2/'PERIODIC ENGINE'!$S$3)</f>
        <v>7500</v>
      </c>
      <c r="AD7" s="7">
        <f>IF($AA7="","",(1+$AB$4)^'PERIODIC ENGINE'!$S$3)</f>
        <v>1.08</v>
      </c>
      <c r="AE7" s="7">
        <f>IF($AA7="","",IF($AB$4=0,AB7+'PERIODIC ENGINE'!D2,AB7*AD7+IF(INPUTS!$C$12="Beginning",AC7*(1+$AB$4)*(AD7-1)/$AB$4,AC7*(AD7-1)/$AB$4)))</f>
        <v>8100.0000000000009</v>
      </c>
      <c r="AF7" s="7"/>
      <c r="AG7" s="7">
        <f>'PERIODIC ENGINE'!A2</f>
        <v>0</v>
      </c>
      <c r="AH7" s="7">
        <f>IF($AG7="","",IF($AG7=0,INPUTS!$C$8,AK6))</f>
        <v>0</v>
      </c>
      <c r="AI7" s="7">
        <f>IF($AG7="","",'PERIODIC ENGINE'!D2/'PERIODIC ENGINE'!$S$3)</f>
        <v>7500</v>
      </c>
      <c r="AJ7" s="7">
        <f>IF($AG7="","",(1+$AH$4)^'PERIODIC ENGINE'!$S$3)</f>
        <v>1.095</v>
      </c>
      <c r="AK7" s="7">
        <f>IF($AG7="","",IF($AH$4=0,AH7+'PERIODIC ENGINE'!D2,AH7*AJ7+IF(INPUTS!$C$12="Beginning",AI7*(1+$AH$4)*(AJ7-1)/$AH$4,AI7*(AJ7-1)/$AH$4)))</f>
        <v>8212.5</v>
      </c>
      <c r="AL7" s="7"/>
      <c r="AM7" s="7">
        <f>'PERIODIC ENGINE'!A2</f>
        <v>0</v>
      </c>
      <c r="AN7" s="7">
        <f>IF($AM7="","",IF($AM7=0,INPUTS!$C$8,AQ6))</f>
        <v>0</v>
      </c>
      <c r="AO7" s="7">
        <f>IF($AM7="","",'PERIODIC ENGINE'!D2/'PERIODIC ENGINE'!$S$3)</f>
        <v>7500</v>
      </c>
      <c r="AP7" s="7">
        <f>IF($AM7="","",(1+$AN$4)^'PERIODIC ENGINE'!$S$3)</f>
        <v>1.1100000000000001</v>
      </c>
      <c r="AQ7" s="7">
        <f>IF($AM7="","",IF($AN$4=0,AN7+'PERIODIC ENGINE'!D2,AN7*AP7+IF(INPUTS!$C$12="Beginning",AO7*(1+$AN$4)*(AP7-1)/$AN$4,AO7*(AP7-1)/$AN$4)))</f>
        <v>8325</v>
      </c>
      <c r="AR7" s="7"/>
      <c r="AS7" s="7"/>
      <c r="AT7" s="7"/>
      <c r="AU7" s="7"/>
      <c r="AV7" s="7"/>
      <c r="AW7" s="7"/>
      <c r="AX7" s="7"/>
      <c r="AY7" s="7"/>
      <c r="AZ7" s="7"/>
    </row>
    <row r="8" spans="1:52" ht="18" customHeight="1" x14ac:dyDescent="0.25">
      <c r="A8" s="7">
        <f>IF(ENGINE!A8="","",ENGINE!B8)</f>
        <v>28</v>
      </c>
      <c r="B8" s="7">
        <f>IF(ENGINE!A8="","",INDEX('PERIODIC ENGINE'!$J$2:$J$102,MATCH(ENGINE!A8,'PERIODIC ENGINE'!$A$2:$A$102,0)))</f>
        <v>88860.01575000002</v>
      </c>
      <c r="C8" s="7">
        <f>IF(B8="","",B8/(1+INPUTS!$C$11)^ENGINE!A8)</f>
        <v>62642.804726598159</v>
      </c>
      <c r="D8" s="7"/>
      <c r="E8" s="7">
        <f>IF(ENGINE!A8="","",ENGINE!A8)</f>
        <v>6</v>
      </c>
      <c r="F8" s="7">
        <f>IF(ENGINE!A8="","",ENGINE!AI8-ENGINE!D8)</f>
        <v>83448.058937852489</v>
      </c>
      <c r="G8" s="7"/>
      <c r="H8" s="7">
        <f>IF(ENGINE!A8="","",ENGINE!B8)</f>
        <v>28</v>
      </c>
      <c r="I8" s="7">
        <f>IF(ENGINE!A8="","",INDEX('PERIODIC ENGINE'!$J$2:$J$102,MATCH(ENGINE!A8,'PERIODIC ENGINE'!$A$2:$A$102,0)))</f>
        <v>88860.01575000002</v>
      </c>
      <c r="J8" s="7">
        <f>IF(ENGINE!A8="","",500000)</f>
        <v>500000</v>
      </c>
      <c r="K8" s="7">
        <f>IF(ENGINE!A8="","",1000000)</f>
        <v>1000000</v>
      </c>
      <c r="L8" s="7">
        <f>IF(ENGINE!A8="","",2000000)</f>
        <v>2000000</v>
      </c>
      <c r="M8" s="7"/>
      <c r="N8" s="7">
        <f>IF(ENGINE!A8="","",ENGINE!B8)</f>
        <v>28</v>
      </c>
      <c r="O8" s="7">
        <f>IF(ENGINE!A8="","",ENGINE!D8)</f>
        <v>10500</v>
      </c>
      <c r="P8" s="7">
        <f>IF(ENGINE!A8="","",ENGINE!K8)</f>
        <v>8078.183250000001</v>
      </c>
      <c r="Q8" s="7"/>
      <c r="R8" s="7">
        <f>IF(ENGINE!A8="","",ENGINE!A8)</f>
        <v>6</v>
      </c>
      <c r="S8" s="7">
        <f>IF(ENGINE!A8="","",ENGINE!AC8)</f>
        <v>7160.0299596046025</v>
      </c>
      <c r="T8" s="7">
        <f>IF(ENGINE!A8="","",ENGINE!AD8)</f>
        <v>0</v>
      </c>
      <c r="U8" s="7">
        <f>IF(ENGINE!A8="","",ENGINE!AG8)</f>
        <v>8375.4940992479351</v>
      </c>
      <c r="V8" s="7">
        <f>IF(ENGINE!A8="","",ENGINE!AI8)</f>
        <v>93948.058937852489</v>
      </c>
      <c r="W8" s="7"/>
      <c r="X8" s="7"/>
      <c r="Y8" s="7"/>
      <c r="Z8" s="7"/>
      <c r="AA8" s="7">
        <f>'PERIODIC ENGINE'!A3</f>
        <v>1</v>
      </c>
      <c r="AB8" s="7">
        <f>IF($AA8="","",IF($AA8=0,INPUTS!$C$8,AE7))</f>
        <v>8100.0000000000009</v>
      </c>
      <c r="AC8" s="7">
        <f>IF($AA8="","",'PERIODIC ENGINE'!D3/'PERIODIC ENGINE'!$S$3)</f>
        <v>7500</v>
      </c>
      <c r="AD8" s="7">
        <f>IF($AA8="","",(1+$AB$4)^'PERIODIC ENGINE'!$S$3)</f>
        <v>1.08</v>
      </c>
      <c r="AE8" s="7">
        <f>IF($AA8="","",IF($AB$4=0,AB8+'PERIODIC ENGINE'!D3,AB8*AD8+IF(INPUTS!$C$12="Beginning",AC8*(1+$AB$4)*(AD8-1)/$AB$4,AC8*(AD8-1)/$AB$4)))</f>
        <v>16848.000000000004</v>
      </c>
      <c r="AF8" s="7"/>
      <c r="AG8" s="7">
        <f>'PERIODIC ENGINE'!A3</f>
        <v>1</v>
      </c>
      <c r="AH8" s="7">
        <f>IF($AG8="","",IF($AG8=0,INPUTS!$C$8,AK7))</f>
        <v>8212.5</v>
      </c>
      <c r="AI8" s="7">
        <f>IF($AG8="","",'PERIODIC ENGINE'!D3/'PERIODIC ENGINE'!$S$3)</f>
        <v>7500</v>
      </c>
      <c r="AJ8" s="7">
        <f>IF($AG8="","",(1+$AH$4)^'PERIODIC ENGINE'!$S$3)</f>
        <v>1.095</v>
      </c>
      <c r="AK8" s="7">
        <f>IF($AG8="","",IF($AH$4=0,AH8+'PERIODIC ENGINE'!D3,AH8*AJ8+IF(INPUTS!$C$12="Beginning",AI8*(1+$AH$4)*(AJ8-1)/$AH$4,AI8*(AJ8-1)/$AH$4)))</f>
        <v>17205.1875</v>
      </c>
      <c r="AL8" s="7"/>
      <c r="AM8" s="7">
        <f>'PERIODIC ENGINE'!A3</f>
        <v>1</v>
      </c>
      <c r="AN8" s="7">
        <f>IF($AM8="","",IF($AM8=0,INPUTS!$C$8,AQ7))</f>
        <v>8325</v>
      </c>
      <c r="AO8" s="7">
        <f>IF($AM8="","",'PERIODIC ENGINE'!D3/'PERIODIC ENGINE'!$S$3)</f>
        <v>7500</v>
      </c>
      <c r="AP8" s="7">
        <f>IF($AM8="","",(1+$AN$4)^'PERIODIC ENGINE'!$S$3)</f>
        <v>1.1100000000000001</v>
      </c>
      <c r="AQ8" s="7">
        <f>IF($AM8="","",IF($AN$4=0,AN8+'PERIODIC ENGINE'!D3,AN8*AP8+IF(INPUTS!$C$12="Beginning",AO8*(1+$AN$4)*(AP8-1)/$AN$4,AO8*(AP8-1)/$AN$4)))</f>
        <v>17565.75</v>
      </c>
      <c r="AR8" s="7"/>
      <c r="AS8" s="7"/>
      <c r="AT8" s="7"/>
      <c r="AU8" s="7"/>
      <c r="AV8" s="7"/>
      <c r="AW8" s="7"/>
      <c r="AX8" s="7"/>
      <c r="AY8" s="7"/>
      <c r="AZ8" s="7"/>
    </row>
    <row r="9" spans="1:52" ht="18" customHeight="1" x14ac:dyDescent="0.25">
      <c r="A9" s="7">
        <f>IF(ENGINE!A9="","",ENGINE!B9)</f>
        <v>29</v>
      </c>
      <c r="B9" s="7">
        <f>IF(ENGINE!A9="","",INDEX('PERIODIC ENGINE'!$J$2:$J$102,MATCH(ENGINE!A9,'PERIODIC ENGINE'!$A$2:$A$102,0)))</f>
        <v>109846.01732500004</v>
      </c>
      <c r="C9" s="7">
        <f>IF(B9="","",B9/(1+INPUTS!$C$11)^ENGINE!A9)</f>
        <v>73053.875225073643</v>
      </c>
      <c r="D9" s="7"/>
      <c r="E9" s="7">
        <f>IF(ENGINE!A9="","",ENGINE!A9)</f>
        <v>7</v>
      </c>
      <c r="F9" s="7">
        <f>IF(ENGINE!A9="","",ENGINE!AI9-ENGINE!D9)</f>
        <v>85906.160705988063</v>
      </c>
      <c r="G9" s="7"/>
      <c r="H9" s="7">
        <f>IF(ENGINE!A9="","",ENGINE!B9)</f>
        <v>29</v>
      </c>
      <c r="I9" s="7">
        <f>IF(ENGINE!A9="","",INDEX('PERIODIC ENGINE'!$J$2:$J$102,MATCH(ENGINE!A9,'PERIODIC ENGINE'!$A$2:$A$102,0)))</f>
        <v>109846.01732500004</v>
      </c>
      <c r="J9" s="7">
        <f>IF(ENGINE!A9="","",500000)</f>
        <v>500000</v>
      </c>
      <c r="K9" s="7">
        <f>IF(ENGINE!A9="","",1000000)</f>
        <v>1000000</v>
      </c>
      <c r="L9" s="7">
        <f>IF(ENGINE!A9="","",2000000)</f>
        <v>2000000</v>
      </c>
      <c r="M9" s="7"/>
      <c r="N9" s="7">
        <f>IF(ENGINE!A9="","",ENGINE!B9)</f>
        <v>29</v>
      </c>
      <c r="O9" s="7">
        <f>IF(ENGINE!A9="","",ENGINE!D9)</f>
        <v>11000</v>
      </c>
      <c r="P9" s="7">
        <f>IF(ENGINE!A9="","",ENGINE!K9)</f>
        <v>9986.001575000002</v>
      </c>
      <c r="Q9" s="7"/>
      <c r="R9" s="7">
        <f>IF(ENGINE!A9="","",ENGINE!A9)</f>
        <v>7</v>
      </c>
      <c r="S9" s="7">
        <f>IF(ENGINE!A9="","",ENGINE!AC9)</f>
        <v>7235.1708583927411</v>
      </c>
      <c r="T9" s="7">
        <f>IF(ENGINE!A9="","",ENGINE!AD9)</f>
        <v>0</v>
      </c>
      <c r="U9" s="7">
        <f>IF(ENGINE!A9="","",ENGINE!AG9)</f>
        <v>8626.7589222253719</v>
      </c>
      <c r="V9" s="7">
        <f>IF(ENGINE!A9="","",ENGINE!AI9)</f>
        <v>96906.160705988063</v>
      </c>
      <c r="W9" s="7"/>
      <c r="X9" s="7"/>
      <c r="Y9" s="7"/>
      <c r="Z9" s="7"/>
      <c r="AA9" s="7">
        <f>'PERIODIC ENGINE'!A4</f>
        <v>2</v>
      </c>
      <c r="AB9" s="7">
        <f>IF($AA9="","",IF($AA9=0,INPUTS!$C$8,AE8))</f>
        <v>16848.000000000004</v>
      </c>
      <c r="AC9" s="7">
        <f>IF($AA9="","",'PERIODIC ENGINE'!D4/'PERIODIC ENGINE'!$S$3)</f>
        <v>8000</v>
      </c>
      <c r="AD9" s="7">
        <f>IF($AA9="","",(1+$AB$4)^'PERIODIC ENGINE'!$S$3)</f>
        <v>1.08</v>
      </c>
      <c r="AE9" s="7">
        <f>IF($AA9="","",IF($AB$4=0,AB9+'PERIODIC ENGINE'!D4,AB9*AD9+IF(INPUTS!$C$12="Beginning",AC9*(1+$AB$4)*(AD9-1)/$AB$4,AC9*(AD9-1)/$AB$4)))</f>
        <v>26835.840000000004</v>
      </c>
      <c r="AF9" s="7"/>
      <c r="AG9" s="7">
        <f>'PERIODIC ENGINE'!A4</f>
        <v>2</v>
      </c>
      <c r="AH9" s="7">
        <f>IF($AG9="","",IF($AG9=0,INPUTS!$C$8,AK8))</f>
        <v>17205.1875</v>
      </c>
      <c r="AI9" s="7">
        <f>IF($AG9="","",'PERIODIC ENGINE'!D4/'PERIODIC ENGINE'!$S$3)</f>
        <v>8000</v>
      </c>
      <c r="AJ9" s="7">
        <f>IF($AG9="","",(1+$AH$4)^'PERIODIC ENGINE'!$S$3)</f>
        <v>1.095</v>
      </c>
      <c r="AK9" s="7">
        <f>IF($AG9="","",IF($AH$4=0,AH9+'PERIODIC ENGINE'!D4,AH9*AJ9+IF(INPUTS!$C$12="Beginning",AI9*(1+$AH$4)*(AJ9-1)/$AH$4,AI9*(AJ9-1)/$AH$4)))</f>
        <v>27599.680312500001</v>
      </c>
      <c r="AL9" s="7"/>
      <c r="AM9" s="7">
        <f>'PERIODIC ENGINE'!A4</f>
        <v>2</v>
      </c>
      <c r="AN9" s="7">
        <f>IF($AM9="","",IF($AM9=0,INPUTS!$C$8,AQ8))</f>
        <v>17565.75</v>
      </c>
      <c r="AO9" s="7">
        <f>IF($AM9="","",'PERIODIC ENGINE'!D4/'PERIODIC ENGINE'!$S$3)</f>
        <v>8000</v>
      </c>
      <c r="AP9" s="7">
        <f>IF($AM9="","",(1+$AN$4)^'PERIODIC ENGINE'!$S$3)</f>
        <v>1.1100000000000001</v>
      </c>
      <c r="AQ9" s="7">
        <f>IF($AM9="","",IF($AN$4=0,AN9+'PERIODIC ENGINE'!D4,AN9*AP9+IF(INPUTS!$C$12="Beginning",AO9*(1+$AN$4)*(AP9-1)/$AN$4,AO9*(AP9-1)/$AN$4)))</f>
        <v>28377.982500000002</v>
      </c>
      <c r="AR9" s="7"/>
      <c r="AS9" s="7"/>
      <c r="AT9" s="7"/>
      <c r="AU9" s="7"/>
      <c r="AV9" s="7"/>
      <c r="AW9" s="7"/>
      <c r="AX9" s="7"/>
      <c r="AY9" s="7"/>
      <c r="AZ9" s="7"/>
    </row>
    <row r="10" spans="1:52" ht="18" customHeight="1" x14ac:dyDescent="0.25">
      <c r="A10" s="7">
        <f>IF(ENGINE!A10="","",ENGINE!B10)</f>
        <v>30</v>
      </c>
      <c r="B10" s="7">
        <f>IF(ENGINE!A10="","",INDEX('PERIODIC ENGINE'!$J$2:$J$102,MATCH(ENGINE!A10,'PERIODIC ENGINE'!$A$2:$A$102,0)))</f>
        <v>133480.61905750007</v>
      </c>
      <c r="C10" s="7">
        <f>IF(B10="","",B10/(1+INPUTS!$C$11)^ENGINE!A10)</f>
        <v>83747.39173104112</v>
      </c>
      <c r="D10" s="7"/>
      <c r="E10" s="7">
        <f>IF(ENGINE!A10="","",ENGINE!A10)</f>
        <v>8</v>
      </c>
      <c r="F10" s="7">
        <f>IF(ENGINE!A10="","",ENGINE!AI10-ENGINE!D10)</f>
        <v>88468.435527167705</v>
      </c>
      <c r="G10" s="7"/>
      <c r="H10" s="7">
        <f>IF(ENGINE!A10="","",ENGINE!B10)</f>
        <v>30</v>
      </c>
      <c r="I10" s="7">
        <f>IF(ENGINE!A10="","",INDEX('PERIODIC ENGINE'!$J$2:$J$102,MATCH(ENGINE!A10,'PERIODIC ENGINE'!$A$2:$A$102,0)))</f>
        <v>133480.61905750007</v>
      </c>
      <c r="J10" s="7">
        <f>IF(ENGINE!A10="","",500000)</f>
        <v>500000</v>
      </c>
      <c r="K10" s="7">
        <f>IF(ENGINE!A10="","",1000000)</f>
        <v>1000000</v>
      </c>
      <c r="L10" s="7">
        <f>IF(ENGINE!A10="","",2000000)</f>
        <v>2000000</v>
      </c>
      <c r="M10" s="7"/>
      <c r="N10" s="7">
        <f>IF(ENGINE!A10="","",ENGINE!B10)</f>
        <v>30</v>
      </c>
      <c r="O10" s="7">
        <f>IF(ENGINE!A10="","",ENGINE!D10)</f>
        <v>11500</v>
      </c>
      <c r="P10" s="7">
        <f>IF(ENGINE!A10="","",ENGINE!K10)</f>
        <v>12134.601732500003</v>
      </c>
      <c r="Q10" s="7"/>
      <c r="R10" s="7">
        <f>IF(ENGINE!A10="","",ENGINE!A10)</f>
        <v>8</v>
      </c>
      <c r="S10" s="7">
        <f>IF(ENGINE!A10="","",ENGINE!AC10)</f>
        <v>7297.1359841445228</v>
      </c>
      <c r="T10" s="7">
        <f>IF(ENGINE!A10="","",ENGINE!AD10)</f>
        <v>0</v>
      </c>
      <c r="U10" s="7">
        <f>IF(ENGINE!A10="","",ENGINE!AG10)</f>
        <v>8885.5616898921326</v>
      </c>
      <c r="V10" s="7">
        <f>IF(ENGINE!A10="","",ENGINE!AI10)</f>
        <v>99968.435527167705</v>
      </c>
      <c r="W10" s="7"/>
      <c r="X10" s="7"/>
      <c r="Y10" s="7"/>
      <c r="Z10" s="7"/>
      <c r="AA10" s="7">
        <f>'PERIODIC ENGINE'!A5</f>
        <v>3</v>
      </c>
      <c r="AB10" s="7">
        <f>IF($AA10="","",IF($AA10=0,INPUTS!$C$8,AE9))</f>
        <v>26835.840000000004</v>
      </c>
      <c r="AC10" s="7">
        <f>IF($AA10="","",'PERIODIC ENGINE'!D5/'PERIODIC ENGINE'!$S$3)</f>
        <v>8500</v>
      </c>
      <c r="AD10" s="7">
        <f>IF($AA10="","",(1+$AB$4)^'PERIODIC ENGINE'!$S$3)</f>
        <v>1.08</v>
      </c>
      <c r="AE10" s="7">
        <f>IF($AA10="","",IF($AB$4=0,AB10+'PERIODIC ENGINE'!D5,AB10*AD10+IF(INPUTS!$C$12="Beginning",AC10*(1+$AB$4)*(AD10-1)/$AB$4,AC10*(AD10-1)/$AB$4)))</f>
        <v>38162.707200000004</v>
      </c>
      <c r="AF10" s="7"/>
      <c r="AG10" s="7">
        <f>'PERIODIC ENGINE'!A5</f>
        <v>3</v>
      </c>
      <c r="AH10" s="7">
        <f>IF($AG10="","",IF($AG10=0,INPUTS!$C$8,AK9))</f>
        <v>27599.680312500001</v>
      </c>
      <c r="AI10" s="7">
        <f>IF($AG10="","",'PERIODIC ENGINE'!D5/'PERIODIC ENGINE'!$S$3)</f>
        <v>8500</v>
      </c>
      <c r="AJ10" s="7">
        <f>IF($AG10="","",(1+$AH$4)^'PERIODIC ENGINE'!$S$3)</f>
        <v>1.095</v>
      </c>
      <c r="AK10" s="7">
        <f>IF($AG10="","",IF($AH$4=0,AH10+'PERIODIC ENGINE'!D5,AH10*AJ10+IF(INPUTS!$C$12="Beginning",AI10*(1+$AH$4)*(AJ10-1)/$AH$4,AI10*(AJ10-1)/$AH$4)))</f>
        <v>39529.149942187505</v>
      </c>
      <c r="AL10" s="7"/>
      <c r="AM10" s="7">
        <f>'PERIODIC ENGINE'!A5</f>
        <v>3</v>
      </c>
      <c r="AN10" s="7">
        <f>IF($AM10="","",IF($AM10=0,INPUTS!$C$8,AQ9))</f>
        <v>28377.982500000002</v>
      </c>
      <c r="AO10" s="7">
        <f>IF($AM10="","",'PERIODIC ENGINE'!D5/'PERIODIC ENGINE'!$S$3)</f>
        <v>8500</v>
      </c>
      <c r="AP10" s="7">
        <f>IF($AM10="","",(1+$AN$4)^'PERIODIC ENGINE'!$S$3)</f>
        <v>1.1100000000000001</v>
      </c>
      <c r="AQ10" s="7">
        <f>IF($AM10="","",IF($AN$4=0,AN10+'PERIODIC ENGINE'!D5,AN10*AP10+IF(INPUTS!$C$12="Beginning",AO10*(1+$AN$4)*(AP10-1)/$AN$4,AO10*(AP10-1)/$AN$4)))</f>
        <v>40934.560575000003</v>
      </c>
      <c r="AR10" s="7"/>
      <c r="AS10" s="7"/>
      <c r="AT10" s="7"/>
      <c r="AU10" s="7"/>
      <c r="AV10" s="7"/>
      <c r="AW10" s="7"/>
      <c r="AX10" s="7"/>
      <c r="AY10" s="7"/>
      <c r="AZ10" s="7"/>
    </row>
    <row r="11" spans="1:52" ht="18" customHeight="1" x14ac:dyDescent="0.25">
      <c r="A11" s="7">
        <f>IF(ENGINE!A11="","",ENGINE!B11)</f>
        <v>31</v>
      </c>
      <c r="B11" s="7">
        <f>IF(ENGINE!A11="","",INDEX('PERIODIC ENGINE'!$J$2:$J$102,MATCH(ENGINE!A11,'PERIODIC ENGINE'!$A$2:$A$102,0)))</f>
        <v>160578.68096325008</v>
      </c>
      <c r="C11" s="7">
        <f>IF(B11="","",B11/(1+INPUTS!$C$11)^ENGINE!A11)</f>
        <v>95046.274537825797</v>
      </c>
      <c r="D11" s="7"/>
      <c r="E11" s="7">
        <f>IF(ENGINE!A11="","",ENGINE!A11)</f>
        <v>9</v>
      </c>
      <c r="F11" s="7">
        <f>IF(ENGINE!A11="","",ENGINE!AI11-ENGINE!D11)</f>
        <v>90627.258592982733</v>
      </c>
      <c r="G11" s="7"/>
      <c r="H11" s="7">
        <f>IF(ENGINE!A11="","",ENGINE!B11)</f>
        <v>31</v>
      </c>
      <c r="I11" s="7">
        <f>IF(ENGINE!A11="","",INDEX('PERIODIC ENGINE'!$J$2:$J$102,MATCH(ENGINE!A11,'PERIODIC ENGINE'!$A$2:$A$102,0)))</f>
        <v>160578.68096325008</v>
      </c>
      <c r="J11" s="7">
        <f>IF(ENGINE!A11="","",500000)</f>
        <v>500000</v>
      </c>
      <c r="K11" s="7">
        <f>IF(ENGINE!A11="","",1000000)</f>
        <v>1000000</v>
      </c>
      <c r="L11" s="7">
        <f>IF(ENGINE!A11="","",2000000)</f>
        <v>2000000</v>
      </c>
      <c r="M11" s="7"/>
      <c r="N11" s="7">
        <f>IF(ENGINE!A11="","",ENGINE!B11)</f>
        <v>31</v>
      </c>
      <c r="O11" s="7">
        <f>IF(ENGINE!A11="","",ENGINE!D11)</f>
        <v>12500</v>
      </c>
      <c r="P11" s="7">
        <f>IF(ENGINE!A11="","",ENGINE!K11)</f>
        <v>14598.061905750004</v>
      </c>
      <c r="Q11" s="7"/>
      <c r="R11" s="7">
        <f>IF(ENGINE!A11="","",ENGINE!A11)</f>
        <v>9</v>
      </c>
      <c r="S11" s="7">
        <f>IF(ENGINE!A11="","",ENGINE!AC11)</f>
        <v>7356.2800636688589</v>
      </c>
      <c r="T11" s="7">
        <f>IF(ENGINE!A11="","",ENGINE!AD11)</f>
        <v>0</v>
      </c>
      <c r="U11" s="7">
        <f>IF(ENGINE!A11="","",ENGINE!AG11)</f>
        <v>9152.1285405888975</v>
      </c>
      <c r="V11" s="7">
        <f>IF(ENGINE!A11="","",ENGINE!AI11)</f>
        <v>103127.25859298273</v>
      </c>
      <c r="W11" s="7"/>
      <c r="X11" s="7"/>
      <c r="Y11" s="7"/>
      <c r="Z11" s="7"/>
      <c r="AA11" s="7">
        <f>'PERIODIC ENGINE'!A6</f>
        <v>4</v>
      </c>
      <c r="AB11" s="7">
        <f>IF($AA11="","",IF($AA11=0,INPUTS!$C$8,AE10))</f>
        <v>38162.707200000004</v>
      </c>
      <c r="AC11" s="7">
        <f>IF($AA11="","",'PERIODIC ENGINE'!D6/'PERIODIC ENGINE'!$S$3)</f>
        <v>9000</v>
      </c>
      <c r="AD11" s="7">
        <f>IF($AA11="","",(1+$AB$4)^'PERIODIC ENGINE'!$S$3)</f>
        <v>1.08</v>
      </c>
      <c r="AE11" s="7">
        <f>IF($AA11="","",IF($AB$4=0,AB11+'PERIODIC ENGINE'!D6,AB11*AD11+IF(INPUTS!$C$12="Beginning",AC11*(1+$AB$4)*(AD11-1)/$AB$4,AC11*(AD11-1)/$AB$4)))</f>
        <v>50935.723776000006</v>
      </c>
      <c r="AF11" s="7"/>
      <c r="AG11" s="7">
        <f>'PERIODIC ENGINE'!A6</f>
        <v>4</v>
      </c>
      <c r="AH11" s="7">
        <f>IF($AG11="","",IF($AG11=0,INPUTS!$C$8,AK10))</f>
        <v>39529.149942187505</v>
      </c>
      <c r="AI11" s="7">
        <f>IF($AG11="","",'PERIODIC ENGINE'!D6/'PERIODIC ENGINE'!$S$3)</f>
        <v>9000</v>
      </c>
      <c r="AJ11" s="7">
        <f>IF($AG11="","",(1+$AH$4)^'PERIODIC ENGINE'!$S$3)</f>
        <v>1.095</v>
      </c>
      <c r="AK11" s="7">
        <f>IF($AG11="","",IF($AH$4=0,AH11+'PERIODIC ENGINE'!D6,AH11*AJ11+IF(INPUTS!$C$12="Beginning",AI11*(1+$AH$4)*(AJ11-1)/$AH$4,AI11*(AJ11-1)/$AH$4)))</f>
        <v>53139.419186695319</v>
      </c>
      <c r="AL11" s="7"/>
      <c r="AM11" s="7">
        <f>'PERIODIC ENGINE'!A6</f>
        <v>4</v>
      </c>
      <c r="AN11" s="7">
        <f>IF($AM11="","",IF($AM11=0,INPUTS!$C$8,AQ10))</f>
        <v>40934.560575000003</v>
      </c>
      <c r="AO11" s="7">
        <f>IF($AM11="","",'PERIODIC ENGINE'!D6/'PERIODIC ENGINE'!$S$3)</f>
        <v>9000</v>
      </c>
      <c r="AP11" s="7">
        <f>IF($AM11="","",(1+$AN$4)^'PERIODIC ENGINE'!$S$3)</f>
        <v>1.1100000000000001</v>
      </c>
      <c r="AQ11" s="7">
        <f>IF($AM11="","",IF($AN$4=0,AN11+'PERIODIC ENGINE'!D6,AN11*AP11+IF(INPUTS!$C$12="Beginning",AO11*(1+$AN$4)*(AP11-1)/$AN$4,AO11*(AP11-1)/$AN$4)))</f>
        <v>55427.362238250011</v>
      </c>
      <c r="AR11" s="7"/>
      <c r="AS11" s="7"/>
      <c r="AT11" s="7"/>
      <c r="AU11" s="7"/>
      <c r="AV11" s="7"/>
      <c r="AW11" s="7"/>
      <c r="AX11" s="7"/>
      <c r="AY11" s="7"/>
      <c r="AZ11" s="7"/>
    </row>
    <row r="12" spans="1:52" ht="18" customHeight="1" x14ac:dyDescent="0.25">
      <c r="A12" s="7">
        <f>IF(ENGINE!A12="","",ENGINE!B12)</f>
        <v>32</v>
      </c>
      <c r="B12" s="7">
        <f>IF(ENGINE!A12="","",INDEX('PERIODIC ENGINE'!$J$2:$J$102,MATCH(ENGINE!A12,'PERIODIC ENGINE'!$A$2:$A$102,0)))</f>
        <v>190936.5490595751</v>
      </c>
      <c r="C12" s="7">
        <f>IF(B12="","",B12/(1+INPUTS!$C$11)^ENGINE!A12)</f>
        <v>106617.97171706391</v>
      </c>
      <c r="D12" s="7"/>
      <c r="E12" s="7">
        <f>IF(ENGINE!A12="","",ENGINE!A12)</f>
        <v>10</v>
      </c>
      <c r="F12" s="7">
        <f>IF(ENGINE!A12="","",ENGINE!AI12-ENGINE!D12)</f>
        <v>93390.076350772215</v>
      </c>
      <c r="G12" s="7"/>
      <c r="H12" s="7">
        <f>IF(ENGINE!A12="","",ENGINE!B12)</f>
        <v>32</v>
      </c>
      <c r="I12" s="7">
        <f>IF(ENGINE!A12="","",INDEX('PERIODIC ENGINE'!$J$2:$J$102,MATCH(ENGINE!A12,'PERIODIC ENGINE'!$A$2:$A$102,0)))</f>
        <v>190936.5490595751</v>
      </c>
      <c r="J12" s="7">
        <f>IF(ENGINE!A12="","",500000)</f>
        <v>500000</v>
      </c>
      <c r="K12" s="7">
        <f>IF(ENGINE!A12="","",1000000)</f>
        <v>1000000</v>
      </c>
      <c r="L12" s="7">
        <f>IF(ENGINE!A12="","",2000000)</f>
        <v>2000000</v>
      </c>
      <c r="M12" s="7"/>
      <c r="N12" s="7">
        <f>IF(ENGINE!A12="","",ENGINE!B12)</f>
        <v>32</v>
      </c>
      <c r="O12" s="7">
        <f>IF(ENGINE!A12="","",ENGINE!D12)</f>
        <v>13000</v>
      </c>
      <c r="P12" s="7">
        <f>IF(ENGINE!A12="","",ENGINE!K12)</f>
        <v>17357.868096325004</v>
      </c>
      <c r="Q12" s="7"/>
      <c r="R12" s="7">
        <f>IF(ENGINE!A12="","",ENGINE!A12)</f>
        <v>10</v>
      </c>
      <c r="S12" s="7">
        <f>IF(ENGINE!A12="","",ENGINE!AC12)</f>
        <v>7407.9684655789242</v>
      </c>
      <c r="T12" s="7">
        <f>IF(ENGINE!A12="","",ENGINE!AD12)</f>
        <v>0</v>
      </c>
      <c r="U12" s="7">
        <f>IF(ENGINE!A12="","",ENGINE!AG12)</f>
        <v>9426.6923968065639</v>
      </c>
      <c r="V12" s="7">
        <f>IF(ENGINE!A12="","",ENGINE!AI12)</f>
        <v>106390.07635077221</v>
      </c>
      <c r="W12" s="7"/>
      <c r="X12" s="7"/>
      <c r="Y12" s="7"/>
      <c r="Z12" s="7"/>
      <c r="AA12" s="7">
        <f>'PERIODIC ENGINE'!A7</f>
        <v>5</v>
      </c>
      <c r="AB12" s="7">
        <f>IF($AA12="","",IF($AA12=0,INPUTS!$C$8,AE11))</f>
        <v>50935.723776000006</v>
      </c>
      <c r="AC12" s="7">
        <f>IF($AA12="","",'PERIODIC ENGINE'!D7/'PERIODIC ENGINE'!$S$3)</f>
        <v>10000</v>
      </c>
      <c r="AD12" s="7">
        <f>IF($AA12="","",(1+$AB$4)^'PERIODIC ENGINE'!$S$3)</f>
        <v>1.08</v>
      </c>
      <c r="AE12" s="7">
        <f>IF($AA12="","",IF($AB$4=0,AB12+'PERIODIC ENGINE'!D7,AB12*AD12+IF(INPUTS!$C$12="Beginning",AC12*(1+$AB$4)*(AD12-1)/$AB$4,AC12*(AD12-1)/$AB$4)))</f>
        <v>65810.581678080009</v>
      </c>
      <c r="AF12" s="7"/>
      <c r="AG12" s="7">
        <f>'PERIODIC ENGINE'!A7</f>
        <v>5</v>
      </c>
      <c r="AH12" s="7">
        <f>IF($AG12="","",IF($AG12=0,INPUTS!$C$8,AK11))</f>
        <v>53139.419186695319</v>
      </c>
      <c r="AI12" s="7">
        <f>IF($AG12="","",'PERIODIC ENGINE'!D7/'PERIODIC ENGINE'!$S$3)</f>
        <v>10000</v>
      </c>
      <c r="AJ12" s="7">
        <f>IF($AG12="","",(1+$AH$4)^'PERIODIC ENGINE'!$S$3)</f>
        <v>1.095</v>
      </c>
      <c r="AK12" s="7">
        <f>IF($AG12="","",IF($AH$4=0,AH12+'PERIODIC ENGINE'!D7,AH12*AJ12+IF(INPUTS!$C$12="Beginning",AI12*(1+$AH$4)*(AJ12-1)/$AH$4,AI12*(AJ12-1)/$AH$4)))</f>
        <v>69137.664009431377</v>
      </c>
      <c r="AL12" s="7"/>
      <c r="AM12" s="7">
        <f>'PERIODIC ENGINE'!A7</f>
        <v>5</v>
      </c>
      <c r="AN12" s="7">
        <f>IF($AM12="","",IF($AM12=0,INPUTS!$C$8,AQ11))</f>
        <v>55427.362238250011</v>
      </c>
      <c r="AO12" s="7">
        <f>IF($AM12="","",'PERIODIC ENGINE'!D7/'PERIODIC ENGINE'!$S$3)</f>
        <v>10000</v>
      </c>
      <c r="AP12" s="7">
        <f>IF($AM12="","",(1+$AN$4)^'PERIODIC ENGINE'!$S$3)</f>
        <v>1.1100000000000001</v>
      </c>
      <c r="AQ12" s="7">
        <f>IF($AM12="","",IF($AN$4=0,AN12+'PERIODIC ENGINE'!D7,AN12*AP12+IF(INPUTS!$C$12="Beginning",AO12*(1+$AN$4)*(AP12-1)/$AN$4,AO12*(AP12-1)/$AN$4)))</f>
        <v>72624.372084457515</v>
      </c>
      <c r="AR12" s="7"/>
      <c r="AS12" s="7"/>
      <c r="AT12" s="7"/>
      <c r="AU12" s="7"/>
      <c r="AV12" s="7"/>
      <c r="AW12" s="7"/>
      <c r="AX12" s="7"/>
      <c r="AY12" s="7"/>
      <c r="AZ12" s="7"/>
    </row>
    <row r="13" spans="1:52" ht="18" customHeight="1" x14ac:dyDescent="0.25">
      <c r="A13" s="7">
        <f>IF(ENGINE!A13="","",ENGINE!B13)</f>
        <v>33</v>
      </c>
      <c r="B13" s="7">
        <f>IF(ENGINE!A13="","",INDEX('PERIODIC ENGINE'!$J$2:$J$102,MATCH(ENGINE!A13,'PERIODIC ENGINE'!$A$2:$A$102,0)))</f>
        <v>225430.20396553262</v>
      </c>
      <c r="C13" s="7">
        <f>IF(B13="","",B13/(1+INPUTS!$C$11)^ENGINE!A13)</f>
        <v>118753.81929553121</v>
      </c>
      <c r="D13" s="7"/>
      <c r="E13" s="7">
        <f>IF(ENGINE!A13="","",ENGINE!A13)</f>
        <v>11</v>
      </c>
      <c r="F13" s="7">
        <f>IF(ENGINE!A13="","",ENGINE!AI13-ENGINE!D13)</f>
        <v>95760.408641295377</v>
      </c>
      <c r="G13" s="7"/>
      <c r="H13" s="7">
        <f>IF(ENGINE!A13="","",ENGINE!B13)</f>
        <v>33</v>
      </c>
      <c r="I13" s="7">
        <f>IF(ENGINE!A13="","",INDEX('PERIODIC ENGINE'!$J$2:$J$102,MATCH(ENGINE!A13,'PERIODIC ENGINE'!$A$2:$A$102,0)))</f>
        <v>225430.20396553262</v>
      </c>
      <c r="J13" s="7">
        <f>IF(ENGINE!A13="","",500000)</f>
        <v>500000</v>
      </c>
      <c r="K13" s="7">
        <f>IF(ENGINE!A13="","",1000000)</f>
        <v>1000000</v>
      </c>
      <c r="L13" s="7">
        <f>IF(ENGINE!A13="","",2000000)</f>
        <v>2000000</v>
      </c>
      <c r="M13" s="7"/>
      <c r="N13" s="7">
        <f>IF(ENGINE!A13="","",ENGINE!B13)</f>
        <v>33</v>
      </c>
      <c r="O13" s="7">
        <f>IF(ENGINE!A13="","",ENGINE!D13)</f>
        <v>14000</v>
      </c>
      <c r="P13" s="7">
        <f>IF(ENGINE!A13="","",ENGINE!K13)</f>
        <v>20493.654905957508</v>
      </c>
      <c r="Q13" s="7"/>
      <c r="R13" s="7">
        <f>IF(ENGINE!A13="","",ENGINE!A13)</f>
        <v>11</v>
      </c>
      <c r="S13" s="7">
        <f>IF(ENGINE!A13="","",ENGINE!AC13)</f>
        <v>7451.5775195462911</v>
      </c>
      <c r="T13" s="7">
        <f>IF(ENGINE!A13="","",ENGINE!AD13)</f>
        <v>0</v>
      </c>
      <c r="U13" s="7">
        <f>IF(ENGINE!A13="","",ENGINE!AG13)</f>
        <v>9709.4931687107601</v>
      </c>
      <c r="V13" s="7">
        <f>IF(ENGINE!A13="","",ENGINE!AI13)</f>
        <v>109760.40864129538</v>
      </c>
      <c r="W13" s="7"/>
      <c r="X13" s="7"/>
      <c r="Y13" s="7"/>
      <c r="Z13" s="7"/>
      <c r="AA13" s="7">
        <f>'PERIODIC ENGINE'!A8</f>
        <v>6</v>
      </c>
      <c r="AB13" s="7">
        <f>IF($AA13="","",IF($AA13=0,INPUTS!$C$8,AE12))</f>
        <v>65810.581678080009</v>
      </c>
      <c r="AC13" s="7">
        <f>IF($AA13="","",'PERIODIC ENGINE'!D8/'PERIODIC ENGINE'!$S$3)</f>
        <v>10500</v>
      </c>
      <c r="AD13" s="7">
        <f>IF($AA13="","",(1+$AB$4)^'PERIODIC ENGINE'!$S$3)</f>
        <v>1.08</v>
      </c>
      <c r="AE13" s="7">
        <f>IF($AA13="","",IF($AB$4=0,AB13+'PERIODIC ENGINE'!D8,AB13*AD13+IF(INPUTS!$C$12="Beginning",AC13*(1+$AB$4)*(AD13-1)/$AB$4,AC13*(AD13-1)/$AB$4)))</f>
        <v>82415.428212326413</v>
      </c>
      <c r="AF13" s="7"/>
      <c r="AG13" s="7">
        <f>'PERIODIC ENGINE'!A8</f>
        <v>6</v>
      </c>
      <c r="AH13" s="7">
        <f>IF($AG13="","",IF($AG13=0,INPUTS!$C$8,AK12))</f>
        <v>69137.664009431377</v>
      </c>
      <c r="AI13" s="7">
        <f>IF($AG13="","",'PERIODIC ENGINE'!D8/'PERIODIC ENGINE'!$S$3)</f>
        <v>10500</v>
      </c>
      <c r="AJ13" s="7">
        <f>IF($AG13="","",(1+$AH$4)^'PERIODIC ENGINE'!$S$3)</f>
        <v>1.095</v>
      </c>
      <c r="AK13" s="7">
        <f>IF($AG13="","",IF($AH$4=0,AH13+'PERIODIC ENGINE'!D8,AH13*AJ13+IF(INPUTS!$C$12="Beginning",AI13*(1+$AH$4)*(AJ13-1)/$AH$4,AI13*(AJ13-1)/$AH$4)))</f>
        <v>87203.24209032736</v>
      </c>
      <c r="AL13" s="7"/>
      <c r="AM13" s="7">
        <f>'PERIODIC ENGINE'!A8</f>
        <v>6</v>
      </c>
      <c r="AN13" s="7">
        <f>IF($AM13="","",IF($AM13=0,INPUTS!$C$8,AQ12))</f>
        <v>72624.372084457515</v>
      </c>
      <c r="AO13" s="7">
        <f>IF($AM13="","",'PERIODIC ENGINE'!D8/'PERIODIC ENGINE'!$S$3)</f>
        <v>10500</v>
      </c>
      <c r="AP13" s="7">
        <f>IF($AM13="","",(1+$AN$4)^'PERIODIC ENGINE'!$S$3)</f>
        <v>1.1100000000000001</v>
      </c>
      <c r="AQ13" s="7">
        <f>IF($AM13="","",IF($AN$4=0,AN13+'PERIODIC ENGINE'!D8,AN13*AP13+IF(INPUTS!$C$12="Beginning",AO13*(1+$AN$4)*(AP13-1)/$AN$4,AO13*(AP13-1)/$AN$4)))</f>
        <v>92268.053013747849</v>
      </c>
      <c r="AR13" s="7"/>
      <c r="AS13" s="7"/>
      <c r="AT13" s="7"/>
      <c r="AU13" s="7"/>
      <c r="AV13" s="7"/>
      <c r="AW13" s="7"/>
      <c r="AX13" s="7"/>
      <c r="AY13" s="7"/>
      <c r="AZ13" s="7"/>
    </row>
    <row r="14" spans="1:52" ht="18" customHeight="1" x14ac:dyDescent="0.25">
      <c r="A14" s="7">
        <f>IF(ENGINE!A14="","",ENGINE!B14)</f>
        <v>34</v>
      </c>
      <c r="B14" s="7">
        <f>IF(ENGINE!A14="","",INDEX('PERIODIC ENGINE'!$J$2:$J$102,MATCH(ENGINE!A14,'PERIODIC ENGINE'!$A$2:$A$102,0)))</f>
        <v>264473.22436208592</v>
      </c>
      <c r="C14" s="7">
        <f>IF(B14="","",B14/(1+INPUTS!$C$11)^ENGINE!A14)</f>
        <v>131435.0899943831</v>
      </c>
      <c r="D14" s="7"/>
      <c r="E14" s="7">
        <f>IF(ENGINE!A14="","",ENGINE!A14)</f>
        <v>12</v>
      </c>
      <c r="F14" s="7">
        <f>IF(ENGINE!A14="","",ENGINE!AI14-ENGINE!D14)</f>
        <v>98238.850900534249</v>
      </c>
      <c r="G14" s="7"/>
      <c r="H14" s="7">
        <f>IF(ENGINE!A14="","",ENGINE!B14)</f>
        <v>34</v>
      </c>
      <c r="I14" s="7">
        <f>IF(ENGINE!A14="","",INDEX('PERIODIC ENGINE'!$J$2:$J$102,MATCH(ENGINE!A14,'PERIODIC ENGINE'!$A$2:$A$102,0)))</f>
        <v>264473.22436208592</v>
      </c>
      <c r="J14" s="7">
        <f>IF(ENGINE!A14="","",500000)</f>
        <v>500000</v>
      </c>
      <c r="K14" s="7">
        <f>IF(ENGINE!A14="","",1000000)</f>
        <v>1000000</v>
      </c>
      <c r="L14" s="7">
        <f>IF(ENGINE!A14="","",2000000)</f>
        <v>2000000</v>
      </c>
      <c r="M14" s="7"/>
      <c r="N14" s="7">
        <f>IF(ENGINE!A14="","",ENGINE!B14)</f>
        <v>34</v>
      </c>
      <c r="O14" s="7">
        <f>IF(ENGINE!A14="","",ENGINE!D14)</f>
        <v>15000</v>
      </c>
      <c r="P14" s="7">
        <f>IF(ENGINE!A14="","",ENGINE!K14)</f>
        <v>24043.02039655326</v>
      </c>
      <c r="Q14" s="7"/>
      <c r="R14" s="7">
        <f>IF(ENGINE!A14="","",ENGINE!A14)</f>
        <v>12</v>
      </c>
      <c r="S14" s="7">
        <f>IF(ENGINE!A14="","",ENGINE!AC14)</f>
        <v>7489.4948451326809</v>
      </c>
      <c r="T14" s="7">
        <f>IF(ENGINE!A14="","",ENGINE!AD14)</f>
        <v>0</v>
      </c>
      <c r="U14" s="7">
        <f>IF(ENGINE!A14="","",ENGINE!AG14)</f>
        <v>10000.777963772083</v>
      </c>
      <c r="V14" s="7">
        <f>IF(ENGINE!A14="","",ENGINE!AI14)</f>
        <v>113238.85090053425</v>
      </c>
      <c r="W14" s="7"/>
      <c r="X14" s="7"/>
      <c r="Y14" s="7"/>
      <c r="Z14" s="7"/>
      <c r="AA14" s="7">
        <f>'PERIODIC ENGINE'!A9</f>
        <v>7</v>
      </c>
      <c r="AB14" s="7">
        <f>IF($AA14="","",IF($AA14=0,INPUTS!$C$8,AE13))</f>
        <v>82415.428212326413</v>
      </c>
      <c r="AC14" s="7">
        <f>IF($AA14="","",'PERIODIC ENGINE'!D9/'PERIODIC ENGINE'!$S$3)</f>
        <v>11000</v>
      </c>
      <c r="AD14" s="7">
        <f>IF($AA14="","",(1+$AB$4)^'PERIODIC ENGINE'!$S$3)</f>
        <v>1.08</v>
      </c>
      <c r="AE14" s="7">
        <f>IF($AA14="","",IF($AB$4=0,AB14+'PERIODIC ENGINE'!D9,AB14*AD14+IF(INPUTS!$C$12="Beginning",AC14*(1+$AB$4)*(AD14-1)/$AB$4,AC14*(AD14-1)/$AB$4)))</f>
        <v>100888.66246931253</v>
      </c>
      <c r="AF14" s="7"/>
      <c r="AG14" s="7">
        <f>'PERIODIC ENGINE'!A9</f>
        <v>7</v>
      </c>
      <c r="AH14" s="7">
        <f>IF($AG14="","",IF($AG14=0,INPUTS!$C$8,AK13))</f>
        <v>87203.24209032736</v>
      </c>
      <c r="AI14" s="7">
        <f>IF($AG14="","",'PERIODIC ENGINE'!D9/'PERIODIC ENGINE'!$S$3)</f>
        <v>11000</v>
      </c>
      <c r="AJ14" s="7">
        <f>IF($AG14="","",(1+$AH$4)^'PERIODIC ENGINE'!$S$3)</f>
        <v>1.095</v>
      </c>
      <c r="AK14" s="7">
        <f>IF($AG14="","",IF($AH$4=0,AH14+'PERIODIC ENGINE'!D9,AH14*AJ14+IF(INPUTS!$C$12="Beginning",AI14*(1+$AH$4)*(AJ14-1)/$AH$4,AI14*(AJ14-1)/$AH$4)))</f>
        <v>107532.55008890845</v>
      </c>
      <c r="AL14" s="7"/>
      <c r="AM14" s="7">
        <f>'PERIODIC ENGINE'!A9</f>
        <v>7</v>
      </c>
      <c r="AN14" s="7">
        <f>IF($AM14="","",IF($AM14=0,INPUTS!$C$8,AQ13))</f>
        <v>92268.053013747849</v>
      </c>
      <c r="AO14" s="7">
        <f>IF($AM14="","",'PERIODIC ENGINE'!D9/'PERIODIC ENGINE'!$S$3)</f>
        <v>11000</v>
      </c>
      <c r="AP14" s="7">
        <f>IF($AM14="","",(1+$AN$4)^'PERIODIC ENGINE'!$S$3)</f>
        <v>1.1100000000000001</v>
      </c>
      <c r="AQ14" s="7">
        <f>IF($AM14="","",IF($AN$4=0,AN14+'PERIODIC ENGINE'!D9,AN14*AP14+IF(INPUTS!$C$12="Beginning",AO14*(1+$AN$4)*(AP14-1)/$AN$4,AO14*(AP14-1)/$AN$4)))</f>
        <v>114627.53884526012</v>
      </c>
      <c r="AR14" s="7"/>
      <c r="AS14" s="7"/>
      <c r="AT14" s="7"/>
      <c r="AU14" s="7"/>
      <c r="AV14" s="7"/>
      <c r="AW14" s="7"/>
      <c r="AX14" s="7"/>
      <c r="AY14" s="7"/>
      <c r="AZ14" s="7"/>
    </row>
    <row r="15" spans="1:52" ht="18" customHeight="1" x14ac:dyDescent="0.25">
      <c r="A15" s="7">
        <f>IF(ENGINE!A15="","",ENGINE!B15)</f>
        <v>35</v>
      </c>
      <c r="B15" s="7">
        <f>IF(ENGINE!A15="","",INDEX('PERIODIC ENGINE'!$J$2:$J$102,MATCH(ENGINE!A15,'PERIODIC ENGINE'!$A$2:$A$102,0)))</f>
        <v>307970.54679829453</v>
      </c>
      <c r="C15" s="7">
        <f>IF(B15="","",B15/(1+INPUTS!$C$11)^ENGINE!A15)</f>
        <v>144388.61004038609</v>
      </c>
      <c r="D15" s="7"/>
      <c r="E15" s="7">
        <f>IF(ENGINE!A15="","",ENGINE!A15)</f>
        <v>13</v>
      </c>
      <c r="F15" s="7">
        <f>IF(ENGINE!A15="","",ENGINE!AI15-ENGINE!D15)</f>
        <v>101331.07642755027</v>
      </c>
      <c r="G15" s="7"/>
      <c r="H15" s="7">
        <f>IF(ENGINE!A15="","",ENGINE!B15)</f>
        <v>35</v>
      </c>
      <c r="I15" s="7">
        <f>IF(ENGINE!A15="","",INDEX('PERIODIC ENGINE'!$J$2:$J$102,MATCH(ENGINE!A15,'PERIODIC ENGINE'!$A$2:$A$102,0)))</f>
        <v>307970.54679829453</v>
      </c>
      <c r="J15" s="7">
        <f>IF(ENGINE!A15="","",500000)</f>
        <v>500000</v>
      </c>
      <c r="K15" s="7">
        <f>IF(ENGINE!A15="","",1000000)</f>
        <v>1000000</v>
      </c>
      <c r="L15" s="7">
        <f>IF(ENGINE!A15="","",2000000)</f>
        <v>2000000</v>
      </c>
      <c r="M15" s="7"/>
      <c r="N15" s="7">
        <f>IF(ENGINE!A15="","",ENGINE!B15)</f>
        <v>35</v>
      </c>
      <c r="O15" s="7">
        <f>IF(ENGINE!A15="","",ENGINE!D15)</f>
        <v>15500</v>
      </c>
      <c r="P15" s="7">
        <f>IF(ENGINE!A15="","",ENGINE!K15)</f>
        <v>27997.322436208589</v>
      </c>
      <c r="Q15" s="7"/>
      <c r="R15" s="7">
        <f>IF(ENGINE!A15="","",ENGINE!A15)</f>
        <v>13</v>
      </c>
      <c r="S15" s="7">
        <f>IF(ENGINE!A15="","",ENGINE!AC15)</f>
        <v>7519.119690486662</v>
      </c>
      <c r="T15" s="7">
        <f>IF(ENGINE!A15="","",ENGINE!AD15)</f>
        <v>0</v>
      </c>
      <c r="U15" s="7">
        <f>IF(ENGINE!A15="","",ENGINE!AG15)</f>
        <v>10300.801302685248</v>
      </c>
      <c r="V15" s="7">
        <f>IF(ENGINE!A15="","",ENGINE!AI15)</f>
        <v>116831.07642755027</v>
      </c>
      <c r="W15" s="7"/>
      <c r="X15" s="7"/>
      <c r="Y15" s="7"/>
      <c r="Z15" s="7"/>
      <c r="AA15" s="7">
        <f>'PERIODIC ENGINE'!A10</f>
        <v>8</v>
      </c>
      <c r="AB15" s="7">
        <f>IF($AA15="","",IF($AA15=0,INPUTS!$C$8,AE14))</f>
        <v>100888.66246931253</v>
      </c>
      <c r="AC15" s="7">
        <f>IF($AA15="","",'PERIODIC ENGINE'!D10/'PERIODIC ENGINE'!$S$3)</f>
        <v>11500</v>
      </c>
      <c r="AD15" s="7">
        <f>IF($AA15="","",(1+$AB$4)^'PERIODIC ENGINE'!$S$3)</f>
        <v>1.08</v>
      </c>
      <c r="AE15" s="7">
        <f>IF($AA15="","",IF($AB$4=0,AB15+'PERIODIC ENGINE'!D10,AB15*AD15+IF(INPUTS!$C$12="Beginning",AC15*(1+$AB$4)*(AD15-1)/$AB$4,AC15*(AD15-1)/$AB$4)))</f>
        <v>121379.75546685755</v>
      </c>
      <c r="AF15" s="7"/>
      <c r="AG15" s="7">
        <f>'PERIODIC ENGINE'!A10</f>
        <v>8</v>
      </c>
      <c r="AH15" s="7">
        <f>IF($AG15="","",IF($AG15=0,INPUTS!$C$8,AK14))</f>
        <v>107532.55008890845</v>
      </c>
      <c r="AI15" s="7">
        <f>IF($AG15="","",'PERIODIC ENGINE'!D10/'PERIODIC ENGINE'!$S$3)</f>
        <v>11500</v>
      </c>
      <c r="AJ15" s="7">
        <f>IF($AG15="","",(1+$AH$4)^'PERIODIC ENGINE'!$S$3)</f>
        <v>1.095</v>
      </c>
      <c r="AK15" s="7">
        <f>IF($AG15="","",IF($AH$4=0,AH15+'PERIODIC ENGINE'!D10,AH15*AJ15+IF(INPUTS!$C$12="Beginning",AI15*(1+$AH$4)*(AJ15-1)/$AH$4,AI15*(AJ15-1)/$AH$4)))</f>
        <v>130340.64234735475</v>
      </c>
      <c r="AL15" s="7"/>
      <c r="AM15" s="7">
        <f>'PERIODIC ENGINE'!A10</f>
        <v>8</v>
      </c>
      <c r="AN15" s="7">
        <f>IF($AM15="","",IF($AM15=0,INPUTS!$C$8,AQ14))</f>
        <v>114627.53884526012</v>
      </c>
      <c r="AO15" s="7">
        <f>IF($AM15="","",'PERIODIC ENGINE'!D10/'PERIODIC ENGINE'!$S$3)</f>
        <v>11500</v>
      </c>
      <c r="AP15" s="7">
        <f>IF($AM15="","",(1+$AN$4)^'PERIODIC ENGINE'!$S$3)</f>
        <v>1.1100000000000001</v>
      </c>
      <c r="AQ15" s="7">
        <f>IF($AM15="","",IF($AN$4=0,AN15+'PERIODIC ENGINE'!D10,AN15*AP15+IF(INPUTS!$C$12="Beginning",AO15*(1+$AN$4)*(AP15-1)/$AN$4,AO15*(AP15-1)/$AN$4)))</f>
        <v>140001.56811823876</v>
      </c>
      <c r="AR15" s="7"/>
      <c r="AS15" s="7"/>
      <c r="AT15" s="7"/>
      <c r="AU15" s="7"/>
      <c r="AV15" s="7"/>
      <c r="AW15" s="7"/>
      <c r="AX15" s="7"/>
      <c r="AY15" s="7"/>
      <c r="AZ15" s="7"/>
    </row>
    <row r="16" spans="1:52" ht="18" customHeight="1" x14ac:dyDescent="0.25">
      <c r="A16" s="7">
        <f>IF(ENGINE!A16="","",ENGINE!B16)</f>
        <v>36</v>
      </c>
      <c r="B16" s="7">
        <f>IF(ENGINE!A16="","",INDEX('PERIODIC ENGINE'!$J$2:$J$102,MATCH(ENGINE!A16,'PERIODIC ENGINE'!$A$2:$A$102,0)))</f>
        <v>356917.60147812398</v>
      </c>
      <c r="C16" s="7">
        <f>IF(B16="","",B16/(1+INPUTS!$C$11)^ENGINE!A16)</f>
        <v>157864.99933785401</v>
      </c>
      <c r="D16" s="7"/>
      <c r="E16" s="7">
        <f>IF(ENGINE!A16="","",ENGINE!A16)</f>
        <v>14</v>
      </c>
      <c r="F16" s="7">
        <f>IF(ENGINE!A16="","",ENGINE!AI16-ENGINE!D16)</f>
        <v>104043.83872037679</v>
      </c>
      <c r="G16" s="7"/>
      <c r="H16" s="7">
        <f>IF(ENGINE!A16="","",ENGINE!B16)</f>
        <v>36</v>
      </c>
      <c r="I16" s="7">
        <f>IF(ENGINE!A16="","",INDEX('PERIODIC ENGINE'!$J$2:$J$102,MATCH(ENGINE!A16,'PERIODIC ENGINE'!$A$2:$A$102,0)))</f>
        <v>356917.60147812398</v>
      </c>
      <c r="J16" s="7">
        <f>IF(ENGINE!A16="","",500000)</f>
        <v>500000</v>
      </c>
      <c r="K16" s="7">
        <f>IF(ENGINE!A16="","",1000000)</f>
        <v>1000000</v>
      </c>
      <c r="L16" s="7">
        <f>IF(ENGINE!A16="","",2000000)</f>
        <v>2000000</v>
      </c>
      <c r="M16" s="7"/>
      <c r="N16" s="7">
        <f>IF(ENGINE!A16="","",ENGINE!B16)</f>
        <v>36</v>
      </c>
      <c r="O16" s="7">
        <f>IF(ENGINE!A16="","",ENGINE!D16)</f>
        <v>16500</v>
      </c>
      <c r="P16" s="7">
        <f>IF(ENGINE!A16="","",ENGINE!K16)</f>
        <v>32447.054679829449</v>
      </c>
      <c r="Q16" s="7"/>
      <c r="R16" s="7">
        <f>IF(ENGINE!A16="","",ENGINE!A16)</f>
        <v>14</v>
      </c>
      <c r="S16" s="7">
        <f>IF(ENGINE!A16="","",ENGINE!AC16)</f>
        <v>7536.863281201262</v>
      </c>
      <c r="T16" s="7">
        <f>IF(ENGINE!A16="","",ENGINE!AD16)</f>
        <v>0</v>
      </c>
      <c r="U16" s="7">
        <f>IF(ENGINE!A16="","",ENGINE!AG16)</f>
        <v>10609.825341765805</v>
      </c>
      <c r="V16" s="7">
        <f>IF(ENGINE!A16="","",ENGINE!AI16)</f>
        <v>120543.83872037679</v>
      </c>
      <c r="W16" s="7"/>
      <c r="X16" s="7"/>
      <c r="Y16" s="7"/>
      <c r="Z16" s="7"/>
      <c r="AA16" s="7">
        <f>'PERIODIC ENGINE'!A11</f>
        <v>9</v>
      </c>
      <c r="AB16" s="7">
        <f>IF($AA16="","",IF($AA16=0,INPUTS!$C$8,AE15))</f>
        <v>121379.75546685755</v>
      </c>
      <c r="AC16" s="7">
        <f>IF($AA16="","",'PERIODIC ENGINE'!D11/'PERIODIC ENGINE'!$S$3)</f>
        <v>12500</v>
      </c>
      <c r="AD16" s="7">
        <f>IF($AA16="","",(1+$AB$4)^'PERIODIC ENGINE'!$S$3)</f>
        <v>1.08</v>
      </c>
      <c r="AE16" s="7">
        <f>IF($AA16="","",IF($AB$4=0,AB16+'PERIODIC ENGINE'!D11,AB16*AD16+IF(INPUTS!$C$12="Beginning",AC16*(1+$AB$4)*(AD16-1)/$AB$4,AC16*(AD16-1)/$AB$4)))</f>
        <v>144590.13590420617</v>
      </c>
      <c r="AF16" s="7"/>
      <c r="AG16" s="7">
        <f>'PERIODIC ENGINE'!A11</f>
        <v>9</v>
      </c>
      <c r="AH16" s="7">
        <f>IF($AG16="","",IF($AG16=0,INPUTS!$C$8,AK15))</f>
        <v>130340.64234735475</v>
      </c>
      <c r="AI16" s="7">
        <f>IF($AG16="","",'PERIODIC ENGINE'!D11/'PERIODIC ENGINE'!$S$3)</f>
        <v>12500</v>
      </c>
      <c r="AJ16" s="7">
        <f>IF($AG16="","",(1+$AH$4)^'PERIODIC ENGINE'!$S$3)</f>
        <v>1.095</v>
      </c>
      <c r="AK16" s="7">
        <f>IF($AG16="","",IF($AH$4=0,AH16+'PERIODIC ENGINE'!D11,AH16*AJ16+IF(INPUTS!$C$12="Beginning",AI16*(1+$AH$4)*(AJ16-1)/$AH$4,AI16*(AJ16-1)/$AH$4)))</f>
        <v>156410.50337035346</v>
      </c>
      <c r="AL16" s="7"/>
      <c r="AM16" s="7">
        <f>'PERIODIC ENGINE'!A11</f>
        <v>9</v>
      </c>
      <c r="AN16" s="7">
        <f>IF($AM16="","",IF($AM16=0,INPUTS!$C$8,AQ15))</f>
        <v>140001.56811823876</v>
      </c>
      <c r="AO16" s="7">
        <f>IF($AM16="","",'PERIODIC ENGINE'!D11/'PERIODIC ENGINE'!$S$3)</f>
        <v>12500</v>
      </c>
      <c r="AP16" s="7">
        <f>IF($AM16="","",(1+$AN$4)^'PERIODIC ENGINE'!$S$3)</f>
        <v>1.1100000000000001</v>
      </c>
      <c r="AQ16" s="7">
        <f>IF($AM16="","",IF($AN$4=0,AN16+'PERIODIC ENGINE'!D11,AN16*AP16+IF(INPUTS!$C$12="Beginning",AO16*(1+$AN$4)*(AP16-1)/$AN$4,AO16*(AP16-1)/$AN$4)))</f>
        <v>169276.74061124504</v>
      </c>
      <c r="AR16" s="7"/>
      <c r="AS16" s="7"/>
      <c r="AT16" s="7"/>
      <c r="AU16" s="7"/>
      <c r="AV16" s="7"/>
      <c r="AW16" s="7"/>
      <c r="AX16" s="7"/>
      <c r="AY16" s="7"/>
      <c r="AZ16" s="7"/>
    </row>
    <row r="17" spans="1:52" ht="18" customHeight="1" x14ac:dyDescent="0.25">
      <c r="A17" s="7">
        <f>IF(ENGINE!A17="","",ENGINE!B17)</f>
        <v>37</v>
      </c>
      <c r="B17" s="7">
        <f>IF(ENGINE!A17="","",INDEX('PERIODIC ENGINE'!$J$2:$J$102,MATCH(ENGINE!A17,'PERIODIC ENGINE'!$A$2:$A$102,0)))</f>
        <v>411859.36162593641</v>
      </c>
      <c r="C17" s="7">
        <f>IF(B17="","",B17/(1+INPUTS!$C$11)^ENGINE!A17)</f>
        <v>171854.52154334722</v>
      </c>
      <c r="D17" s="7"/>
      <c r="E17" s="7">
        <f>IF(ENGINE!A17="","",ENGINE!A17)</f>
        <v>15</v>
      </c>
      <c r="F17" s="7">
        <f>IF(ENGINE!A17="","",ENGINE!AI17-ENGINE!D17)</f>
        <v>106880.97388198809</v>
      </c>
      <c r="G17" s="7"/>
      <c r="H17" s="7">
        <f>IF(ENGINE!A17="","",ENGINE!B17)</f>
        <v>37</v>
      </c>
      <c r="I17" s="7">
        <f>IF(ENGINE!A17="","",INDEX('PERIODIC ENGINE'!$J$2:$J$102,MATCH(ENGINE!A17,'PERIODIC ENGINE'!$A$2:$A$102,0)))</f>
        <v>411859.36162593641</v>
      </c>
      <c r="J17" s="7">
        <f>IF(ENGINE!A17="","",500000)</f>
        <v>500000</v>
      </c>
      <c r="K17" s="7">
        <f>IF(ENGINE!A17="","",1000000)</f>
        <v>1000000</v>
      </c>
      <c r="L17" s="7">
        <f>IF(ENGINE!A17="","",2000000)</f>
        <v>2000000</v>
      </c>
      <c r="M17" s="7"/>
      <c r="N17" s="7">
        <f>IF(ENGINE!A17="","",ENGINE!B17)</f>
        <v>37</v>
      </c>
      <c r="O17" s="7">
        <f>IF(ENGINE!A17="","",ENGINE!D17)</f>
        <v>17500</v>
      </c>
      <c r="P17" s="7">
        <f>IF(ENGINE!A17="","",ENGINE!K17)</f>
        <v>37441.760147812391</v>
      </c>
      <c r="Q17" s="7"/>
      <c r="R17" s="7">
        <f>IF(ENGINE!A17="","",ENGINE!A17)</f>
        <v>15</v>
      </c>
      <c r="S17" s="7">
        <f>IF(ENGINE!A17="","",ENGINE!AC17)</f>
        <v>7542.1491796372993</v>
      </c>
      <c r="T17" s="7">
        <f>IF(ENGINE!A17="","",ENGINE!AD17)</f>
        <v>0</v>
      </c>
      <c r="U17" s="7">
        <f>IF(ENGINE!A17="","",ENGINE!AG17)</f>
        <v>10928.120102018778</v>
      </c>
      <c r="V17" s="7">
        <f>IF(ENGINE!A17="","",ENGINE!AI17)</f>
        <v>124380.97388198809</v>
      </c>
      <c r="W17" s="7"/>
      <c r="X17" s="7"/>
      <c r="Y17" s="7"/>
      <c r="Z17" s="7"/>
      <c r="AA17" s="7">
        <f>'PERIODIC ENGINE'!A12</f>
        <v>10</v>
      </c>
      <c r="AB17" s="7">
        <f>IF($AA17="","",IF($AA17=0,INPUTS!$C$8,AE16))</f>
        <v>144590.13590420617</v>
      </c>
      <c r="AC17" s="7">
        <f>IF($AA17="","",'PERIODIC ENGINE'!D12/'PERIODIC ENGINE'!$S$3)</f>
        <v>13000</v>
      </c>
      <c r="AD17" s="7">
        <f>IF($AA17="","",(1+$AB$4)^'PERIODIC ENGINE'!$S$3)</f>
        <v>1.08</v>
      </c>
      <c r="AE17" s="7">
        <f>IF($AA17="","",IF($AB$4=0,AB17+'PERIODIC ENGINE'!D12,AB17*AD17+IF(INPUTS!$C$12="Beginning",AC17*(1+$AB$4)*(AD17-1)/$AB$4,AC17*(AD17-1)/$AB$4)))</f>
        <v>170197.34677654266</v>
      </c>
      <c r="AF17" s="7"/>
      <c r="AG17" s="7">
        <f>'PERIODIC ENGINE'!A12</f>
        <v>10</v>
      </c>
      <c r="AH17" s="7">
        <f>IF($AG17="","",IF($AG17=0,INPUTS!$C$8,AK16))</f>
        <v>156410.50337035346</v>
      </c>
      <c r="AI17" s="7">
        <f>IF($AG17="","",'PERIODIC ENGINE'!D12/'PERIODIC ENGINE'!$S$3)</f>
        <v>13000</v>
      </c>
      <c r="AJ17" s="7">
        <f>IF($AG17="","",(1+$AH$4)^'PERIODIC ENGINE'!$S$3)</f>
        <v>1.095</v>
      </c>
      <c r="AK17" s="7">
        <f>IF($AG17="","",IF($AH$4=0,AH17+'PERIODIC ENGINE'!D12,AH17*AJ17+IF(INPUTS!$C$12="Beginning",AI17*(1+$AH$4)*(AJ17-1)/$AH$4,AI17*(AJ17-1)/$AH$4)))</f>
        <v>185504.50119053703</v>
      </c>
      <c r="AL17" s="7"/>
      <c r="AM17" s="7">
        <f>'PERIODIC ENGINE'!A12</f>
        <v>10</v>
      </c>
      <c r="AN17" s="7">
        <f>IF($AM17="","",IF($AM17=0,INPUTS!$C$8,AQ16))</f>
        <v>169276.74061124504</v>
      </c>
      <c r="AO17" s="7">
        <f>IF($AM17="","",'PERIODIC ENGINE'!D12/'PERIODIC ENGINE'!$S$3)</f>
        <v>13000</v>
      </c>
      <c r="AP17" s="7">
        <f>IF($AM17="","",(1+$AN$4)^'PERIODIC ENGINE'!$S$3)</f>
        <v>1.1100000000000001</v>
      </c>
      <c r="AQ17" s="7">
        <f>IF($AM17="","",IF($AN$4=0,AN17+'PERIODIC ENGINE'!D12,AN17*AP17+IF(INPUTS!$C$12="Beginning",AO17*(1+$AN$4)*(AP17-1)/$AN$4,AO17*(AP17-1)/$AN$4)))</f>
        <v>202327.182078482</v>
      </c>
      <c r="AR17" s="7"/>
      <c r="AS17" s="7"/>
      <c r="AT17" s="7"/>
      <c r="AU17" s="7"/>
      <c r="AV17" s="7"/>
      <c r="AW17" s="7"/>
      <c r="AX17" s="7"/>
      <c r="AY17" s="7"/>
      <c r="AZ17" s="7"/>
    </row>
    <row r="18" spans="1:52" ht="18" customHeight="1" x14ac:dyDescent="0.25">
      <c r="A18" s="7">
        <f>IF(ENGINE!A18="","",ENGINE!B18)</f>
        <v>38</v>
      </c>
      <c r="B18" s="7">
        <f>IF(ENGINE!A18="","",INDEX('PERIODIC ENGINE'!$J$2:$J$102,MATCH(ENGINE!A18,'PERIODIC ENGINE'!$A$2:$A$102,0)))</f>
        <v>473945.29778853006</v>
      </c>
      <c r="C18" s="7">
        <f>IF(B18="","",B18/(1+INPUTS!$C$11)^ENGINE!A18)</f>
        <v>186566.80515759886</v>
      </c>
      <c r="D18" s="7"/>
      <c r="E18" s="7">
        <f>IF(ENGINE!A18="","",ENGINE!A18)</f>
        <v>16</v>
      </c>
      <c r="F18" s="7">
        <f>IF(ENGINE!A18="","",ENGINE!AI18-ENGINE!D18)</f>
        <v>109345.40309844773</v>
      </c>
      <c r="G18" s="7"/>
      <c r="H18" s="7">
        <f>IF(ENGINE!A18="","",ENGINE!B18)</f>
        <v>38</v>
      </c>
      <c r="I18" s="7">
        <f>IF(ENGINE!A18="","",INDEX('PERIODIC ENGINE'!$J$2:$J$102,MATCH(ENGINE!A18,'PERIODIC ENGINE'!$A$2:$A$102,0)))</f>
        <v>473945.29778853006</v>
      </c>
      <c r="J18" s="7">
        <f>IF(ENGINE!A18="","",500000)</f>
        <v>500000</v>
      </c>
      <c r="K18" s="7">
        <f>IF(ENGINE!A18="","",1000000)</f>
        <v>1000000</v>
      </c>
      <c r="L18" s="7">
        <f>IF(ENGINE!A18="","",2000000)</f>
        <v>2000000</v>
      </c>
      <c r="M18" s="7"/>
      <c r="N18" s="7">
        <f>IF(ENGINE!A18="","",ENGINE!B18)</f>
        <v>38</v>
      </c>
      <c r="O18" s="7">
        <f>IF(ENGINE!A18="","",ENGINE!D18)</f>
        <v>19000</v>
      </c>
      <c r="P18" s="7">
        <f>IF(ENGINE!A18="","",ENGINE!K18)</f>
        <v>43085.936162593636</v>
      </c>
      <c r="Q18" s="7"/>
      <c r="R18" s="7">
        <f>IF(ENGINE!A18="","",ENGINE!A18)</f>
        <v>16</v>
      </c>
      <c r="S18" s="7">
        <f>IF(ENGINE!A18="","",ENGINE!AC18)</f>
        <v>7535.4136550264193</v>
      </c>
      <c r="T18" s="7">
        <f>IF(ENGINE!A18="","",ENGINE!AD18)</f>
        <v>0</v>
      </c>
      <c r="U18" s="7">
        <f>IF(ENGINE!A18="","",ENGINE!AG18)</f>
        <v>11255.963705079343</v>
      </c>
      <c r="V18" s="7">
        <f>IF(ENGINE!A18="","",ENGINE!AI18)</f>
        <v>128345.40309844773</v>
      </c>
      <c r="W18" s="7"/>
      <c r="X18" s="7"/>
      <c r="Y18" s="7"/>
      <c r="Z18" s="7"/>
      <c r="AA18" s="7">
        <f>'PERIODIC ENGINE'!A13</f>
        <v>11</v>
      </c>
      <c r="AB18" s="7">
        <f>IF($AA18="","",IF($AA18=0,INPUTS!$C$8,AE17))</f>
        <v>170197.34677654266</v>
      </c>
      <c r="AC18" s="7">
        <f>IF($AA18="","",'PERIODIC ENGINE'!D13/'PERIODIC ENGINE'!$S$3)</f>
        <v>14000</v>
      </c>
      <c r="AD18" s="7">
        <f>IF($AA18="","",(1+$AB$4)^'PERIODIC ENGINE'!$S$3)</f>
        <v>1.08</v>
      </c>
      <c r="AE18" s="7">
        <f>IF($AA18="","",IF($AB$4=0,AB18+'PERIODIC ENGINE'!D13,AB18*AD18+IF(INPUTS!$C$12="Beginning",AC18*(1+$AB$4)*(AD18-1)/$AB$4,AC18*(AD18-1)/$AB$4)))</f>
        <v>198933.13451866608</v>
      </c>
      <c r="AF18" s="7"/>
      <c r="AG18" s="7">
        <f>'PERIODIC ENGINE'!A13</f>
        <v>11</v>
      </c>
      <c r="AH18" s="7">
        <f>IF($AG18="","",IF($AG18=0,INPUTS!$C$8,AK17))</f>
        <v>185504.50119053703</v>
      </c>
      <c r="AI18" s="7">
        <f>IF($AG18="","",'PERIODIC ENGINE'!D13/'PERIODIC ENGINE'!$S$3)</f>
        <v>14000</v>
      </c>
      <c r="AJ18" s="7">
        <f>IF($AG18="","",(1+$AH$4)^'PERIODIC ENGINE'!$S$3)</f>
        <v>1.095</v>
      </c>
      <c r="AK18" s="7">
        <f>IF($AG18="","",IF($AH$4=0,AH18+'PERIODIC ENGINE'!D13,AH18*AJ18+IF(INPUTS!$C$12="Beginning",AI18*(1+$AH$4)*(AJ18-1)/$AH$4,AI18*(AJ18-1)/$AH$4)))</f>
        <v>218457.42880363806</v>
      </c>
      <c r="AL18" s="7"/>
      <c r="AM18" s="7">
        <f>'PERIODIC ENGINE'!A13</f>
        <v>11</v>
      </c>
      <c r="AN18" s="7">
        <f>IF($AM18="","",IF($AM18=0,INPUTS!$C$8,AQ17))</f>
        <v>202327.182078482</v>
      </c>
      <c r="AO18" s="7">
        <f>IF($AM18="","",'PERIODIC ENGINE'!D13/'PERIODIC ENGINE'!$S$3)</f>
        <v>14000</v>
      </c>
      <c r="AP18" s="7">
        <f>IF($AM18="","",(1+$AN$4)^'PERIODIC ENGINE'!$S$3)</f>
        <v>1.1100000000000001</v>
      </c>
      <c r="AQ18" s="7">
        <f>IF($AM18="","",IF($AN$4=0,AN18+'PERIODIC ENGINE'!D13,AN18*AP18+IF(INPUTS!$C$12="Beginning",AO18*(1+$AN$4)*(AP18-1)/$AN$4,AO18*(AP18-1)/$AN$4)))</f>
        <v>240123.17210711504</v>
      </c>
      <c r="AR18" s="7"/>
      <c r="AS18" s="7"/>
      <c r="AT18" s="7"/>
      <c r="AU18" s="7"/>
      <c r="AV18" s="7"/>
      <c r="AW18" s="7"/>
      <c r="AX18" s="7"/>
      <c r="AY18" s="7"/>
      <c r="AZ18" s="7"/>
    </row>
    <row r="19" spans="1:52" ht="18" customHeight="1" x14ac:dyDescent="0.25">
      <c r="A19" s="7">
        <f>IF(ENGINE!A19="","",ENGINE!B19)</f>
        <v>39</v>
      </c>
      <c r="B19" s="7">
        <f>IF(ENGINE!A19="","",INDEX('PERIODIC ENGINE'!$J$2:$J$102,MATCH(ENGINE!A19,'PERIODIC ENGINE'!$A$2:$A$102,0)))</f>
        <v>543339.82756738318</v>
      </c>
      <c r="C19" s="7">
        <f>IF(B19="","",B19/(1+INPUTS!$C$11)^ENGINE!A19)</f>
        <v>201777.0791651319</v>
      </c>
      <c r="D19" s="7"/>
      <c r="E19" s="7">
        <f>IF(ENGINE!A19="","",ENGINE!A19)</f>
        <v>17</v>
      </c>
      <c r="F19" s="7">
        <f>IF(ENGINE!A19="","",ENGINE!AI19-ENGINE!D19)</f>
        <v>112440.13519140118</v>
      </c>
      <c r="G19" s="7"/>
      <c r="H19" s="7">
        <f>IF(ENGINE!A19="","",ENGINE!B19)</f>
        <v>39</v>
      </c>
      <c r="I19" s="7">
        <f>IF(ENGINE!A19="","",INDEX('PERIODIC ENGINE'!$J$2:$J$102,MATCH(ENGINE!A19,'PERIODIC ENGINE'!$A$2:$A$102,0)))</f>
        <v>543339.82756738318</v>
      </c>
      <c r="J19" s="7">
        <f>IF(ENGINE!A19="","",500000)</f>
        <v>500000</v>
      </c>
      <c r="K19" s="7">
        <f>IF(ENGINE!A19="","",1000000)</f>
        <v>1000000</v>
      </c>
      <c r="L19" s="7">
        <f>IF(ENGINE!A19="","",2000000)</f>
        <v>2000000</v>
      </c>
      <c r="M19" s="7"/>
      <c r="N19" s="7">
        <f>IF(ENGINE!A19="","",ENGINE!B19)</f>
        <v>39</v>
      </c>
      <c r="O19" s="7">
        <f>IF(ENGINE!A19="","",ENGINE!D19)</f>
        <v>20000</v>
      </c>
      <c r="P19" s="7">
        <f>IF(ENGINE!A19="","",ENGINE!K19)</f>
        <v>49394.529778853001</v>
      </c>
      <c r="Q19" s="7"/>
      <c r="R19" s="7">
        <f>IF(ENGINE!A19="","",ENGINE!A19)</f>
        <v>17</v>
      </c>
      <c r="S19" s="7">
        <f>IF(ENGINE!A19="","",ENGINE!AC19)</f>
        <v>7517.106064677213</v>
      </c>
      <c r="T19" s="7">
        <f>IF(ENGINE!A19="","",ENGINE!AD19)</f>
        <v>0</v>
      </c>
      <c r="U19" s="7">
        <f>IF(ENGINE!A19="","",ENGINE!AG19)</f>
        <v>11593.642616231722</v>
      </c>
      <c r="V19" s="7">
        <f>IF(ENGINE!A19="","",ENGINE!AI19)</f>
        <v>132440.13519140118</v>
      </c>
      <c r="W19" s="7"/>
      <c r="X19" s="7"/>
      <c r="Y19" s="7"/>
      <c r="Z19" s="7"/>
      <c r="AA19" s="7">
        <f>'PERIODIC ENGINE'!A14</f>
        <v>12</v>
      </c>
      <c r="AB19" s="7">
        <f>IF($AA19="","",IF($AA19=0,INPUTS!$C$8,AE18))</f>
        <v>198933.13451866608</v>
      </c>
      <c r="AC19" s="7">
        <f>IF($AA19="","",'PERIODIC ENGINE'!D14/'PERIODIC ENGINE'!$S$3)</f>
        <v>15000</v>
      </c>
      <c r="AD19" s="7">
        <f>IF($AA19="","",(1+$AB$4)^'PERIODIC ENGINE'!$S$3)</f>
        <v>1.08</v>
      </c>
      <c r="AE19" s="7">
        <f>IF($AA19="","",IF($AB$4=0,AB19+'PERIODIC ENGINE'!D14,AB19*AD19+IF(INPUTS!$C$12="Beginning",AC19*(1+$AB$4)*(AD19-1)/$AB$4,AC19*(AD19-1)/$AB$4)))</f>
        <v>231047.78528015938</v>
      </c>
      <c r="AF19" s="7"/>
      <c r="AG19" s="7">
        <f>'PERIODIC ENGINE'!A14</f>
        <v>12</v>
      </c>
      <c r="AH19" s="7">
        <f>IF($AG19="","",IF($AG19=0,INPUTS!$C$8,AK18))</f>
        <v>218457.42880363806</v>
      </c>
      <c r="AI19" s="7">
        <f>IF($AG19="","",'PERIODIC ENGINE'!D14/'PERIODIC ENGINE'!$S$3)</f>
        <v>15000</v>
      </c>
      <c r="AJ19" s="7">
        <f>IF($AG19="","",(1+$AH$4)^'PERIODIC ENGINE'!$S$3)</f>
        <v>1.095</v>
      </c>
      <c r="AK19" s="7">
        <f>IF($AG19="","",IF($AH$4=0,AH19+'PERIODIC ENGINE'!D14,AH19*AJ19+IF(INPUTS!$C$12="Beginning",AI19*(1+$AH$4)*(AJ19-1)/$AH$4,AI19*(AJ19-1)/$AH$4)))</f>
        <v>255635.88453998367</v>
      </c>
      <c r="AL19" s="7"/>
      <c r="AM19" s="7">
        <f>'PERIODIC ENGINE'!A14</f>
        <v>12</v>
      </c>
      <c r="AN19" s="7">
        <f>IF($AM19="","",IF($AM19=0,INPUTS!$C$8,AQ18))</f>
        <v>240123.17210711504</v>
      </c>
      <c r="AO19" s="7">
        <f>IF($AM19="","",'PERIODIC ENGINE'!D14/'PERIODIC ENGINE'!$S$3)</f>
        <v>15000</v>
      </c>
      <c r="AP19" s="7">
        <f>IF($AM19="","",(1+$AN$4)^'PERIODIC ENGINE'!$S$3)</f>
        <v>1.1100000000000001</v>
      </c>
      <c r="AQ19" s="7">
        <f>IF($AM19="","",IF($AN$4=0,AN19+'PERIODIC ENGINE'!D14,AN19*AP19+IF(INPUTS!$C$12="Beginning",AO19*(1+$AN$4)*(AP19-1)/$AN$4,AO19*(AP19-1)/$AN$4)))</f>
        <v>283186.7210388977</v>
      </c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18" customHeight="1" x14ac:dyDescent="0.25">
      <c r="A20" s="7">
        <f>IF(ENGINE!A20="","",ENGINE!B20)</f>
        <v>40</v>
      </c>
      <c r="B20" s="7">
        <f>IF(ENGINE!A20="","",INDEX('PERIODIC ENGINE'!$J$2:$J$102,MATCH(ENGINE!A20,'PERIODIC ENGINE'!$A$2:$A$102,0)))</f>
        <v>620773.8103241215</v>
      </c>
      <c r="C20" s="7">
        <f>IF(B20="","",B20/(1+INPUTS!$C$11)^ENGINE!A20)</f>
        <v>217484.25014267434</v>
      </c>
      <c r="D20" s="7"/>
      <c r="E20" s="7">
        <f>IF(ENGINE!A20="","",ENGINE!A20)</f>
        <v>18</v>
      </c>
      <c r="F20" s="7">
        <f>IF(ENGINE!A20="","",ENGINE!AI20-ENGINE!D20)</f>
        <v>115669.26924714321</v>
      </c>
      <c r="G20" s="7"/>
      <c r="H20" s="7">
        <f>IF(ENGINE!A20="","",ENGINE!B20)</f>
        <v>40</v>
      </c>
      <c r="I20" s="7">
        <f>IF(ENGINE!A20="","",INDEX('PERIODIC ENGINE'!$J$2:$J$102,MATCH(ENGINE!A20,'PERIODIC ENGINE'!$A$2:$A$102,0)))</f>
        <v>620773.8103241215</v>
      </c>
      <c r="J20" s="7">
        <f>IF(ENGINE!A20="","",500000)</f>
        <v>500000</v>
      </c>
      <c r="K20" s="7">
        <f>IF(ENGINE!A20="","",1000000)</f>
        <v>1000000</v>
      </c>
      <c r="L20" s="7">
        <f>IF(ENGINE!A20="","",2000000)</f>
        <v>2000000</v>
      </c>
      <c r="M20" s="7"/>
      <c r="N20" s="7">
        <f>IF(ENGINE!A20="","",ENGINE!B20)</f>
        <v>40</v>
      </c>
      <c r="O20" s="7">
        <f>IF(ENGINE!A20="","",ENGINE!D20)</f>
        <v>21000</v>
      </c>
      <c r="P20" s="7">
        <f>IF(ENGINE!A20="","",ENGINE!K20)</f>
        <v>56433.982756738311</v>
      </c>
      <c r="Q20" s="7"/>
      <c r="R20" s="7">
        <f>IF(ENGINE!A20="","",ENGINE!A20)</f>
        <v>18</v>
      </c>
      <c r="S20" s="7">
        <f>IF(ENGINE!A20="","",ENGINE!AC20)</f>
        <v>7486.6892466175304</v>
      </c>
      <c r="T20" s="7">
        <f>IF(ENGINE!A20="","",ENGINE!AD20)</f>
        <v>0</v>
      </c>
      <c r="U20" s="7">
        <f>IF(ENGINE!A20="","",ENGINE!AG20)</f>
        <v>11941.451894718675</v>
      </c>
      <c r="V20" s="7">
        <f>IF(ENGINE!A20="","",ENGINE!AI20)</f>
        <v>136669.26924714321</v>
      </c>
      <c r="W20" s="7"/>
      <c r="X20" s="7"/>
      <c r="Y20" s="7"/>
      <c r="Z20" s="7"/>
      <c r="AA20" s="7">
        <f>'PERIODIC ENGINE'!A15</f>
        <v>13</v>
      </c>
      <c r="AB20" s="7">
        <f>IF($AA20="","",IF($AA20=0,INPUTS!$C$8,AE19))</f>
        <v>231047.78528015938</v>
      </c>
      <c r="AC20" s="7">
        <f>IF($AA20="","",'PERIODIC ENGINE'!D15/'PERIODIC ENGINE'!$S$3)</f>
        <v>15500</v>
      </c>
      <c r="AD20" s="7">
        <f>IF($AA20="","",(1+$AB$4)^'PERIODIC ENGINE'!$S$3)</f>
        <v>1.08</v>
      </c>
      <c r="AE20" s="7">
        <f>IF($AA20="","",IF($AB$4=0,AB20+'PERIODIC ENGINE'!D15,AB20*AD20+IF(INPUTS!$C$12="Beginning",AC20*(1+$AB$4)*(AD20-1)/$AB$4,AC20*(AD20-1)/$AB$4)))</f>
        <v>266271.60810257215</v>
      </c>
      <c r="AF20" s="7"/>
      <c r="AG20" s="7">
        <f>'PERIODIC ENGINE'!A15</f>
        <v>13</v>
      </c>
      <c r="AH20" s="7">
        <f>IF($AG20="","",IF($AG20=0,INPUTS!$C$8,AK19))</f>
        <v>255635.88453998367</v>
      </c>
      <c r="AI20" s="7">
        <f>IF($AG20="","",'PERIODIC ENGINE'!D15/'PERIODIC ENGINE'!$S$3)</f>
        <v>15500</v>
      </c>
      <c r="AJ20" s="7">
        <f>IF($AG20="","",(1+$AH$4)^'PERIODIC ENGINE'!$S$3)</f>
        <v>1.095</v>
      </c>
      <c r="AK20" s="7">
        <f>IF($AG20="","",IF($AH$4=0,AH20+'PERIODIC ENGINE'!D15,AH20*AJ20+IF(INPUTS!$C$12="Beginning",AI20*(1+$AH$4)*(AJ20-1)/$AH$4,AI20*(AJ20-1)/$AH$4)))</f>
        <v>296893.79357128212</v>
      </c>
      <c r="AL20" s="7"/>
      <c r="AM20" s="7">
        <f>'PERIODIC ENGINE'!A15</f>
        <v>13</v>
      </c>
      <c r="AN20" s="7">
        <f>IF($AM20="","",IF($AM20=0,INPUTS!$C$8,AQ19))</f>
        <v>283186.7210388977</v>
      </c>
      <c r="AO20" s="7">
        <f>IF($AM20="","",'PERIODIC ENGINE'!D15/'PERIODIC ENGINE'!$S$3)</f>
        <v>15500</v>
      </c>
      <c r="AP20" s="7">
        <f>IF($AM20="","",(1+$AN$4)^'PERIODIC ENGINE'!$S$3)</f>
        <v>1.1100000000000001</v>
      </c>
      <c r="AQ20" s="7">
        <f>IF($AM20="","",IF($AN$4=0,AN20+'PERIODIC ENGINE'!D15,AN20*AP20+IF(INPUTS!$C$12="Beginning",AO20*(1+$AN$4)*(AP20-1)/$AN$4,AO20*(AP20-1)/$AN$4)))</f>
        <v>331542.26035317645</v>
      </c>
      <c r="AR20" s="7"/>
      <c r="AS20" s="7"/>
      <c r="AT20" s="7"/>
      <c r="AU20" s="7"/>
      <c r="AV20" s="7"/>
      <c r="AW20" s="7"/>
      <c r="AX20" s="7"/>
      <c r="AY20" s="7"/>
      <c r="AZ20" s="7"/>
    </row>
    <row r="21" spans="1:52" ht="18" customHeight="1" x14ac:dyDescent="0.25">
      <c r="A21" s="7">
        <f>IF(ENGINE!A21="","",ENGINE!B21)</f>
        <v>41</v>
      </c>
      <c r="B21" s="7">
        <f>IF(ENGINE!A21="","",INDEX('PERIODIC ENGINE'!$J$2:$J$102,MATCH(ENGINE!A21,'PERIODIC ENGINE'!$A$2:$A$102,0)))</f>
        <v>707601.19135653367</v>
      </c>
      <c r="C21" s="7">
        <f>IF(B21="","",B21/(1+INPUTS!$C$11)^ENGINE!A21)</f>
        <v>233871.39998810334</v>
      </c>
      <c r="D21" s="7"/>
      <c r="E21" s="7">
        <f>IF(ENGINE!A21="","",ENGINE!A21)</f>
        <v>19</v>
      </c>
      <c r="F21" s="7">
        <f>IF(ENGINE!A21="","",ENGINE!AI21-ENGINE!D21)</f>
        <v>118540.99732455751</v>
      </c>
      <c r="G21" s="7"/>
      <c r="H21" s="7">
        <f>IF(ENGINE!A21="","",ENGINE!B21)</f>
        <v>41</v>
      </c>
      <c r="I21" s="7">
        <f>IF(ENGINE!A21="","",INDEX('PERIODIC ENGINE'!$J$2:$J$102,MATCH(ENGINE!A21,'PERIODIC ENGINE'!$A$2:$A$102,0)))</f>
        <v>707601.19135653367</v>
      </c>
      <c r="J21" s="7">
        <f>IF(ENGINE!A21="","",500000)</f>
        <v>500000</v>
      </c>
      <c r="K21" s="7">
        <f>IF(ENGINE!A21="","",1000000)</f>
        <v>1000000</v>
      </c>
      <c r="L21" s="7">
        <f>IF(ENGINE!A21="","",2000000)</f>
        <v>2000000</v>
      </c>
      <c r="M21" s="7"/>
      <c r="N21" s="7">
        <f>IF(ENGINE!A21="","",ENGINE!B21)</f>
        <v>41</v>
      </c>
      <c r="O21" s="7">
        <f>IF(ENGINE!A21="","",ENGINE!D21)</f>
        <v>22500</v>
      </c>
      <c r="P21" s="7">
        <f>IF(ENGINE!A21="","",ENGINE!K21)</f>
        <v>64327.381032412144</v>
      </c>
      <c r="Q21" s="7"/>
      <c r="R21" s="7">
        <f>IF(ENGINE!A21="","",ENGINE!A21)</f>
        <v>19</v>
      </c>
      <c r="S21" s="7">
        <f>IF(ENGINE!A21="","",ENGINE!AC21)</f>
        <v>7439.6399240160545</v>
      </c>
      <c r="T21" s="7">
        <f>IF(ENGINE!A21="","",ENGINE!AD21)</f>
        <v>0</v>
      </c>
      <c r="U21" s="7">
        <f>IF(ENGINE!A21="","",ENGINE!AG21)</f>
        <v>12299.695451560234</v>
      </c>
      <c r="V21" s="7">
        <f>IF(ENGINE!A21="","",ENGINE!AI21)</f>
        <v>141040.99732455751</v>
      </c>
      <c r="W21" s="7"/>
      <c r="X21" s="7"/>
      <c r="Y21" s="7"/>
      <c r="Z21" s="7"/>
      <c r="AA21" s="7">
        <f>'PERIODIC ENGINE'!A16</f>
        <v>14</v>
      </c>
      <c r="AB21" s="7">
        <f>IF($AA21="","",IF($AA21=0,INPUTS!$C$8,AE20))</f>
        <v>266271.60810257215</v>
      </c>
      <c r="AC21" s="7">
        <f>IF($AA21="","",'PERIODIC ENGINE'!D16/'PERIODIC ENGINE'!$S$3)</f>
        <v>16500</v>
      </c>
      <c r="AD21" s="7">
        <f>IF($AA21="","",(1+$AB$4)^'PERIODIC ENGINE'!$S$3)</f>
        <v>1.08</v>
      </c>
      <c r="AE21" s="7">
        <f>IF($AA21="","",IF($AB$4=0,AB21+'PERIODIC ENGINE'!D16,AB21*AD21+IF(INPUTS!$C$12="Beginning",AC21*(1+$AB$4)*(AD21-1)/$AB$4,AC21*(AD21-1)/$AB$4)))</f>
        <v>305393.33675077796</v>
      </c>
      <c r="AF21" s="7"/>
      <c r="AG21" s="7">
        <f>'PERIODIC ENGINE'!A16</f>
        <v>14</v>
      </c>
      <c r="AH21" s="7">
        <f>IF($AG21="","",IF($AG21=0,INPUTS!$C$8,AK20))</f>
        <v>296893.79357128212</v>
      </c>
      <c r="AI21" s="7">
        <f>IF($AG21="","",'PERIODIC ENGINE'!D16/'PERIODIC ENGINE'!$S$3)</f>
        <v>16500</v>
      </c>
      <c r="AJ21" s="7">
        <f>IF($AG21="","",(1+$AH$4)^'PERIODIC ENGINE'!$S$3)</f>
        <v>1.095</v>
      </c>
      <c r="AK21" s="7">
        <f>IF($AG21="","",IF($AH$4=0,AH21+'PERIODIC ENGINE'!D16,AH21*AJ21+IF(INPUTS!$C$12="Beginning",AI21*(1+$AH$4)*(AJ21-1)/$AH$4,AI21*(AJ21-1)/$AH$4)))</f>
        <v>343166.20396055392</v>
      </c>
      <c r="AL21" s="7"/>
      <c r="AM21" s="7">
        <f>'PERIODIC ENGINE'!A16</f>
        <v>14</v>
      </c>
      <c r="AN21" s="7">
        <f>IF($AM21="","",IF($AM21=0,INPUTS!$C$8,AQ20))</f>
        <v>331542.26035317645</v>
      </c>
      <c r="AO21" s="7">
        <f>IF($AM21="","",'PERIODIC ENGINE'!D16/'PERIODIC ENGINE'!$S$3)</f>
        <v>16500</v>
      </c>
      <c r="AP21" s="7">
        <f>IF($AM21="","",(1+$AN$4)^'PERIODIC ENGINE'!$S$3)</f>
        <v>1.1100000000000001</v>
      </c>
      <c r="AQ21" s="7">
        <f>IF($AM21="","",IF($AN$4=0,AN21+'PERIODIC ENGINE'!D16,AN21*AP21+IF(INPUTS!$C$12="Beginning",AO21*(1+$AN$4)*(AP21-1)/$AN$4,AO21*(AP21-1)/$AN$4)))</f>
        <v>386326.90899202588</v>
      </c>
      <c r="AR21" s="7"/>
      <c r="AS21" s="7"/>
      <c r="AT21" s="7"/>
      <c r="AU21" s="7"/>
      <c r="AV21" s="7"/>
      <c r="AW21" s="7"/>
      <c r="AX21" s="7"/>
      <c r="AY21" s="7"/>
      <c r="AZ21" s="7"/>
    </row>
    <row r="22" spans="1:52" ht="18" customHeight="1" x14ac:dyDescent="0.25">
      <c r="A22" s="7">
        <f>IF(ENGINE!A22="","",ENGINE!B22)</f>
        <v>42</v>
      </c>
      <c r="B22" s="7">
        <f>IF(ENGINE!A22="","",INDEX('PERIODIC ENGINE'!$J$2:$J$102,MATCH(ENGINE!A22,'PERIODIC ENGINE'!$A$2:$A$102,0)))</f>
        <v>804761.31049218716</v>
      </c>
      <c r="C22" s="7">
        <f>IF(B22="","",B22/(1+INPUTS!$C$11)^ENGINE!A22)</f>
        <v>250928.3806265037</v>
      </c>
      <c r="D22" s="7"/>
      <c r="E22" s="7">
        <f>IF(ENGINE!A22="","",ENGINE!A22)</f>
        <v>20</v>
      </c>
      <c r="F22" s="7">
        <f>IF(ENGINE!A22="","",ENGINE!AI22-ENGINE!D22)</f>
        <v>121553.60724429422</v>
      </c>
      <c r="G22" s="7"/>
      <c r="H22" s="7">
        <f>IF(ENGINE!A22="","",ENGINE!B22)</f>
        <v>42</v>
      </c>
      <c r="I22" s="7">
        <f>IF(ENGINE!A22="","",INDEX('PERIODIC ENGINE'!$J$2:$J$102,MATCH(ENGINE!A22,'PERIODIC ENGINE'!$A$2:$A$102,0)))</f>
        <v>804761.31049218716</v>
      </c>
      <c r="J22" s="7">
        <f>IF(ENGINE!A22="","",500000)</f>
        <v>500000</v>
      </c>
      <c r="K22" s="7">
        <f>IF(ENGINE!A22="","",1000000)</f>
        <v>1000000</v>
      </c>
      <c r="L22" s="7">
        <f>IF(ENGINE!A22="","",2000000)</f>
        <v>2000000</v>
      </c>
      <c r="M22" s="7"/>
      <c r="N22" s="7">
        <f>IF(ENGINE!A22="","",ENGINE!B22)</f>
        <v>42</v>
      </c>
      <c r="O22" s="7">
        <f>IF(ENGINE!A22="","",ENGINE!D22)</f>
        <v>24000</v>
      </c>
      <c r="P22" s="7">
        <f>IF(ENGINE!A22="","",ENGINE!K22)</f>
        <v>73160.119135653353</v>
      </c>
      <c r="Q22" s="7"/>
      <c r="R22" s="7">
        <f>IF(ENGINE!A22="","",ENGINE!A22)</f>
        <v>20</v>
      </c>
      <c r="S22" s="7">
        <f>IF(ENGINE!A22="","",ENGINE!AC22)</f>
        <v>7381.4491217365376</v>
      </c>
      <c r="T22" s="7">
        <f>IF(ENGINE!A22="","",ENGINE!AD22)</f>
        <v>0</v>
      </c>
      <c r="U22" s="7">
        <f>IF(ENGINE!A22="","",ENGINE!AG22)</f>
        <v>12668.686315107043</v>
      </c>
      <c r="V22" s="7">
        <f>IF(ENGINE!A22="","",ENGINE!AI22)</f>
        <v>145553.60724429422</v>
      </c>
      <c r="W22" s="7"/>
      <c r="X22" s="7"/>
      <c r="Y22" s="7"/>
      <c r="Z22" s="7"/>
      <c r="AA22" s="7">
        <f>'PERIODIC ENGINE'!A17</f>
        <v>15</v>
      </c>
      <c r="AB22" s="7">
        <f>IF($AA22="","",IF($AA22=0,INPUTS!$C$8,AE21))</f>
        <v>305393.33675077796</v>
      </c>
      <c r="AC22" s="7">
        <f>IF($AA22="","",'PERIODIC ENGINE'!D17/'PERIODIC ENGINE'!$S$3)</f>
        <v>17500</v>
      </c>
      <c r="AD22" s="7">
        <f>IF($AA22="","",(1+$AB$4)^'PERIODIC ENGINE'!$S$3)</f>
        <v>1.08</v>
      </c>
      <c r="AE22" s="7">
        <f>IF($AA22="","",IF($AB$4=0,AB22+'PERIODIC ENGINE'!D17,AB22*AD22+IF(INPUTS!$C$12="Beginning",AC22*(1+$AB$4)*(AD22-1)/$AB$4,AC22*(AD22-1)/$AB$4)))</f>
        <v>348724.8036908402</v>
      </c>
      <c r="AF22" s="7"/>
      <c r="AG22" s="7">
        <f>'PERIODIC ENGINE'!A17</f>
        <v>15</v>
      </c>
      <c r="AH22" s="7">
        <f>IF($AG22="","",IF($AG22=0,INPUTS!$C$8,AK21))</f>
        <v>343166.20396055392</v>
      </c>
      <c r="AI22" s="7">
        <f>IF($AG22="","",'PERIODIC ENGINE'!D17/'PERIODIC ENGINE'!$S$3)</f>
        <v>17500</v>
      </c>
      <c r="AJ22" s="7">
        <f>IF($AG22="","",(1+$AH$4)^'PERIODIC ENGINE'!$S$3)</f>
        <v>1.095</v>
      </c>
      <c r="AK22" s="7">
        <f>IF($AG22="","",IF($AH$4=0,AH22+'PERIODIC ENGINE'!D17,AH22*AJ22+IF(INPUTS!$C$12="Beginning",AI22*(1+$AH$4)*(AJ22-1)/$AH$4,AI22*(AJ22-1)/$AH$4)))</f>
        <v>394929.49333680654</v>
      </c>
      <c r="AL22" s="7"/>
      <c r="AM22" s="7">
        <f>'PERIODIC ENGINE'!A17</f>
        <v>15</v>
      </c>
      <c r="AN22" s="7">
        <f>IF($AM22="","",IF($AM22=0,INPUTS!$C$8,AQ21))</f>
        <v>386326.90899202588</v>
      </c>
      <c r="AO22" s="7">
        <f>IF($AM22="","",'PERIODIC ENGINE'!D17/'PERIODIC ENGINE'!$S$3)</f>
        <v>17500</v>
      </c>
      <c r="AP22" s="7">
        <f>IF($AM22="","",(1+$AN$4)^'PERIODIC ENGINE'!$S$3)</f>
        <v>1.1100000000000001</v>
      </c>
      <c r="AQ22" s="7">
        <f>IF($AM22="","",IF($AN$4=0,AN22+'PERIODIC ENGINE'!D17,AN22*AP22+IF(INPUTS!$C$12="Beginning",AO22*(1+$AN$4)*(AP22-1)/$AN$4,AO22*(AP22-1)/$AN$4)))</f>
        <v>448247.86898114876</v>
      </c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8" customHeight="1" x14ac:dyDescent="0.25">
      <c r="A23" s="7">
        <f>IF(ENGINE!A23="","",ENGINE!B23)</f>
        <v>43</v>
      </c>
      <c r="B23" s="7">
        <f>IF(ENGINE!A23="","",INDEX('PERIODIC ENGINE'!$J$2:$J$102,MATCH(ENGINE!A23,'PERIODIC ENGINE'!$A$2:$A$102,0)))</f>
        <v>912737.44154140598</v>
      </c>
      <c r="C23" s="7">
        <f>IF(B23="","",B23/(1+INPUTS!$C$11)^ENGINE!A23)</f>
        <v>268486.64969671826</v>
      </c>
      <c r="D23" s="7"/>
      <c r="E23" s="7">
        <f>IF(ENGINE!A23="","",ENGINE!A23)</f>
        <v>21</v>
      </c>
      <c r="F23" s="7">
        <f>IF(ENGINE!A23="","",ENGINE!AI23-ENGINE!D23)</f>
        <v>125190.92256085449</v>
      </c>
      <c r="G23" s="7"/>
      <c r="H23" s="7">
        <f>IF(ENGINE!A23="","",ENGINE!B23)</f>
        <v>43</v>
      </c>
      <c r="I23" s="7">
        <f>IF(ENGINE!A23="","",INDEX('PERIODIC ENGINE'!$J$2:$J$102,MATCH(ENGINE!A23,'PERIODIC ENGINE'!$A$2:$A$102,0)))</f>
        <v>912737.44154140598</v>
      </c>
      <c r="J23" s="7">
        <f>IF(ENGINE!A23="","",500000)</f>
        <v>500000</v>
      </c>
      <c r="K23" s="7">
        <f>IF(ENGINE!A23="","",1000000)</f>
        <v>1000000</v>
      </c>
      <c r="L23" s="7">
        <f>IF(ENGINE!A23="","",2000000)</f>
        <v>2000000</v>
      </c>
      <c r="M23" s="7"/>
      <c r="N23" s="7">
        <f>IF(ENGINE!A23="","",ENGINE!B23)</f>
        <v>43</v>
      </c>
      <c r="O23" s="7">
        <f>IF(ENGINE!A23="","",ENGINE!D23)</f>
        <v>25000</v>
      </c>
      <c r="P23" s="7">
        <f>IF(ENGINE!A23="","",ENGINE!K23)</f>
        <v>82976.131049218704</v>
      </c>
      <c r="Q23" s="7"/>
      <c r="R23" s="7">
        <f>IF(ENGINE!A23="","",ENGINE!A23)</f>
        <v>21</v>
      </c>
      <c r="S23" s="7">
        <f>IF(ENGINE!A23="","",ENGINE!AC23)</f>
        <v>7332.1854961571953</v>
      </c>
      <c r="T23" s="7">
        <f>IF(ENGINE!A23="","",ENGINE!AD23)</f>
        <v>0</v>
      </c>
      <c r="U23" s="7">
        <f>IF(ENGINE!A23="","",ENGINE!AG23)</f>
        <v>13048.746904560256</v>
      </c>
      <c r="V23" s="7">
        <f>IF(ENGINE!A23="","",ENGINE!AI23)</f>
        <v>150190.92256085449</v>
      </c>
      <c r="W23" s="7"/>
      <c r="X23" s="7"/>
      <c r="Y23" s="7"/>
      <c r="Z23" s="7"/>
      <c r="AA23" s="7">
        <f>'PERIODIC ENGINE'!A18</f>
        <v>16</v>
      </c>
      <c r="AB23" s="7">
        <f>IF($AA23="","",IF($AA23=0,INPUTS!$C$8,AE22))</f>
        <v>348724.8036908402</v>
      </c>
      <c r="AC23" s="7">
        <f>IF($AA23="","",'PERIODIC ENGINE'!D18/'PERIODIC ENGINE'!$S$3)</f>
        <v>19000</v>
      </c>
      <c r="AD23" s="7">
        <f>IF($AA23="","",(1+$AB$4)^'PERIODIC ENGINE'!$S$3)</f>
        <v>1.08</v>
      </c>
      <c r="AE23" s="7">
        <f>IF($AA23="","",IF($AB$4=0,AB23+'PERIODIC ENGINE'!D18,AB23*AD23+IF(INPUTS!$C$12="Beginning",AC23*(1+$AB$4)*(AD23-1)/$AB$4,AC23*(AD23-1)/$AB$4)))</f>
        <v>397142.78798610746</v>
      </c>
      <c r="AF23" s="7"/>
      <c r="AG23" s="7">
        <f>'PERIODIC ENGINE'!A18</f>
        <v>16</v>
      </c>
      <c r="AH23" s="7">
        <f>IF($AG23="","",IF($AG23=0,INPUTS!$C$8,AK22))</f>
        <v>394929.49333680654</v>
      </c>
      <c r="AI23" s="7">
        <f>IF($AG23="","",'PERIODIC ENGINE'!D18/'PERIODIC ENGINE'!$S$3)</f>
        <v>19000</v>
      </c>
      <c r="AJ23" s="7">
        <f>IF($AG23="","",(1+$AH$4)^'PERIODIC ENGINE'!$S$3)</f>
        <v>1.095</v>
      </c>
      <c r="AK23" s="7">
        <f>IF($AG23="","",IF($AH$4=0,AH23+'PERIODIC ENGINE'!D18,AH23*AJ23+IF(INPUTS!$C$12="Beginning",AI23*(1+$AH$4)*(AJ23-1)/$AH$4,AI23*(AJ23-1)/$AH$4)))</f>
        <v>453252.79520380317</v>
      </c>
      <c r="AL23" s="7"/>
      <c r="AM23" s="7">
        <f>'PERIODIC ENGINE'!A18</f>
        <v>16</v>
      </c>
      <c r="AN23" s="7">
        <f>IF($AM23="","",IF($AM23=0,INPUTS!$C$8,AQ22))</f>
        <v>448247.86898114876</v>
      </c>
      <c r="AO23" s="7">
        <f>IF($AM23="","",'PERIODIC ENGINE'!D18/'PERIODIC ENGINE'!$S$3)</f>
        <v>19000</v>
      </c>
      <c r="AP23" s="7">
        <f>IF($AM23="","",(1+$AN$4)^'PERIODIC ENGINE'!$S$3)</f>
        <v>1.1100000000000001</v>
      </c>
      <c r="AQ23" s="7">
        <f>IF($AM23="","",IF($AN$4=0,AN23+'PERIODIC ENGINE'!D18,AN23*AP23+IF(INPUTS!$C$12="Beginning",AO23*(1+$AN$4)*(AP23-1)/$AN$4,AO23*(AP23-1)/$AN$4)))</f>
        <v>518645.13456907519</v>
      </c>
      <c r="AR23" s="7"/>
      <c r="AS23" s="7"/>
      <c r="AT23" s="7"/>
      <c r="AU23" s="7"/>
      <c r="AV23" s="7"/>
      <c r="AW23" s="7"/>
      <c r="AX23" s="7"/>
      <c r="AY23" s="7"/>
      <c r="AZ23" s="7"/>
    </row>
    <row r="24" spans="1:52" ht="18" customHeight="1" x14ac:dyDescent="0.25">
      <c r="A24" s="7">
        <f>IF(ENGINE!A24="","",ENGINE!B24)</f>
        <v>44</v>
      </c>
      <c r="B24" s="7">
        <f>IF(ENGINE!A24="","",INDEX('PERIODIC ENGINE'!$J$2:$J$102,MATCH(ENGINE!A24,'PERIODIC ENGINE'!$A$2:$A$102,0)))</f>
        <v>1033711.1856955467</v>
      </c>
      <c r="C24" s="7">
        <f>IF(B24="","",B24/(1+INPUTS!$C$11)^ENGINE!A24)</f>
        <v>286860.12276156124</v>
      </c>
      <c r="D24" s="7"/>
      <c r="E24" s="7">
        <f>IF(ENGINE!A24="","",ENGINE!A24)</f>
        <v>22</v>
      </c>
      <c r="F24" s="7">
        <f>IF(ENGINE!A24="","",ENGINE!AI24-ENGINE!D24)</f>
        <v>127929.90023768015</v>
      </c>
      <c r="G24" s="7"/>
      <c r="H24" s="7">
        <f>IF(ENGINE!A24="","",ENGINE!B24)</f>
        <v>44</v>
      </c>
      <c r="I24" s="7">
        <f>IF(ENGINE!A24="","",INDEX('PERIODIC ENGINE'!$J$2:$J$102,MATCH(ENGINE!A24,'PERIODIC ENGINE'!$A$2:$A$102,0)))</f>
        <v>1033711.1856955467</v>
      </c>
      <c r="J24" s="7">
        <f>IF(ENGINE!A24="","",500000)</f>
        <v>500000</v>
      </c>
      <c r="K24" s="7">
        <f>IF(ENGINE!A24="","",1000000)</f>
        <v>1000000</v>
      </c>
      <c r="L24" s="7">
        <f>IF(ENGINE!A24="","",2000000)</f>
        <v>2000000</v>
      </c>
      <c r="M24" s="7"/>
      <c r="N24" s="7">
        <f>IF(ENGINE!A24="","",ENGINE!B24)</f>
        <v>44</v>
      </c>
      <c r="O24" s="7">
        <f>IF(ENGINE!A24="","",ENGINE!D24)</f>
        <v>27000</v>
      </c>
      <c r="P24" s="7">
        <f>IF(ENGINE!A24="","",ENGINE!K24)</f>
        <v>93973.744154140586</v>
      </c>
      <c r="Q24" s="7"/>
      <c r="R24" s="7">
        <f>IF(ENGINE!A24="","",ENGINE!A24)</f>
        <v>22</v>
      </c>
      <c r="S24" s="7">
        <f>IF(ENGINE!A24="","",ENGINE!AC24)</f>
        <v>7318.9010610419127</v>
      </c>
      <c r="T24" s="7">
        <f>IF(ENGINE!A24="","",ENGINE!AD24)</f>
        <v>0</v>
      </c>
      <c r="U24" s="7">
        <f>IF(ENGINE!A24="","",ENGINE!AG24)</f>
        <v>13440.209311697063</v>
      </c>
      <c r="V24" s="7">
        <f>IF(ENGINE!A24="","",ENGINE!AI24)</f>
        <v>154929.90023768015</v>
      </c>
      <c r="W24" s="7"/>
      <c r="X24" s="7"/>
      <c r="Y24" s="7"/>
      <c r="Z24" s="7"/>
      <c r="AA24" s="7">
        <f>'PERIODIC ENGINE'!A19</f>
        <v>17</v>
      </c>
      <c r="AB24" s="7">
        <f>IF($AA24="","",IF($AA24=0,INPUTS!$C$8,AE23))</f>
        <v>397142.78798610746</v>
      </c>
      <c r="AC24" s="7">
        <f>IF($AA24="","",'PERIODIC ENGINE'!D19/'PERIODIC ENGINE'!$S$3)</f>
        <v>20000</v>
      </c>
      <c r="AD24" s="7">
        <f>IF($AA24="","",(1+$AB$4)^'PERIODIC ENGINE'!$S$3)</f>
        <v>1.08</v>
      </c>
      <c r="AE24" s="7">
        <f>IF($AA24="","",IF($AB$4=0,AB24+'PERIODIC ENGINE'!D19,AB24*AD24+IF(INPUTS!$C$12="Beginning",AC24*(1+$AB$4)*(AD24-1)/$AB$4,AC24*(AD24-1)/$AB$4)))</f>
        <v>450514.21102499607</v>
      </c>
      <c r="AF24" s="7"/>
      <c r="AG24" s="7">
        <f>'PERIODIC ENGINE'!A19</f>
        <v>17</v>
      </c>
      <c r="AH24" s="7">
        <f>IF($AG24="","",IF($AG24=0,INPUTS!$C$8,AK23))</f>
        <v>453252.79520380317</v>
      </c>
      <c r="AI24" s="7">
        <f>IF($AG24="","",'PERIODIC ENGINE'!D19/'PERIODIC ENGINE'!$S$3)</f>
        <v>20000</v>
      </c>
      <c r="AJ24" s="7">
        <f>IF($AG24="","",(1+$AH$4)^'PERIODIC ENGINE'!$S$3)</f>
        <v>1.095</v>
      </c>
      <c r="AK24" s="7">
        <f>IF($AG24="","",IF($AH$4=0,AH24+'PERIODIC ENGINE'!D19,AH24*AJ24+IF(INPUTS!$C$12="Beginning",AI24*(1+$AH$4)*(AJ24-1)/$AH$4,AI24*(AJ24-1)/$AH$4)))</f>
        <v>518211.81074816443</v>
      </c>
      <c r="AL24" s="7"/>
      <c r="AM24" s="7">
        <f>'PERIODIC ENGINE'!A19</f>
        <v>17</v>
      </c>
      <c r="AN24" s="7">
        <f>IF($AM24="","",IF($AM24=0,INPUTS!$C$8,AQ23))</f>
        <v>518645.13456907519</v>
      </c>
      <c r="AO24" s="7">
        <f>IF($AM24="","",'PERIODIC ENGINE'!D19/'PERIODIC ENGINE'!$S$3)</f>
        <v>20000</v>
      </c>
      <c r="AP24" s="7">
        <f>IF($AM24="","",(1+$AN$4)^'PERIODIC ENGINE'!$S$3)</f>
        <v>1.1100000000000001</v>
      </c>
      <c r="AQ24" s="7">
        <f>IF($AM24="","",IF($AN$4=0,AN24+'PERIODIC ENGINE'!D19,AN24*AP24+IF(INPUTS!$C$12="Beginning",AO24*(1+$AN$4)*(AP24-1)/$AN$4,AO24*(AP24-1)/$AN$4)))</f>
        <v>597896.09937167354</v>
      </c>
      <c r="AR24" s="7"/>
      <c r="AS24" s="7"/>
      <c r="AT24" s="7"/>
      <c r="AU24" s="7"/>
      <c r="AV24" s="7"/>
      <c r="AW24" s="7"/>
      <c r="AX24" s="7"/>
      <c r="AY24" s="7"/>
      <c r="AZ24" s="7"/>
    </row>
    <row r="25" spans="1:52" ht="18" customHeight="1" x14ac:dyDescent="0.25">
      <c r="A25" s="7">
        <f>IF(ENGINE!A25="","",ENGINE!B25)</f>
        <v>45</v>
      </c>
      <c r="B25" s="7">
        <f>IF(ENGINE!A25="","",INDEX('PERIODIC ENGINE'!$J$2:$J$102,MATCH(ENGINE!A25,'PERIODIC ENGINE'!$A$2:$A$102,0)))</f>
        <v>1168432.3042651014</v>
      </c>
      <c r="C25" s="7">
        <f>IF(B25="","",B25/(1+INPUTS!$C$11)^ENGINE!A25)</f>
        <v>305892.37719414174</v>
      </c>
      <c r="D25" s="7"/>
      <c r="E25" s="7">
        <f>IF(ENGINE!A25="","",ENGINE!A25)</f>
        <v>23</v>
      </c>
      <c r="F25" s="7">
        <f>IF(ENGINE!A25="","",ENGINE!AI25-ENGINE!D25)</f>
        <v>131325.29724481056</v>
      </c>
      <c r="G25" s="7"/>
      <c r="H25" s="7">
        <f>IF(ENGINE!A25="","",ENGINE!B25)</f>
        <v>45</v>
      </c>
      <c r="I25" s="7">
        <f>IF(ENGINE!A25="","",INDEX('PERIODIC ENGINE'!$J$2:$J$102,MATCH(ENGINE!A25,'PERIODIC ENGINE'!$A$2:$A$102,0)))</f>
        <v>1168432.3042651014</v>
      </c>
      <c r="J25" s="7">
        <f>IF(ENGINE!A25="","",500000)</f>
        <v>500000</v>
      </c>
      <c r="K25" s="7">
        <f>IF(ENGINE!A25="","",1000000)</f>
        <v>1000000</v>
      </c>
      <c r="L25" s="7">
        <f>IF(ENGINE!A25="","",2000000)</f>
        <v>2000000</v>
      </c>
      <c r="M25" s="7"/>
      <c r="N25" s="7">
        <f>IF(ENGINE!A25="","",ENGINE!B25)</f>
        <v>45</v>
      </c>
      <c r="O25" s="7">
        <f>IF(ENGINE!A25="","",ENGINE!D25)</f>
        <v>28500</v>
      </c>
      <c r="P25" s="7">
        <f>IF(ENGINE!A25="","",ENGINE!K25)</f>
        <v>106221.11856955464</v>
      </c>
      <c r="Q25" s="7"/>
      <c r="R25" s="7">
        <f>IF(ENGINE!A25="","",ENGINE!A25)</f>
        <v>23</v>
      </c>
      <c r="S25" s="7">
        <f>IF(ENGINE!A25="","",ENGINE!AC25)</f>
        <v>7290.9680928731686</v>
      </c>
      <c r="T25" s="7">
        <f>IF(ENGINE!A25="","",ENGINE!AD25)</f>
        <v>0</v>
      </c>
      <c r="U25" s="7">
        <f>IF(ENGINE!A25="","",ENGINE!AG25)</f>
        <v>13843.415591047975</v>
      </c>
      <c r="V25" s="7">
        <f>IF(ENGINE!A25="","",ENGINE!AI25)</f>
        <v>159825.29724481056</v>
      </c>
      <c r="W25" s="7"/>
      <c r="X25" s="7"/>
      <c r="Y25" s="7"/>
      <c r="Z25" s="7"/>
      <c r="AA25" s="7">
        <f>'PERIODIC ENGINE'!A20</f>
        <v>18</v>
      </c>
      <c r="AB25" s="7">
        <f>IF($AA25="","",IF($AA25=0,INPUTS!$C$8,AE24))</f>
        <v>450514.21102499607</v>
      </c>
      <c r="AC25" s="7">
        <f>IF($AA25="","",'PERIODIC ENGINE'!D20/'PERIODIC ENGINE'!$S$3)</f>
        <v>21000</v>
      </c>
      <c r="AD25" s="7">
        <f>IF($AA25="","",(1+$AB$4)^'PERIODIC ENGINE'!$S$3)</f>
        <v>1.08</v>
      </c>
      <c r="AE25" s="7">
        <f>IF($AA25="","",IF($AB$4=0,AB25+'PERIODIC ENGINE'!D20,AB25*AD25+IF(INPUTS!$C$12="Beginning",AC25*(1+$AB$4)*(AD25-1)/$AB$4,AC25*(AD25-1)/$AB$4)))</f>
        <v>509235.3479069958</v>
      </c>
      <c r="AF25" s="7"/>
      <c r="AG25" s="7">
        <f>'PERIODIC ENGINE'!A20</f>
        <v>18</v>
      </c>
      <c r="AH25" s="7">
        <f>IF($AG25="","",IF($AG25=0,INPUTS!$C$8,AK24))</f>
        <v>518211.81074816443</v>
      </c>
      <c r="AI25" s="7">
        <f>IF($AG25="","",'PERIODIC ENGINE'!D20/'PERIODIC ENGINE'!$S$3)</f>
        <v>21000</v>
      </c>
      <c r="AJ25" s="7">
        <f>IF($AG25="","",(1+$AH$4)^'PERIODIC ENGINE'!$S$3)</f>
        <v>1.095</v>
      </c>
      <c r="AK25" s="7">
        <f>IF($AG25="","",IF($AH$4=0,AH25+'PERIODIC ENGINE'!D20,AH25*AJ25+IF(INPUTS!$C$12="Beginning",AI25*(1+$AH$4)*(AJ25-1)/$AH$4,AI25*(AJ25-1)/$AH$4)))</f>
        <v>590436.93276924</v>
      </c>
      <c r="AL25" s="7"/>
      <c r="AM25" s="7">
        <f>'PERIODIC ENGINE'!A20</f>
        <v>18</v>
      </c>
      <c r="AN25" s="7">
        <f>IF($AM25="","",IF($AM25=0,INPUTS!$C$8,AQ24))</f>
        <v>597896.09937167354</v>
      </c>
      <c r="AO25" s="7">
        <f>IF($AM25="","",'PERIODIC ENGINE'!D20/'PERIODIC ENGINE'!$S$3)</f>
        <v>21000</v>
      </c>
      <c r="AP25" s="7">
        <f>IF($AM25="","",(1+$AN$4)^'PERIODIC ENGINE'!$S$3)</f>
        <v>1.1100000000000001</v>
      </c>
      <c r="AQ25" s="7">
        <f>IF($AM25="","",IF($AN$4=0,AN25+'PERIODIC ENGINE'!D20,AN25*AP25+IF(INPUTS!$C$12="Beginning",AO25*(1+$AN$4)*(AP25-1)/$AN$4,AO25*(AP25-1)/$AN$4)))</f>
        <v>686974.67030255764</v>
      </c>
      <c r="AR25" s="7"/>
      <c r="AS25" s="7"/>
      <c r="AT25" s="7"/>
      <c r="AU25" s="7"/>
      <c r="AV25" s="7"/>
      <c r="AW25" s="7"/>
      <c r="AX25" s="7"/>
      <c r="AY25" s="7"/>
      <c r="AZ25" s="7"/>
    </row>
    <row r="26" spans="1:52" ht="18" customHeight="1" x14ac:dyDescent="0.25">
      <c r="A26" s="7">
        <f>IF(ENGINE!A26="","",ENGINE!B26)</f>
        <v>46</v>
      </c>
      <c r="B26" s="7">
        <f>IF(ENGINE!A26="","",INDEX('PERIODIC ENGINE'!$J$2:$J$102,MATCH(ENGINE!A26,'PERIODIC ENGINE'!$A$2:$A$102,0)))</f>
        <v>1318275.5346916118</v>
      </c>
      <c r="C26" s="7">
        <f>IF(B26="","",B26/(1+INPUTS!$C$11)^ENGINE!A26)</f>
        <v>325585.77786253195</v>
      </c>
      <c r="D26" s="7"/>
      <c r="E26" s="7">
        <f>IF(ENGINE!A26="","",ENGINE!A26)</f>
        <v>24</v>
      </c>
      <c r="F26" s="7">
        <f>IF(ENGINE!A26="","",ENGINE!AI26-ENGINE!D26)</f>
        <v>134880.90616215486</v>
      </c>
      <c r="G26" s="7"/>
      <c r="H26" s="7">
        <f>IF(ENGINE!A26="","",ENGINE!B26)</f>
        <v>46</v>
      </c>
      <c r="I26" s="7">
        <f>IF(ENGINE!A26="","",INDEX('PERIODIC ENGINE'!$J$2:$J$102,MATCH(ENGINE!A26,'PERIODIC ENGINE'!$A$2:$A$102,0)))</f>
        <v>1318275.5346916118</v>
      </c>
      <c r="J26" s="7">
        <f>IF(ENGINE!A26="","",500000)</f>
        <v>500000</v>
      </c>
      <c r="K26" s="7">
        <f>IF(ENGINE!A26="","",1000000)</f>
        <v>1000000</v>
      </c>
      <c r="L26" s="7">
        <f>IF(ENGINE!A26="","",2000000)</f>
        <v>2000000</v>
      </c>
      <c r="M26" s="7"/>
      <c r="N26" s="7">
        <f>IF(ENGINE!A26="","",ENGINE!B26)</f>
        <v>46</v>
      </c>
      <c r="O26" s="7">
        <f>IF(ENGINE!A26="","",ENGINE!D26)</f>
        <v>30000</v>
      </c>
      <c r="P26" s="7">
        <f>IF(ENGINE!A26="","",ENGINE!K26)</f>
        <v>119843.23042651013</v>
      </c>
      <c r="Q26" s="7"/>
      <c r="R26" s="7">
        <f>IF(ENGINE!A26="","",ENGINE!A26)</f>
        <v>24</v>
      </c>
      <c r="S26" s="7">
        <f>IF(ENGINE!A26="","",ENGINE!AC26)</f>
        <v>7248.8471356593654</v>
      </c>
      <c r="T26" s="7">
        <f>IF(ENGINE!A26="","",ENGINE!AD26)</f>
        <v>0</v>
      </c>
      <c r="U26" s="7">
        <f>IF(ENGINE!A26="","",ENGINE!AG26)</f>
        <v>14258.718058779416</v>
      </c>
      <c r="V26" s="7">
        <f>IF(ENGINE!A26="","",ENGINE!AI26)</f>
        <v>164880.90616215486</v>
      </c>
      <c r="W26" s="7"/>
      <c r="X26" s="7"/>
      <c r="Y26" s="7"/>
      <c r="Z26" s="7"/>
      <c r="AA26" s="7">
        <f>'PERIODIC ENGINE'!A21</f>
        <v>19</v>
      </c>
      <c r="AB26" s="7">
        <f>IF($AA26="","",IF($AA26=0,INPUTS!$C$8,AE25))</f>
        <v>509235.3479069958</v>
      </c>
      <c r="AC26" s="7">
        <f>IF($AA26="","",'PERIODIC ENGINE'!D21/'PERIODIC ENGINE'!$S$3)</f>
        <v>22500</v>
      </c>
      <c r="AD26" s="7">
        <f>IF($AA26="","",(1+$AB$4)^'PERIODIC ENGINE'!$S$3)</f>
        <v>1.08</v>
      </c>
      <c r="AE26" s="7">
        <f>IF($AA26="","",IF($AB$4=0,AB26+'PERIODIC ENGINE'!D21,AB26*AD26+IF(INPUTS!$C$12="Beginning",AC26*(1+$AB$4)*(AD26-1)/$AB$4,AC26*(AD26-1)/$AB$4)))</f>
        <v>574274.1757395555</v>
      </c>
      <c r="AF26" s="7"/>
      <c r="AG26" s="7">
        <f>'PERIODIC ENGINE'!A21</f>
        <v>19</v>
      </c>
      <c r="AH26" s="7">
        <f>IF($AG26="","",IF($AG26=0,INPUTS!$C$8,AK25))</f>
        <v>590436.93276924</v>
      </c>
      <c r="AI26" s="7">
        <f>IF($AG26="","",'PERIODIC ENGINE'!D21/'PERIODIC ENGINE'!$S$3)</f>
        <v>22500</v>
      </c>
      <c r="AJ26" s="7">
        <f>IF($AG26="","",(1+$AH$4)^'PERIODIC ENGINE'!$S$3)</f>
        <v>1.095</v>
      </c>
      <c r="AK26" s="7">
        <f>IF($AG26="","",IF($AH$4=0,AH26+'PERIODIC ENGINE'!D21,AH26*AJ26+IF(INPUTS!$C$12="Beginning",AI26*(1+$AH$4)*(AJ26-1)/$AH$4,AI26*(AJ26-1)/$AH$4)))</f>
        <v>671165.9413823178</v>
      </c>
      <c r="AL26" s="7"/>
      <c r="AM26" s="7">
        <f>'PERIODIC ENGINE'!A21</f>
        <v>19</v>
      </c>
      <c r="AN26" s="7">
        <f>IF($AM26="","",IF($AM26=0,INPUTS!$C$8,AQ25))</f>
        <v>686974.67030255764</v>
      </c>
      <c r="AO26" s="7">
        <f>IF($AM26="","",'PERIODIC ENGINE'!D21/'PERIODIC ENGINE'!$S$3)</f>
        <v>22500</v>
      </c>
      <c r="AP26" s="7">
        <f>IF($AM26="","",(1+$AN$4)^'PERIODIC ENGINE'!$S$3)</f>
        <v>1.1100000000000001</v>
      </c>
      <c r="AQ26" s="7">
        <f>IF($AM26="","",IF($AN$4=0,AN26+'PERIODIC ENGINE'!D21,AN26*AP26+IF(INPUTS!$C$12="Beginning",AO26*(1+$AN$4)*(AP26-1)/$AN$4,AO26*(AP26-1)/$AN$4)))</f>
        <v>787516.884035839</v>
      </c>
      <c r="AR26" s="7"/>
      <c r="AS26" s="7"/>
      <c r="AT26" s="7"/>
      <c r="AU26" s="7"/>
      <c r="AV26" s="7"/>
      <c r="AW26" s="7"/>
      <c r="AX26" s="7"/>
      <c r="AY26" s="7"/>
      <c r="AZ26" s="7"/>
    </row>
    <row r="27" spans="1:52" ht="18" customHeight="1" x14ac:dyDescent="0.25">
      <c r="A27" s="7">
        <f>IF(ENGINE!A27="","",ENGINE!B27)</f>
        <v>47</v>
      </c>
      <c r="B27" s="7">
        <f>IF(ENGINE!A27="","",INDEX('PERIODIC ENGINE'!$J$2:$J$102,MATCH(ENGINE!A27,'PERIODIC ENGINE'!$A$2:$A$102,0)))</f>
        <v>1485303.088160773</v>
      </c>
      <c r="C27" s="7">
        <f>IF(B27="","",B27/(1+INPUTS!$C$11)^ENGINE!A27)</f>
        <v>346073.58542466653</v>
      </c>
      <c r="D27" s="7"/>
      <c r="E27" s="7">
        <f>IF(ENGINE!A27="","",ENGINE!A27)</f>
        <v>25</v>
      </c>
      <c r="F27" s="7">
        <f>IF(ENGINE!A27="","",ENGINE!AI27-ENGINE!D27)</f>
        <v>138100.63334701952</v>
      </c>
      <c r="G27" s="7"/>
      <c r="H27" s="7">
        <f>IF(ENGINE!A27="","",ENGINE!B27)</f>
        <v>47</v>
      </c>
      <c r="I27" s="7">
        <f>IF(ENGINE!A27="","",INDEX('PERIODIC ENGINE'!$J$2:$J$102,MATCH(ENGINE!A27,'PERIODIC ENGINE'!$A$2:$A$102,0)))</f>
        <v>1485303.088160773</v>
      </c>
      <c r="J27" s="7">
        <f>IF(ENGINE!A27="","",500000)</f>
        <v>500000</v>
      </c>
      <c r="K27" s="7">
        <f>IF(ENGINE!A27="","",1000000)</f>
        <v>1000000</v>
      </c>
      <c r="L27" s="7">
        <f>IF(ENGINE!A27="","",2000000)</f>
        <v>2000000</v>
      </c>
      <c r="M27" s="7"/>
      <c r="N27" s="7">
        <f>IF(ENGINE!A27="","",ENGINE!B27)</f>
        <v>47</v>
      </c>
      <c r="O27" s="7">
        <f>IF(ENGINE!A27="","",ENGINE!D27)</f>
        <v>32000</v>
      </c>
      <c r="P27" s="7">
        <f>IF(ENGINE!A27="","",ENGINE!K27)</f>
        <v>135027.55346916115</v>
      </c>
      <c r="Q27" s="7"/>
      <c r="R27" s="7">
        <f>IF(ENGINE!A27="","",ENGINE!A27)</f>
        <v>25</v>
      </c>
      <c r="S27" s="7">
        <f>IF(ENGINE!A27="","",ENGINE!AC27)</f>
        <v>7193.0125497291483</v>
      </c>
      <c r="T27" s="7">
        <f>IF(ENGINE!A27="","",ENGINE!AD27)</f>
        <v>0</v>
      </c>
      <c r="U27" s="7">
        <f>IF(ENGINE!A27="","",ENGINE!AG27)</f>
        <v>14686.479600542798</v>
      </c>
      <c r="V27" s="7">
        <f>IF(ENGINE!A27="","",ENGINE!AI27)</f>
        <v>170100.63334701952</v>
      </c>
      <c r="W27" s="7"/>
      <c r="X27" s="7"/>
      <c r="Y27" s="7"/>
      <c r="Z27" s="7"/>
      <c r="AA27" s="7">
        <f>'PERIODIC ENGINE'!A22</f>
        <v>20</v>
      </c>
      <c r="AB27" s="7">
        <f>IF($AA27="","",IF($AA27=0,INPUTS!$C$8,AE26))</f>
        <v>574274.1757395555</v>
      </c>
      <c r="AC27" s="7">
        <f>IF($AA27="","",'PERIODIC ENGINE'!D22/'PERIODIC ENGINE'!$S$3)</f>
        <v>24000</v>
      </c>
      <c r="AD27" s="7">
        <f>IF($AA27="","",(1+$AB$4)^'PERIODIC ENGINE'!$S$3)</f>
        <v>1.08</v>
      </c>
      <c r="AE27" s="7">
        <f>IF($AA27="","",IF($AB$4=0,AB27+'PERIODIC ENGINE'!D22,AB27*AD27+IF(INPUTS!$C$12="Beginning",AC27*(1+$AB$4)*(AD27-1)/$AB$4,AC27*(AD27-1)/$AB$4)))</f>
        <v>646136.10979871999</v>
      </c>
      <c r="AF27" s="7"/>
      <c r="AG27" s="7">
        <f>'PERIODIC ENGINE'!A22</f>
        <v>20</v>
      </c>
      <c r="AH27" s="7">
        <f>IF($AG27="","",IF($AG27=0,INPUTS!$C$8,AK26))</f>
        <v>671165.9413823178</v>
      </c>
      <c r="AI27" s="7">
        <f>IF($AG27="","",'PERIODIC ENGINE'!D22/'PERIODIC ENGINE'!$S$3)</f>
        <v>24000</v>
      </c>
      <c r="AJ27" s="7">
        <f>IF($AG27="","",(1+$AH$4)^'PERIODIC ENGINE'!$S$3)</f>
        <v>1.095</v>
      </c>
      <c r="AK27" s="7">
        <f>IF($AG27="","",IF($AH$4=0,AH27+'PERIODIC ENGINE'!D22,AH27*AJ27+IF(INPUTS!$C$12="Beginning",AI27*(1+$AH$4)*(AJ27-1)/$AH$4,AI27*(AJ27-1)/$AH$4)))</f>
        <v>761206.70581363793</v>
      </c>
      <c r="AL27" s="7"/>
      <c r="AM27" s="7">
        <f>'PERIODIC ENGINE'!A22</f>
        <v>20</v>
      </c>
      <c r="AN27" s="7">
        <f>IF($AM27="","",IF($AM27=0,INPUTS!$C$8,AQ26))</f>
        <v>787516.884035839</v>
      </c>
      <c r="AO27" s="7">
        <f>IF($AM27="","",'PERIODIC ENGINE'!D22/'PERIODIC ENGINE'!$S$3)</f>
        <v>24000</v>
      </c>
      <c r="AP27" s="7">
        <f>IF($AM27="","",(1+$AN$4)^'PERIODIC ENGINE'!$S$3)</f>
        <v>1.1100000000000001</v>
      </c>
      <c r="AQ27" s="7">
        <f>IF($AM27="","",IF($AN$4=0,AN27+'PERIODIC ENGINE'!D22,AN27*AP27+IF(INPUTS!$C$12="Beginning",AO27*(1+$AN$4)*(AP27-1)/$AN$4,AO27*(AP27-1)/$AN$4)))</f>
        <v>900783.74127978133</v>
      </c>
      <c r="AR27" s="7"/>
      <c r="AS27" s="7"/>
      <c r="AT27" s="7"/>
      <c r="AU27" s="7"/>
      <c r="AV27" s="7"/>
      <c r="AW27" s="7"/>
      <c r="AX27" s="7"/>
      <c r="AY27" s="7"/>
      <c r="AZ27" s="7"/>
    </row>
    <row r="28" spans="1:52" ht="18" customHeight="1" x14ac:dyDescent="0.25">
      <c r="A28" s="7">
        <f>IF(ENGINE!A28="","",ENGINE!B28)</f>
        <v>48</v>
      </c>
      <c r="B28" s="7">
        <f>IF(ENGINE!A28="","",INDEX('PERIODIC ENGINE'!$J$2:$J$102,MATCH(ENGINE!A28,'PERIODIC ENGINE'!$A$2:$A$102,0)))</f>
        <v>1671233.3969768505</v>
      </c>
      <c r="C28" s="7">
        <f>IF(B28="","",B28/(1+INPUTS!$C$11)^ENGINE!A28)</f>
        <v>367353.86108299892</v>
      </c>
      <c r="D28" s="7"/>
      <c r="E28" s="7">
        <f>IF(ENGINE!A28="","",ENGINE!A28)</f>
        <v>26</v>
      </c>
      <c r="F28" s="7">
        <f>IF(ENGINE!A28="","",ENGINE!AI28-ENGINE!D28)</f>
        <v>141493.5023474301</v>
      </c>
      <c r="G28" s="7"/>
      <c r="H28" s="7">
        <f>IF(ENGINE!A28="","",ENGINE!B28)</f>
        <v>48</v>
      </c>
      <c r="I28" s="7">
        <f>IF(ENGINE!A28="","",INDEX('PERIODIC ENGINE'!$J$2:$J$102,MATCH(ENGINE!A28,'PERIODIC ENGINE'!$A$2:$A$102,0)))</f>
        <v>1671233.3969768505</v>
      </c>
      <c r="J28" s="7">
        <f>IF(ENGINE!A28="","",500000)</f>
        <v>500000</v>
      </c>
      <c r="K28" s="7">
        <f>IF(ENGINE!A28="","",1000000)</f>
        <v>1000000</v>
      </c>
      <c r="L28" s="7">
        <f>IF(ENGINE!A28="","",2000000)</f>
        <v>2000000</v>
      </c>
      <c r="M28" s="7"/>
      <c r="N28" s="7">
        <f>IF(ENGINE!A28="","",ENGINE!B28)</f>
        <v>48</v>
      </c>
      <c r="O28" s="7">
        <f>IF(ENGINE!A28="","",ENGINE!D28)</f>
        <v>34000</v>
      </c>
      <c r="P28" s="7">
        <f>IF(ENGINE!A28="","",ENGINE!K28)</f>
        <v>151930.30881607727</v>
      </c>
      <c r="Q28" s="7"/>
      <c r="R28" s="7">
        <f>IF(ENGINE!A28="","",ENGINE!A28)</f>
        <v>26</v>
      </c>
      <c r="S28" s="7">
        <f>IF(ENGINE!A28="","",ENGINE!AC28)</f>
        <v>7118.9529262210217</v>
      </c>
      <c r="T28" s="7">
        <f>IF(ENGINE!A28="","",ENGINE!AD28)</f>
        <v>0</v>
      </c>
      <c r="U28" s="7">
        <f>IF(ENGINE!A28="","",ENGINE!AG28)</f>
        <v>15127.073988559081</v>
      </c>
      <c r="V28" s="7">
        <f>IF(ENGINE!A28="","",ENGINE!AI28)</f>
        <v>175493.5023474301</v>
      </c>
      <c r="W28" s="7"/>
      <c r="X28" s="7"/>
      <c r="Y28" s="7"/>
      <c r="Z28" s="7"/>
      <c r="AA28" s="7">
        <f>'PERIODIC ENGINE'!A23</f>
        <v>21</v>
      </c>
      <c r="AB28" s="7">
        <f>IF($AA28="","",IF($AA28=0,INPUTS!$C$8,AE27))</f>
        <v>646136.10979871999</v>
      </c>
      <c r="AC28" s="7">
        <f>IF($AA28="","",'PERIODIC ENGINE'!D23/'PERIODIC ENGINE'!$S$3)</f>
        <v>25000</v>
      </c>
      <c r="AD28" s="7">
        <f>IF($AA28="","",(1+$AB$4)^'PERIODIC ENGINE'!$S$3)</f>
        <v>1.08</v>
      </c>
      <c r="AE28" s="7">
        <f>IF($AA28="","",IF($AB$4=0,AB28+'PERIODIC ENGINE'!D23,AB28*AD28+IF(INPUTS!$C$12="Beginning",AC28*(1+$AB$4)*(AD28-1)/$AB$4,AC28*(AD28-1)/$AB$4)))</f>
        <v>724826.99858261761</v>
      </c>
      <c r="AF28" s="7"/>
      <c r="AG28" s="7">
        <f>'PERIODIC ENGINE'!A23</f>
        <v>21</v>
      </c>
      <c r="AH28" s="7">
        <f>IF($AG28="","",IF($AG28=0,INPUTS!$C$8,AK27))</f>
        <v>761206.70581363793</v>
      </c>
      <c r="AI28" s="7">
        <f>IF($AG28="","",'PERIODIC ENGINE'!D23/'PERIODIC ENGINE'!$S$3)</f>
        <v>25000</v>
      </c>
      <c r="AJ28" s="7">
        <f>IF($AG28="","",(1+$AH$4)^'PERIODIC ENGINE'!$S$3)</f>
        <v>1.095</v>
      </c>
      <c r="AK28" s="7">
        <f>IF($AG28="","",IF($AH$4=0,AH28+'PERIODIC ENGINE'!D23,AH28*AJ28+IF(INPUTS!$C$12="Beginning",AI28*(1+$AH$4)*(AJ28-1)/$AH$4,AI28*(AJ28-1)/$AH$4)))</f>
        <v>860896.34286593355</v>
      </c>
      <c r="AL28" s="7"/>
      <c r="AM28" s="7">
        <f>'PERIODIC ENGINE'!A23</f>
        <v>21</v>
      </c>
      <c r="AN28" s="7">
        <f>IF($AM28="","",IF($AM28=0,INPUTS!$C$8,AQ27))</f>
        <v>900783.74127978133</v>
      </c>
      <c r="AO28" s="7">
        <f>IF($AM28="","",'PERIODIC ENGINE'!D23/'PERIODIC ENGINE'!$S$3)</f>
        <v>25000</v>
      </c>
      <c r="AP28" s="7">
        <f>IF($AM28="","",(1+$AN$4)^'PERIODIC ENGINE'!$S$3)</f>
        <v>1.1100000000000001</v>
      </c>
      <c r="AQ28" s="7">
        <f>IF($AM28="","",IF($AN$4=0,AN28+'PERIODIC ENGINE'!D23,AN28*AP28+IF(INPUTS!$C$12="Beginning",AO28*(1+$AN$4)*(AP28-1)/$AN$4,AO28*(AP28-1)/$AN$4)))</f>
        <v>1027619.9528205574</v>
      </c>
      <c r="AR28" s="7"/>
      <c r="AS28" s="7"/>
      <c r="AT28" s="7"/>
      <c r="AU28" s="7"/>
      <c r="AV28" s="7"/>
      <c r="AW28" s="7"/>
      <c r="AX28" s="7"/>
      <c r="AY28" s="7"/>
      <c r="AZ28" s="7"/>
    </row>
    <row r="29" spans="1:52" ht="18" customHeight="1" x14ac:dyDescent="0.25">
      <c r="A29" s="7">
        <f>IF(ENGINE!A29="","",ENGINE!B29)</f>
        <v>49</v>
      </c>
      <c r="B29" s="7">
        <f>IF(ENGINE!A29="","",INDEX('PERIODIC ENGINE'!$J$2:$J$102,MATCH(ENGINE!A29,'PERIODIC ENGINE'!$A$2:$A$102,0)))</f>
        <v>1877956.7366745356</v>
      </c>
      <c r="C29" s="7">
        <f>IF(B29="","",B29/(1+INPUTS!$C$11)^ENGINE!A29)</f>
        <v>389428.04182158323</v>
      </c>
      <c r="D29" s="7"/>
      <c r="E29" s="7">
        <f>IF(ENGINE!A29="","",ENGINE!A29)</f>
        <v>27</v>
      </c>
      <c r="F29" s="7">
        <f>IF(ENGINE!A29="","",ENGINE!AI29-ENGINE!D29)</f>
        <v>145063.65741785301</v>
      </c>
      <c r="G29" s="7"/>
      <c r="H29" s="7">
        <f>IF(ENGINE!A29="","",ENGINE!B29)</f>
        <v>49</v>
      </c>
      <c r="I29" s="7">
        <f>IF(ENGINE!A29="","",INDEX('PERIODIC ENGINE'!$J$2:$J$102,MATCH(ENGINE!A29,'PERIODIC ENGINE'!$A$2:$A$102,0)))</f>
        <v>1877956.7366745356</v>
      </c>
      <c r="J29" s="7">
        <f>IF(ENGINE!A29="","",500000)</f>
        <v>500000</v>
      </c>
      <c r="K29" s="7">
        <f>IF(ENGINE!A29="","",1000000)</f>
        <v>1000000</v>
      </c>
      <c r="L29" s="7">
        <f>IF(ENGINE!A29="","",2000000)</f>
        <v>2000000</v>
      </c>
      <c r="M29" s="7"/>
      <c r="N29" s="7">
        <f>IF(ENGINE!A29="","",ENGINE!B29)</f>
        <v>49</v>
      </c>
      <c r="O29" s="7">
        <f>IF(ENGINE!A29="","",ENGINE!D29)</f>
        <v>36000</v>
      </c>
      <c r="P29" s="7">
        <f>IF(ENGINE!A29="","",ENGINE!K29)</f>
        <v>170723.33969768503</v>
      </c>
      <c r="Q29" s="7"/>
      <c r="R29" s="7">
        <f>IF(ENGINE!A29="","",ENGINE!A29)</f>
        <v>27</v>
      </c>
      <c r="S29" s="7">
        <f>IF(ENGINE!A29="","",ENGINE!AC29)</f>
        <v>7027.1715140076531</v>
      </c>
      <c r="T29" s="7">
        <f>IF(ENGINE!A29="","",ENGINE!AD29)</f>
        <v>0</v>
      </c>
      <c r="U29" s="7">
        <f>IF(ENGINE!A29="","",ENGINE!AG29)</f>
        <v>15580.886208215854</v>
      </c>
      <c r="V29" s="7">
        <f>IF(ENGINE!A29="","",ENGINE!AI29)</f>
        <v>181063.65741785301</v>
      </c>
      <c r="W29" s="7"/>
      <c r="X29" s="7"/>
      <c r="Y29" s="7"/>
      <c r="Z29" s="7"/>
      <c r="AA29" s="7">
        <f>'PERIODIC ENGINE'!A24</f>
        <v>22</v>
      </c>
      <c r="AB29" s="7">
        <f>IF($AA29="","",IF($AA29=0,INPUTS!$C$8,AE28))</f>
        <v>724826.99858261761</v>
      </c>
      <c r="AC29" s="7">
        <f>IF($AA29="","",'PERIODIC ENGINE'!D24/'PERIODIC ENGINE'!$S$3)</f>
        <v>27000</v>
      </c>
      <c r="AD29" s="7">
        <f>IF($AA29="","",(1+$AB$4)^'PERIODIC ENGINE'!$S$3)</f>
        <v>1.08</v>
      </c>
      <c r="AE29" s="7">
        <f>IF($AA29="","",IF($AB$4=0,AB29+'PERIODIC ENGINE'!D24,AB29*AD29+IF(INPUTS!$C$12="Beginning",AC29*(1+$AB$4)*(AD29-1)/$AB$4,AC29*(AD29-1)/$AB$4)))</f>
        <v>811973.15846922703</v>
      </c>
      <c r="AF29" s="7"/>
      <c r="AG29" s="7">
        <f>'PERIODIC ENGINE'!A24</f>
        <v>22</v>
      </c>
      <c r="AH29" s="7">
        <f>IF($AG29="","",IF($AG29=0,INPUTS!$C$8,AK28))</f>
        <v>860896.34286593355</v>
      </c>
      <c r="AI29" s="7">
        <f>IF($AG29="","",'PERIODIC ENGINE'!D24/'PERIODIC ENGINE'!$S$3)</f>
        <v>27000</v>
      </c>
      <c r="AJ29" s="7">
        <f>IF($AG29="","",(1+$AH$4)^'PERIODIC ENGINE'!$S$3)</f>
        <v>1.095</v>
      </c>
      <c r="AK29" s="7">
        <f>IF($AG29="","",IF($AH$4=0,AH29+'PERIODIC ENGINE'!D24,AH29*AJ29+IF(INPUTS!$C$12="Beginning",AI29*(1+$AH$4)*(AJ29-1)/$AH$4,AI29*(AJ29-1)/$AH$4)))</f>
        <v>972246.49543819716</v>
      </c>
      <c r="AL29" s="7"/>
      <c r="AM29" s="7">
        <f>'PERIODIC ENGINE'!A24</f>
        <v>22</v>
      </c>
      <c r="AN29" s="7">
        <f>IF($AM29="","",IF($AM29=0,INPUTS!$C$8,AQ28))</f>
        <v>1027619.9528205574</v>
      </c>
      <c r="AO29" s="7">
        <f>IF($AM29="","",'PERIODIC ENGINE'!D24/'PERIODIC ENGINE'!$S$3)</f>
        <v>27000</v>
      </c>
      <c r="AP29" s="7">
        <f>IF($AM29="","",(1+$AN$4)^'PERIODIC ENGINE'!$S$3)</f>
        <v>1.1100000000000001</v>
      </c>
      <c r="AQ29" s="7">
        <f>IF($AM29="","",IF($AN$4=0,AN29+'PERIODIC ENGINE'!D24,AN29*AP29+IF(INPUTS!$C$12="Beginning",AO29*(1+$AN$4)*(AP29-1)/$AN$4,AO29*(AP29-1)/$AN$4)))</f>
        <v>1170628.1476308189</v>
      </c>
      <c r="AR29" s="7"/>
      <c r="AS29" s="7"/>
      <c r="AT29" s="7"/>
      <c r="AU29" s="7"/>
      <c r="AV29" s="7"/>
      <c r="AW29" s="7"/>
      <c r="AX29" s="7"/>
      <c r="AY29" s="7"/>
      <c r="AZ29" s="7"/>
    </row>
    <row r="30" spans="1:52" ht="18" customHeight="1" x14ac:dyDescent="0.25">
      <c r="A30" s="7">
        <f>IF(ENGINE!A30="","",ENGINE!B30)</f>
        <v>50</v>
      </c>
      <c r="B30" s="7">
        <f>IF(ENGINE!A30="","",INDEX('PERIODIC ENGINE'!$J$2:$J$102,MATCH(ENGINE!A30,'PERIODIC ENGINE'!$A$2:$A$102,0)))</f>
        <v>2113712.4103419892</v>
      </c>
      <c r="C30" s="7">
        <f>IF(B30="","",B30/(1+INPUTS!$C$11)^ENGINE!A30)</f>
        <v>413505.8612888247</v>
      </c>
      <c r="D30" s="7"/>
      <c r="E30" s="7">
        <f>IF(ENGINE!A30="","",ENGINE!A30)</f>
        <v>28</v>
      </c>
      <c r="F30" s="7">
        <f>IF(ENGINE!A30="","",ENGINE!AI30-ENGINE!D30)</f>
        <v>143215.36714038861</v>
      </c>
      <c r="G30" s="7"/>
      <c r="H30" s="7">
        <f>IF(ENGINE!A30="","",ENGINE!B30)</f>
        <v>50</v>
      </c>
      <c r="I30" s="7">
        <f>IF(ENGINE!A30="","",INDEX('PERIODIC ENGINE'!$J$2:$J$102,MATCH(ENGINE!A30,'PERIODIC ENGINE'!$A$2:$A$102,0)))</f>
        <v>2113712.4103419892</v>
      </c>
      <c r="J30" s="7">
        <f>IF(ENGINE!A30="","",500000)</f>
        <v>500000</v>
      </c>
      <c r="K30" s="7">
        <f>IF(ENGINE!A30="","",1000000)</f>
        <v>1000000</v>
      </c>
      <c r="L30" s="7">
        <f>IF(ENGINE!A30="","",2000000)</f>
        <v>2000000</v>
      </c>
      <c r="M30" s="7"/>
      <c r="N30" s="7">
        <f>IF(ENGINE!A30="","",ENGINE!B30)</f>
        <v>50</v>
      </c>
      <c r="O30" s="7">
        <f>IF(ENGINE!A30="","",ENGINE!D30)</f>
        <v>43600</v>
      </c>
      <c r="P30" s="7">
        <f>IF(ENGINE!A30="","",ENGINE!K30)</f>
        <v>192155.67366745355</v>
      </c>
      <c r="Q30" s="7"/>
      <c r="R30" s="7">
        <f>IF(ENGINE!A30="","",ENGINE!A30)</f>
        <v>28</v>
      </c>
      <c r="S30" s="7">
        <f>IF(ENGINE!A30="","",ENGINE!AC30)</f>
        <v>6918.1866594278836</v>
      </c>
      <c r="T30" s="7">
        <f>IF(ENGINE!A30="","",ENGINE!AD30)</f>
        <v>0</v>
      </c>
      <c r="U30" s="7">
        <f>IF(ENGINE!A30="","",ENGINE!AG30)</f>
        <v>16048.31279446233</v>
      </c>
      <c r="V30" s="7">
        <f>IF(ENGINE!A30="","",ENGINE!AI30)</f>
        <v>186815.36714038861</v>
      </c>
      <c r="W30" s="7"/>
      <c r="X30" s="7"/>
      <c r="Y30" s="7"/>
      <c r="Z30" s="7"/>
      <c r="AA30" s="7">
        <f>'PERIODIC ENGINE'!A25</f>
        <v>23</v>
      </c>
      <c r="AB30" s="7">
        <f>IF($AA30="","",IF($AA30=0,INPUTS!$C$8,AE29))</f>
        <v>811973.15846922703</v>
      </c>
      <c r="AC30" s="7">
        <f>IF($AA30="","",'PERIODIC ENGINE'!D25/'PERIODIC ENGINE'!$S$3)</f>
        <v>28500</v>
      </c>
      <c r="AD30" s="7">
        <f>IF($AA30="","",(1+$AB$4)^'PERIODIC ENGINE'!$S$3)</f>
        <v>1.08</v>
      </c>
      <c r="AE30" s="7">
        <f>IF($AA30="","",IF($AB$4=0,AB30+'PERIODIC ENGINE'!D25,AB30*AD30+IF(INPUTS!$C$12="Beginning",AC30*(1+$AB$4)*(AD30-1)/$AB$4,AC30*(AD30-1)/$AB$4)))</f>
        <v>907711.0111467652</v>
      </c>
      <c r="AF30" s="7"/>
      <c r="AG30" s="7">
        <f>'PERIODIC ENGINE'!A25</f>
        <v>23</v>
      </c>
      <c r="AH30" s="7">
        <f>IF($AG30="","",IF($AG30=0,INPUTS!$C$8,AK29))</f>
        <v>972246.49543819716</v>
      </c>
      <c r="AI30" s="7">
        <f>IF($AG30="","",'PERIODIC ENGINE'!D25/'PERIODIC ENGINE'!$S$3)</f>
        <v>28500</v>
      </c>
      <c r="AJ30" s="7">
        <f>IF($AG30="","",(1+$AH$4)^'PERIODIC ENGINE'!$S$3)</f>
        <v>1.095</v>
      </c>
      <c r="AK30" s="7">
        <f>IF($AG30="","",IF($AH$4=0,AH30+'PERIODIC ENGINE'!D25,AH30*AJ30+IF(INPUTS!$C$12="Beginning",AI30*(1+$AH$4)*(AJ30-1)/$AH$4,AI30*(AJ30-1)/$AH$4)))</f>
        <v>1095817.412504826</v>
      </c>
      <c r="AL30" s="7"/>
      <c r="AM30" s="7">
        <f>'PERIODIC ENGINE'!A25</f>
        <v>23</v>
      </c>
      <c r="AN30" s="7">
        <f>IF($AM30="","",IF($AM30=0,INPUTS!$C$8,AQ29))</f>
        <v>1170628.1476308189</v>
      </c>
      <c r="AO30" s="7">
        <f>IF($AM30="","",'PERIODIC ENGINE'!D25/'PERIODIC ENGINE'!$S$3)</f>
        <v>28500</v>
      </c>
      <c r="AP30" s="7">
        <f>IF($AM30="","",(1+$AN$4)^'PERIODIC ENGINE'!$S$3)</f>
        <v>1.1100000000000001</v>
      </c>
      <c r="AQ30" s="7">
        <f>IF($AM30="","",IF($AN$4=0,AN30+'PERIODIC ENGINE'!D25,AN30*AP30+IF(INPUTS!$C$12="Beginning",AO30*(1+$AN$4)*(AP30-1)/$AN$4,AO30*(AP30-1)/$AN$4)))</f>
        <v>1331032.243870209</v>
      </c>
      <c r="AR30" s="7"/>
      <c r="AS30" s="7"/>
      <c r="AT30" s="7"/>
      <c r="AU30" s="7"/>
      <c r="AV30" s="7"/>
      <c r="AW30" s="7"/>
      <c r="AX30" s="7"/>
      <c r="AY30" s="7"/>
      <c r="AZ30" s="7"/>
    </row>
    <row r="31" spans="1:52" ht="18" customHeight="1" x14ac:dyDescent="0.25">
      <c r="A31" s="7">
        <f>IF(ENGINE!A31="","",ENGINE!B31)</f>
        <v>51</v>
      </c>
      <c r="B31" s="7">
        <f>IF(ENGINE!A31="","",INDEX('PERIODIC ENGINE'!$J$2:$J$102,MATCH(ENGINE!A31,'PERIODIC ENGINE'!$A$2:$A$102,0)))</f>
        <v>2376123.6513761883</v>
      </c>
      <c r="C31" s="7">
        <f>IF(B31="","",B31/(1+INPUTS!$C$11)^ENGINE!A31)</f>
        <v>438529.63200102019</v>
      </c>
      <c r="D31" s="7"/>
      <c r="E31" s="7">
        <f>IF(ENGINE!A31="","",ENGINE!A31)</f>
        <v>29</v>
      </c>
      <c r="F31" s="7">
        <f>IF(ENGINE!A31="","",ENGINE!AI31-ENGINE!D31)</f>
        <v>146358.0281546003</v>
      </c>
      <c r="G31" s="7"/>
      <c r="H31" s="7">
        <f>IF(ENGINE!A31="","",ENGINE!B31)</f>
        <v>51</v>
      </c>
      <c r="I31" s="7">
        <f>IF(ENGINE!A31="","",INDEX('PERIODIC ENGINE'!$J$2:$J$102,MATCH(ENGINE!A31,'PERIODIC ENGINE'!$A$2:$A$102,0)))</f>
        <v>2376123.6513761883</v>
      </c>
      <c r="J31" s="7">
        <f>IF(ENGINE!A31="","",500000)</f>
        <v>500000</v>
      </c>
      <c r="K31" s="7">
        <f>IF(ENGINE!A31="","",1000000)</f>
        <v>1000000</v>
      </c>
      <c r="L31" s="7">
        <f>IF(ENGINE!A31="","",2000000)</f>
        <v>2000000</v>
      </c>
      <c r="M31" s="7"/>
      <c r="N31" s="7">
        <f>IF(ENGINE!A31="","",ENGINE!B31)</f>
        <v>51</v>
      </c>
      <c r="O31" s="7">
        <f>IF(ENGINE!A31="","",ENGINE!D31)</f>
        <v>46400</v>
      </c>
      <c r="P31" s="7">
        <f>IF(ENGINE!A31="","",ENGINE!K31)</f>
        <v>216011.24103419893</v>
      </c>
      <c r="Q31" s="7"/>
      <c r="R31" s="7">
        <f>IF(ENGINE!A31="","",ENGINE!A31)</f>
        <v>29</v>
      </c>
      <c r="S31" s="7">
        <f>IF(ENGINE!A31="","",ENGINE!AC31)</f>
        <v>6787.5322592107204</v>
      </c>
      <c r="T31" s="7">
        <f>IF(ENGINE!A31="","",ENGINE!AD31)</f>
        <v>0</v>
      </c>
      <c r="U31" s="7">
        <f>IF(ENGINE!A31="","",ENGINE!AG31)</f>
        <v>16529.762178296201</v>
      </c>
      <c r="V31" s="7">
        <f>IF(ENGINE!A31="","",ENGINE!AI31)</f>
        <v>192758.0281546003</v>
      </c>
      <c r="W31" s="7"/>
      <c r="X31" s="7"/>
      <c r="Y31" s="7"/>
      <c r="Z31" s="7"/>
      <c r="AA31" s="7">
        <f>'PERIODIC ENGINE'!A26</f>
        <v>24</v>
      </c>
      <c r="AB31" s="7">
        <f>IF($AA31="","",IF($AA31=0,INPUTS!$C$8,AE30))</f>
        <v>907711.0111467652</v>
      </c>
      <c r="AC31" s="7">
        <f>IF($AA31="","",'PERIODIC ENGINE'!D26/'PERIODIC ENGINE'!$S$3)</f>
        <v>30000</v>
      </c>
      <c r="AD31" s="7">
        <f>IF($AA31="","",(1+$AB$4)^'PERIODIC ENGINE'!$S$3)</f>
        <v>1.08</v>
      </c>
      <c r="AE31" s="7">
        <f>IF($AA31="","",IF($AB$4=0,AB31+'PERIODIC ENGINE'!D26,AB31*AD31+IF(INPUTS!$C$12="Beginning",AC31*(1+$AB$4)*(AD31-1)/$AB$4,AC31*(AD31-1)/$AB$4)))</f>
        <v>1012727.8920385065</v>
      </c>
      <c r="AF31" s="7"/>
      <c r="AG31" s="7">
        <f>'PERIODIC ENGINE'!A26</f>
        <v>24</v>
      </c>
      <c r="AH31" s="7">
        <f>IF($AG31="","",IF($AG31=0,INPUTS!$C$8,AK30))</f>
        <v>1095817.412504826</v>
      </c>
      <c r="AI31" s="7">
        <f>IF($AG31="","",'PERIODIC ENGINE'!D26/'PERIODIC ENGINE'!$S$3)</f>
        <v>30000</v>
      </c>
      <c r="AJ31" s="7">
        <f>IF($AG31="","",(1+$AH$4)^'PERIODIC ENGINE'!$S$3)</f>
        <v>1.095</v>
      </c>
      <c r="AK31" s="7">
        <f>IF($AG31="","",IF($AH$4=0,AH31+'PERIODIC ENGINE'!D26,AH31*AJ31+IF(INPUTS!$C$12="Beginning",AI31*(1+$AH$4)*(AJ31-1)/$AH$4,AI31*(AJ31-1)/$AH$4)))</f>
        <v>1232770.0666927844</v>
      </c>
      <c r="AL31" s="7"/>
      <c r="AM31" s="7">
        <f>'PERIODIC ENGINE'!A26</f>
        <v>24</v>
      </c>
      <c r="AN31" s="7">
        <f>IF($AM31="","",IF($AM31=0,INPUTS!$C$8,AQ30))</f>
        <v>1331032.243870209</v>
      </c>
      <c r="AO31" s="7">
        <f>IF($AM31="","",'PERIODIC ENGINE'!D26/'PERIODIC ENGINE'!$S$3)</f>
        <v>30000</v>
      </c>
      <c r="AP31" s="7">
        <f>IF($AM31="","",(1+$AN$4)^'PERIODIC ENGINE'!$S$3)</f>
        <v>1.1100000000000001</v>
      </c>
      <c r="AQ31" s="7">
        <f>IF($AM31="","",IF($AN$4=0,AN31+'PERIODIC ENGINE'!D26,AN31*AP31+IF(INPUTS!$C$12="Beginning",AO31*(1+$AN$4)*(AP31-1)/$AN$4,AO31*(AP31-1)/$AN$4)))</f>
        <v>1510745.790695932</v>
      </c>
      <c r="AR31" s="7"/>
      <c r="AS31" s="7"/>
      <c r="AT31" s="7"/>
      <c r="AU31" s="7"/>
      <c r="AV31" s="7"/>
      <c r="AW31" s="7"/>
      <c r="AX31" s="7"/>
      <c r="AY31" s="7"/>
      <c r="AZ31" s="7"/>
    </row>
    <row r="32" spans="1:52" ht="18" customHeight="1" x14ac:dyDescent="0.25">
      <c r="A32" s="7">
        <f>IF(ENGINE!A32="","",ENGINE!B32)</f>
        <v>52</v>
      </c>
      <c r="B32" s="7">
        <f>IF(ENGINE!A32="","",INDEX('PERIODIC ENGINE'!$J$2:$J$102,MATCH(ENGINE!A32,'PERIODIC ENGINE'!$A$2:$A$102,0)))</f>
        <v>2667966.0165138072</v>
      </c>
      <c r="C32" s="7">
        <f>IF(B32="","",B32/(1+INPUTS!$C$11)^ENGINE!A32)</f>
        <v>464519.91240034241</v>
      </c>
      <c r="D32" s="7"/>
      <c r="E32" s="7">
        <f>IF(ENGINE!A32="","",ENGINE!A32)</f>
        <v>30</v>
      </c>
      <c r="F32" s="7">
        <f>IF(ENGINE!A32="","",ENGINE!AI32-ENGINE!D32)</f>
        <v>149596.16899923829</v>
      </c>
      <c r="G32" s="7"/>
      <c r="H32" s="7">
        <f>IF(ENGINE!A32="","",ENGINE!B32)</f>
        <v>52</v>
      </c>
      <c r="I32" s="7">
        <f>IF(ENGINE!A32="","",INDEX('PERIODIC ENGINE'!$J$2:$J$102,MATCH(ENGINE!A32,'PERIODIC ENGINE'!$A$2:$A$102,0)))</f>
        <v>2667966.0165138072</v>
      </c>
      <c r="J32" s="7">
        <f>IF(ENGINE!A32="","",500000)</f>
        <v>500000</v>
      </c>
      <c r="K32" s="7">
        <f>IF(ENGINE!A32="","",1000000)</f>
        <v>1000000</v>
      </c>
      <c r="L32" s="7">
        <f>IF(ENGINE!A32="","",2000000)</f>
        <v>2000000</v>
      </c>
      <c r="M32" s="7"/>
      <c r="N32" s="7">
        <f>IF(ENGINE!A32="","",ENGINE!B32)</f>
        <v>52</v>
      </c>
      <c r="O32" s="7">
        <f>IF(ENGINE!A32="","",ENGINE!D32)</f>
        <v>49300</v>
      </c>
      <c r="P32" s="7">
        <f>IF(ENGINE!A32="","",ENGINE!K32)</f>
        <v>242542.36513761885</v>
      </c>
      <c r="Q32" s="7"/>
      <c r="R32" s="7">
        <f>IF(ENGINE!A32="","",ENGINE!A32)</f>
        <v>30</v>
      </c>
      <c r="S32" s="7">
        <f>IF(ENGINE!A32="","",ENGINE!AC32)</f>
        <v>6635.7582269870418</v>
      </c>
      <c r="T32" s="7">
        <f>IF(ENGINE!A32="","",ENGINE!AD32)</f>
        <v>0</v>
      </c>
      <c r="U32" s="7">
        <f>IF(ENGINE!A32="","",ENGINE!AG32)</f>
        <v>17025.655043645085</v>
      </c>
      <c r="V32" s="7">
        <f>IF(ENGINE!A32="","",ENGINE!AI32)</f>
        <v>198896.16899923829</v>
      </c>
      <c r="W32" s="7"/>
      <c r="X32" s="7"/>
      <c r="Y32" s="7"/>
      <c r="Z32" s="7"/>
      <c r="AA32" s="7">
        <f>'PERIODIC ENGINE'!A27</f>
        <v>25</v>
      </c>
      <c r="AB32" s="7">
        <f>IF($AA32="","",IF($AA32=0,INPUTS!$C$8,AE31))</f>
        <v>1012727.8920385065</v>
      </c>
      <c r="AC32" s="7">
        <f>IF($AA32="","",'PERIODIC ENGINE'!D27/'PERIODIC ENGINE'!$S$3)</f>
        <v>32000</v>
      </c>
      <c r="AD32" s="7">
        <f>IF($AA32="","",(1+$AB$4)^'PERIODIC ENGINE'!$S$3)</f>
        <v>1.08</v>
      </c>
      <c r="AE32" s="7">
        <f>IF($AA32="","",IF($AB$4=0,AB32+'PERIODIC ENGINE'!D27,AB32*AD32+IF(INPUTS!$C$12="Beginning",AC32*(1+$AB$4)*(AD32-1)/$AB$4,AC32*(AD32-1)/$AB$4)))</f>
        <v>1128306.1234015871</v>
      </c>
      <c r="AF32" s="7"/>
      <c r="AG32" s="7">
        <f>'PERIODIC ENGINE'!A27</f>
        <v>25</v>
      </c>
      <c r="AH32" s="7">
        <f>IF($AG32="","",IF($AG32=0,INPUTS!$C$8,AK31))</f>
        <v>1232770.0666927844</v>
      </c>
      <c r="AI32" s="7">
        <f>IF($AG32="","",'PERIODIC ENGINE'!D27/'PERIODIC ENGINE'!$S$3)</f>
        <v>32000</v>
      </c>
      <c r="AJ32" s="7">
        <f>IF($AG32="","",(1+$AH$4)^'PERIODIC ENGINE'!$S$3)</f>
        <v>1.095</v>
      </c>
      <c r="AK32" s="7">
        <f>IF($AG32="","",IF($AH$4=0,AH32+'PERIODIC ENGINE'!D27,AH32*AJ32+IF(INPUTS!$C$12="Beginning",AI32*(1+$AH$4)*(AJ32-1)/$AH$4,AI32*(AJ32-1)/$AH$4)))</f>
        <v>1384923.2230285988</v>
      </c>
      <c r="AL32" s="7"/>
      <c r="AM32" s="7">
        <f>'PERIODIC ENGINE'!A27</f>
        <v>25</v>
      </c>
      <c r="AN32" s="7">
        <f>IF($AM32="","",IF($AM32=0,INPUTS!$C$8,AQ31))</f>
        <v>1510745.790695932</v>
      </c>
      <c r="AO32" s="7">
        <f>IF($AM32="","",'PERIODIC ENGINE'!D27/'PERIODIC ENGINE'!$S$3)</f>
        <v>32000</v>
      </c>
      <c r="AP32" s="7">
        <f>IF($AM32="","",(1+$AN$4)^'PERIODIC ENGINE'!$S$3)</f>
        <v>1.1100000000000001</v>
      </c>
      <c r="AQ32" s="7">
        <f>IF($AM32="","",IF($AN$4=0,AN32+'PERIODIC ENGINE'!D27,AN32*AP32+IF(INPUTS!$C$12="Beginning",AO32*(1+$AN$4)*(AP32-1)/$AN$4,AO32*(AP32-1)/$AN$4)))</f>
        <v>1712447.8276724846</v>
      </c>
      <c r="AR32" s="7"/>
      <c r="AS32" s="7"/>
      <c r="AT32" s="7"/>
      <c r="AU32" s="7"/>
      <c r="AV32" s="7"/>
      <c r="AW32" s="7"/>
      <c r="AX32" s="7"/>
      <c r="AY32" s="7"/>
      <c r="AZ32" s="7"/>
    </row>
    <row r="33" spans="1:52" ht="18" customHeight="1" x14ac:dyDescent="0.25">
      <c r="A33" s="7">
        <f>IF(ENGINE!A33="","",ENGINE!B33)</f>
        <v>53</v>
      </c>
      <c r="B33" s="7">
        <f>IF(ENGINE!A33="","",INDEX('PERIODIC ENGINE'!$J$2:$J$102,MATCH(ENGINE!A33,'PERIODIC ENGINE'!$A$2:$A$102,0)))</f>
        <v>2992072.618165188</v>
      </c>
      <c r="C33" s="7">
        <f>IF(B33="","",B33/(1+INPUTS!$C$11)^ENGINE!A33)</f>
        <v>491462.41060647642</v>
      </c>
      <c r="D33" s="7"/>
      <c r="E33" s="7">
        <f>IF(ENGINE!A33="","",ENGINE!A33)</f>
        <v>31</v>
      </c>
      <c r="F33" s="7">
        <f>IF(ENGINE!A33="","",ENGINE!AI33-ENGINE!D33)</f>
        <v>153139.45406921546</v>
      </c>
      <c r="G33" s="7"/>
      <c r="H33" s="7">
        <f>IF(ENGINE!A33="","",ENGINE!B33)</f>
        <v>53</v>
      </c>
      <c r="I33" s="7">
        <f>IF(ENGINE!A33="","",INDEX('PERIODIC ENGINE'!$J$2:$J$102,MATCH(ENGINE!A33,'PERIODIC ENGINE'!$A$2:$A$102,0)))</f>
        <v>2992072.618165188</v>
      </c>
      <c r="J33" s="7">
        <f>IF(ENGINE!A33="","",500000)</f>
        <v>500000</v>
      </c>
      <c r="K33" s="7">
        <f>IF(ENGINE!A33="","",1000000)</f>
        <v>1000000</v>
      </c>
      <c r="L33" s="7">
        <f>IF(ENGINE!A33="","",2000000)</f>
        <v>2000000</v>
      </c>
      <c r="M33" s="7"/>
      <c r="N33" s="7">
        <f>IF(ENGINE!A33="","",ENGINE!B33)</f>
        <v>53</v>
      </c>
      <c r="O33" s="7">
        <f>IF(ENGINE!A33="","",ENGINE!D33)</f>
        <v>52100</v>
      </c>
      <c r="P33" s="7">
        <f>IF(ENGINE!A33="","",ENGINE!K33)</f>
        <v>272006.60165138071</v>
      </c>
      <c r="Q33" s="7"/>
      <c r="R33" s="7">
        <f>IF(ENGINE!A33="","",ENGINE!A33)</f>
        <v>31</v>
      </c>
      <c r="S33" s="7">
        <f>IF(ENGINE!A33="","",ENGINE!AC33)</f>
        <v>6458.4309737966541</v>
      </c>
      <c r="T33" s="7">
        <f>IF(ENGINE!A33="","",ENGINE!AD33)</f>
        <v>0</v>
      </c>
      <c r="U33" s="7">
        <f>IF(ENGINE!A33="","",ENGINE!AG33)</f>
        <v>17536.424694954439</v>
      </c>
      <c r="V33" s="7">
        <f>IF(ENGINE!A33="","",ENGINE!AI33)</f>
        <v>205239.45406921546</v>
      </c>
      <c r="W33" s="7"/>
      <c r="X33" s="7"/>
      <c r="Y33" s="7"/>
      <c r="Z33" s="7"/>
      <c r="AA33" s="7">
        <f>'PERIODIC ENGINE'!A28</f>
        <v>26</v>
      </c>
      <c r="AB33" s="7">
        <f>IF($AA33="","",IF($AA33=0,INPUTS!$C$8,AE32))</f>
        <v>1128306.1234015871</v>
      </c>
      <c r="AC33" s="7">
        <f>IF($AA33="","",'PERIODIC ENGINE'!D28/'PERIODIC ENGINE'!$S$3)</f>
        <v>34000</v>
      </c>
      <c r="AD33" s="7">
        <f>IF($AA33="","",(1+$AB$4)^'PERIODIC ENGINE'!$S$3)</f>
        <v>1.08</v>
      </c>
      <c r="AE33" s="7">
        <f>IF($AA33="","",IF($AB$4=0,AB33+'PERIODIC ENGINE'!D28,AB33*AD33+IF(INPUTS!$C$12="Beginning",AC33*(1+$AB$4)*(AD33-1)/$AB$4,AC33*(AD33-1)/$AB$4)))</f>
        <v>1255290.6132737142</v>
      </c>
      <c r="AF33" s="7"/>
      <c r="AG33" s="7">
        <f>'PERIODIC ENGINE'!A28</f>
        <v>26</v>
      </c>
      <c r="AH33" s="7">
        <f>IF($AG33="","",IF($AG33=0,INPUTS!$C$8,AK32))</f>
        <v>1384923.2230285988</v>
      </c>
      <c r="AI33" s="7">
        <f>IF($AG33="","",'PERIODIC ENGINE'!D28/'PERIODIC ENGINE'!$S$3)</f>
        <v>34000</v>
      </c>
      <c r="AJ33" s="7">
        <f>IF($AG33="","",(1+$AH$4)^'PERIODIC ENGINE'!$S$3)</f>
        <v>1.095</v>
      </c>
      <c r="AK33" s="7">
        <f>IF($AG33="","",IF($AH$4=0,AH33+'PERIODIC ENGINE'!D28,AH33*AJ33+IF(INPUTS!$C$12="Beginning",AI33*(1+$AH$4)*(AJ33-1)/$AH$4,AI33*(AJ33-1)/$AH$4)))</f>
        <v>1553720.9292163157</v>
      </c>
      <c r="AL33" s="7"/>
      <c r="AM33" s="7">
        <f>'PERIODIC ENGINE'!A28</f>
        <v>26</v>
      </c>
      <c r="AN33" s="7">
        <f>IF($AM33="","",IF($AM33=0,INPUTS!$C$8,AQ32))</f>
        <v>1712447.8276724846</v>
      </c>
      <c r="AO33" s="7">
        <f>IF($AM33="","",'PERIODIC ENGINE'!D28/'PERIODIC ENGINE'!$S$3)</f>
        <v>34000</v>
      </c>
      <c r="AP33" s="7">
        <f>IF($AM33="","",(1+$AN$4)^'PERIODIC ENGINE'!$S$3)</f>
        <v>1.1100000000000001</v>
      </c>
      <c r="AQ33" s="7">
        <f>IF($AM33="","",IF($AN$4=0,AN33+'PERIODIC ENGINE'!D28,AN33*AP33+IF(INPUTS!$C$12="Beginning",AO33*(1+$AN$4)*(AP33-1)/$AN$4,AO33*(AP33-1)/$AN$4)))</f>
        <v>1938557.0887164581</v>
      </c>
      <c r="AR33" s="7"/>
      <c r="AS33" s="7"/>
      <c r="AT33" s="7"/>
      <c r="AU33" s="7"/>
      <c r="AV33" s="7"/>
      <c r="AW33" s="7"/>
      <c r="AX33" s="7"/>
      <c r="AY33" s="7"/>
      <c r="AZ33" s="7"/>
    </row>
    <row r="34" spans="1:52" ht="18" customHeight="1" x14ac:dyDescent="0.25">
      <c r="A34" s="7">
        <f>IF(ENGINE!A34="","",ENGINE!B34)</f>
        <v>54</v>
      </c>
      <c r="B34" s="7">
        <f>IF(ENGINE!A34="","",INDEX('PERIODIC ENGINE'!$J$2:$J$102,MATCH(ENGINE!A34,'PERIODIC ENGINE'!$A$2:$A$102,0)))</f>
        <v>3351779.8799817069</v>
      </c>
      <c r="C34" s="7">
        <f>IF(B34="","",B34/(1+INPUTS!$C$11)^ENGINE!A34)</f>
        <v>519383.08444931026</v>
      </c>
      <c r="D34" s="7"/>
      <c r="E34" s="7">
        <f>IF(ENGINE!A34="","",ENGINE!A34)</f>
        <v>32</v>
      </c>
      <c r="F34" s="7">
        <f>IF(ENGINE!A34="","",ENGINE!AI34-ENGINE!D34)</f>
        <v>156792.68769129191</v>
      </c>
      <c r="G34" s="7"/>
      <c r="H34" s="7">
        <f>IF(ENGINE!A34="","",ENGINE!B34)</f>
        <v>54</v>
      </c>
      <c r="I34" s="7">
        <f>IF(ENGINE!A34="","",INDEX('PERIODIC ENGINE'!$J$2:$J$102,MATCH(ENGINE!A34,'PERIODIC ENGINE'!$A$2:$A$102,0)))</f>
        <v>3351779.8799817069</v>
      </c>
      <c r="J34" s="7">
        <f>IF(ENGINE!A34="","",500000)</f>
        <v>500000</v>
      </c>
      <c r="K34" s="7">
        <f>IF(ENGINE!A34="","",1000000)</f>
        <v>1000000</v>
      </c>
      <c r="L34" s="7">
        <f>IF(ENGINE!A34="","",2000000)</f>
        <v>2000000</v>
      </c>
      <c r="M34" s="7"/>
      <c r="N34" s="7">
        <f>IF(ENGINE!A34="","",ENGINE!B34)</f>
        <v>54</v>
      </c>
      <c r="O34" s="7">
        <f>IF(ENGINE!A34="","",ENGINE!D34)</f>
        <v>55000</v>
      </c>
      <c r="P34" s="7">
        <f>IF(ENGINE!A34="","",ENGINE!K34)</f>
        <v>304707.26181651879</v>
      </c>
      <c r="Q34" s="7"/>
      <c r="R34" s="7">
        <f>IF(ENGINE!A34="","",ENGINE!A34)</f>
        <v>32</v>
      </c>
      <c r="S34" s="7">
        <f>IF(ENGINE!A34="","",ENGINE!AC34)</f>
        <v>6256.1339030105537</v>
      </c>
      <c r="T34" s="7">
        <f>IF(ENGINE!A34="","",ENGINE!AD34)</f>
        <v>0</v>
      </c>
      <c r="U34" s="7">
        <f>IF(ENGINE!A34="","",ENGINE!AG34)</f>
        <v>18062.517435803071</v>
      </c>
      <c r="V34" s="7">
        <f>IF(ENGINE!A34="","",ENGINE!AI34)</f>
        <v>211792.68769129191</v>
      </c>
      <c r="W34" s="7"/>
      <c r="X34" s="7"/>
      <c r="Y34" s="7"/>
      <c r="Z34" s="7"/>
      <c r="AA34" s="7">
        <f>'PERIODIC ENGINE'!A29</f>
        <v>27</v>
      </c>
      <c r="AB34" s="7">
        <f>IF($AA34="","",IF($AA34=0,INPUTS!$C$8,AE33))</f>
        <v>1255290.6132737142</v>
      </c>
      <c r="AC34" s="7">
        <f>IF($AA34="","",'PERIODIC ENGINE'!D29/'PERIODIC ENGINE'!$S$3)</f>
        <v>36000</v>
      </c>
      <c r="AD34" s="7">
        <f>IF($AA34="","",(1+$AB$4)^'PERIODIC ENGINE'!$S$3)</f>
        <v>1.08</v>
      </c>
      <c r="AE34" s="7">
        <f>IF($AA34="","",IF($AB$4=0,AB34+'PERIODIC ENGINE'!D29,AB34*AD34+IF(INPUTS!$C$12="Beginning",AC34*(1+$AB$4)*(AD34-1)/$AB$4,AC34*(AD34-1)/$AB$4)))</f>
        <v>1394593.8623356114</v>
      </c>
      <c r="AF34" s="7"/>
      <c r="AG34" s="7">
        <f>'PERIODIC ENGINE'!A29</f>
        <v>27</v>
      </c>
      <c r="AH34" s="7">
        <f>IF($AG34="","",IF($AG34=0,INPUTS!$C$8,AK33))</f>
        <v>1553720.9292163157</v>
      </c>
      <c r="AI34" s="7">
        <f>IF($AG34="","",'PERIODIC ENGINE'!D29/'PERIODIC ENGINE'!$S$3)</f>
        <v>36000</v>
      </c>
      <c r="AJ34" s="7">
        <f>IF($AG34="","",(1+$AH$4)^'PERIODIC ENGINE'!$S$3)</f>
        <v>1.095</v>
      </c>
      <c r="AK34" s="7">
        <f>IF($AG34="","",IF($AH$4=0,AH34+'PERIODIC ENGINE'!D29,AH34*AJ34+IF(INPUTS!$C$12="Beginning",AI34*(1+$AH$4)*(AJ34-1)/$AH$4,AI34*(AJ34-1)/$AH$4)))</f>
        <v>1740744.4174918656</v>
      </c>
      <c r="AL34" s="7"/>
      <c r="AM34" s="7">
        <f>'PERIODIC ENGINE'!A29</f>
        <v>27</v>
      </c>
      <c r="AN34" s="7">
        <f>IF($AM34="","",IF($AM34=0,INPUTS!$C$8,AQ33))</f>
        <v>1938557.0887164581</v>
      </c>
      <c r="AO34" s="7">
        <f>IF($AM34="","",'PERIODIC ENGINE'!D29/'PERIODIC ENGINE'!$S$3)</f>
        <v>36000</v>
      </c>
      <c r="AP34" s="7">
        <f>IF($AM34="","",(1+$AN$4)^'PERIODIC ENGINE'!$S$3)</f>
        <v>1.1100000000000001</v>
      </c>
      <c r="AQ34" s="7">
        <f>IF($AM34="","",IF($AN$4=0,AN34+'PERIODIC ENGINE'!D29,AN34*AP34+IF(INPUTS!$C$12="Beginning",AO34*(1+$AN$4)*(AP34-1)/$AN$4,AO34*(AP34-1)/$AN$4)))</f>
        <v>2191758.3684752686</v>
      </c>
      <c r="AR34" s="7"/>
      <c r="AS34" s="7"/>
      <c r="AT34" s="7"/>
      <c r="AU34" s="7"/>
      <c r="AV34" s="7"/>
      <c r="AW34" s="7"/>
      <c r="AX34" s="7"/>
      <c r="AY34" s="7"/>
      <c r="AZ34" s="7"/>
    </row>
    <row r="35" spans="1:52" ht="18" customHeight="1" x14ac:dyDescent="0.25">
      <c r="A35" s="7">
        <f>IF(ENGINE!A35="","",ENGINE!B35)</f>
        <v>55</v>
      </c>
      <c r="B35" s="7">
        <f>IF(ENGINE!A35="","",INDEX('PERIODIC ENGINE'!$J$2:$J$102,MATCH(ENGINE!A35,'PERIODIC ENGINE'!$A$2:$A$102,0)))</f>
        <v>3751307.8679798776</v>
      </c>
      <c r="C35" s="7">
        <f>IF(B35="","",B35/(1+INPUTS!$C$11)^ENGINE!A35)</f>
        <v>548389.52959495829</v>
      </c>
      <c r="D35" s="7"/>
      <c r="E35" s="7">
        <f>IF(ENGINE!A35="","",ENGINE!A35)</f>
        <v>33</v>
      </c>
      <c r="F35" s="7">
        <f>IF(ENGINE!A35="","",ENGINE!AI35-ENGINE!D35)</f>
        <v>160065.81832203065</v>
      </c>
      <c r="G35" s="7"/>
      <c r="H35" s="7">
        <f>IF(ENGINE!A35="","",ENGINE!B35)</f>
        <v>55</v>
      </c>
      <c r="I35" s="7">
        <f>IF(ENGINE!A35="","",INDEX('PERIODIC ENGINE'!$J$2:$J$102,MATCH(ENGINE!A35,'PERIODIC ENGINE'!$A$2:$A$102,0)))</f>
        <v>3751307.8679798776</v>
      </c>
      <c r="J35" s="7">
        <f>IF(ENGINE!A35="","",500000)</f>
        <v>500000</v>
      </c>
      <c r="K35" s="7">
        <f>IF(ENGINE!A35="","",1000000)</f>
        <v>1000000</v>
      </c>
      <c r="L35" s="7">
        <f>IF(ENGINE!A35="","",2000000)</f>
        <v>2000000</v>
      </c>
      <c r="M35" s="7"/>
      <c r="N35" s="7">
        <f>IF(ENGINE!A35="","",ENGINE!B35)</f>
        <v>55</v>
      </c>
      <c r="O35" s="7">
        <f>IF(ENGINE!A35="","",ENGINE!D35)</f>
        <v>58500</v>
      </c>
      <c r="P35" s="7">
        <f>IF(ENGINE!A35="","",ENGINE!K35)</f>
        <v>341027.98799817072</v>
      </c>
      <c r="Q35" s="7"/>
      <c r="R35" s="7">
        <f>IF(ENGINE!A35="","",ENGINE!A35)</f>
        <v>33</v>
      </c>
      <c r="S35" s="7">
        <f>IF(ENGINE!A35="","",ENGINE!AC35)</f>
        <v>6024.4679201008694</v>
      </c>
      <c r="T35" s="7">
        <f>IF(ENGINE!A35="","",ENGINE!AD35)</f>
        <v>0</v>
      </c>
      <c r="U35" s="7">
        <f>IF(ENGINE!A35="","",ENGINE!AG35)</f>
        <v>18604.392958877164</v>
      </c>
      <c r="V35" s="7">
        <f>IF(ENGINE!A35="","",ENGINE!AI35)</f>
        <v>218565.81832203065</v>
      </c>
      <c r="W35" s="7"/>
      <c r="X35" s="7"/>
      <c r="Y35" s="7"/>
      <c r="Z35" s="7"/>
      <c r="AA35" s="7">
        <f>'PERIODIC ENGINE'!A30</f>
        <v>28</v>
      </c>
      <c r="AB35" s="7">
        <f>IF($AA35="","",IF($AA35=0,INPUTS!$C$8,AE34))</f>
        <v>1394593.8623356114</v>
      </c>
      <c r="AC35" s="7">
        <f>IF($AA35="","",'PERIODIC ENGINE'!D30/'PERIODIC ENGINE'!$S$3)</f>
        <v>43600</v>
      </c>
      <c r="AD35" s="7">
        <f>IF($AA35="","",(1+$AB$4)^'PERIODIC ENGINE'!$S$3)</f>
        <v>1.08</v>
      </c>
      <c r="AE35" s="7">
        <f>IF($AA35="","",IF($AB$4=0,AB35+'PERIODIC ENGINE'!D30,AB35*AD35+IF(INPUTS!$C$12="Beginning",AC35*(1+$AB$4)*(AD35-1)/$AB$4,AC35*(AD35-1)/$AB$4)))</f>
        <v>1553249.3713224605</v>
      </c>
      <c r="AF35" s="7"/>
      <c r="AG35" s="7">
        <f>'PERIODIC ENGINE'!A30</f>
        <v>28</v>
      </c>
      <c r="AH35" s="7">
        <f>IF($AG35="","",IF($AG35=0,INPUTS!$C$8,AK34))</f>
        <v>1740744.4174918656</v>
      </c>
      <c r="AI35" s="7">
        <f>IF($AG35="","",'PERIODIC ENGINE'!D30/'PERIODIC ENGINE'!$S$3)</f>
        <v>43600</v>
      </c>
      <c r="AJ35" s="7">
        <f>IF($AG35="","",(1+$AH$4)^'PERIODIC ENGINE'!$S$3)</f>
        <v>1.095</v>
      </c>
      <c r="AK35" s="7">
        <f>IF($AG35="","",IF($AH$4=0,AH35+'PERIODIC ENGINE'!D30,AH35*AJ35+IF(INPUTS!$C$12="Beginning",AI35*(1+$AH$4)*(AJ35-1)/$AH$4,AI35*(AJ35-1)/$AH$4)))</f>
        <v>1953857.1371535927</v>
      </c>
      <c r="AL35" s="7"/>
      <c r="AM35" s="7">
        <f>'PERIODIC ENGINE'!A30</f>
        <v>28</v>
      </c>
      <c r="AN35" s="7">
        <f>IF($AM35="","",IF($AM35=0,INPUTS!$C$8,AQ34))</f>
        <v>2191758.3684752686</v>
      </c>
      <c r="AO35" s="7">
        <f>IF($AM35="","",'PERIODIC ENGINE'!D30/'PERIODIC ENGINE'!$S$3)</f>
        <v>43600</v>
      </c>
      <c r="AP35" s="7">
        <f>IF($AM35="","",(1+$AN$4)^'PERIODIC ENGINE'!$S$3)</f>
        <v>1.1100000000000001</v>
      </c>
      <c r="AQ35" s="7">
        <f>IF($AM35="","",IF($AN$4=0,AN35+'PERIODIC ENGINE'!D30,AN35*AP35+IF(INPUTS!$C$12="Beginning",AO35*(1+$AN$4)*(AP35-1)/$AN$4,AO35*(AP35-1)/$AN$4)))</f>
        <v>2481247.7890075482</v>
      </c>
      <c r="AR35" s="7"/>
      <c r="AS35" s="7"/>
      <c r="AT35" s="7"/>
      <c r="AU35" s="7"/>
      <c r="AV35" s="7"/>
      <c r="AW35" s="7"/>
      <c r="AX35" s="7"/>
      <c r="AY35" s="7"/>
      <c r="AZ35" s="7"/>
    </row>
    <row r="36" spans="1:52" ht="18" customHeight="1" x14ac:dyDescent="0.25">
      <c r="A36" s="7">
        <f>IF(ENGINE!A36="","",ENGINE!B36)</f>
        <v>56</v>
      </c>
      <c r="B36" s="7">
        <f>IF(ENGINE!A36="","",INDEX('PERIODIC ENGINE'!$J$2:$J$102,MATCH(ENGINE!A36,'PERIODIC ENGINE'!$A$2:$A$102,0)))</f>
        <v>4194528.6547778659</v>
      </c>
      <c r="C36" s="7">
        <f>IF(B36="","",B36/(1+INPUTS!$C$11)^ENGINE!A36)</f>
        <v>578473.87028099177</v>
      </c>
      <c r="D36" s="7"/>
      <c r="E36" s="7">
        <f>IF(ENGINE!A36="","",ENGINE!A36)</f>
        <v>34</v>
      </c>
      <c r="F36" s="7">
        <f>IF(ENGINE!A36="","",ENGINE!AI36-ENGINE!D36)</f>
        <v>163659.52819549825</v>
      </c>
      <c r="G36" s="7"/>
      <c r="H36" s="7">
        <f>IF(ENGINE!A36="","",ENGINE!B36)</f>
        <v>56</v>
      </c>
      <c r="I36" s="7">
        <f>IF(ENGINE!A36="","",INDEX('PERIODIC ENGINE'!$J$2:$J$102,MATCH(ENGINE!A36,'PERIODIC ENGINE'!$A$2:$A$102,0)))</f>
        <v>4194528.6547778659</v>
      </c>
      <c r="J36" s="7">
        <f>IF(ENGINE!A36="","",500000)</f>
        <v>500000</v>
      </c>
      <c r="K36" s="7">
        <f>IF(ENGINE!A36="","",1000000)</f>
        <v>1000000</v>
      </c>
      <c r="L36" s="7">
        <f>IF(ENGINE!A36="","",2000000)</f>
        <v>2000000</v>
      </c>
      <c r="M36" s="7"/>
      <c r="N36" s="7">
        <f>IF(ENGINE!A36="","",ENGINE!B36)</f>
        <v>56</v>
      </c>
      <c r="O36" s="7">
        <f>IF(ENGINE!A36="","",ENGINE!D36)</f>
        <v>61900</v>
      </c>
      <c r="P36" s="7">
        <f>IF(ENGINE!A36="","",ENGINE!K36)</f>
        <v>381320.78679798776</v>
      </c>
      <c r="Q36" s="7"/>
      <c r="R36" s="7">
        <f>IF(ENGINE!A36="","",ENGINE!A36)</f>
        <v>34</v>
      </c>
      <c r="S36" s="7">
        <f>IF(ENGINE!A36="","",ENGINE!AC36)</f>
        <v>5764.0519577038976</v>
      </c>
      <c r="T36" s="7">
        <f>IF(ENGINE!A36="","",ENGINE!AD36)</f>
        <v>0</v>
      </c>
      <c r="U36" s="7">
        <f>IF(ENGINE!A36="","",ENGINE!AG36)</f>
        <v>19166.939423836833</v>
      </c>
      <c r="V36" s="7">
        <f>IF(ENGINE!A36="","",ENGINE!AI36)</f>
        <v>225559.52819549825</v>
      </c>
      <c r="W36" s="7"/>
      <c r="X36" s="7"/>
      <c r="Y36" s="7"/>
      <c r="Z36" s="7"/>
      <c r="AA36" s="7">
        <f>'PERIODIC ENGINE'!A31</f>
        <v>29</v>
      </c>
      <c r="AB36" s="7">
        <f>IF($AA36="","",IF($AA36=0,INPUTS!$C$8,AE35))</f>
        <v>1553249.3713224605</v>
      </c>
      <c r="AC36" s="7">
        <f>IF($AA36="","",'PERIODIC ENGINE'!D31/'PERIODIC ENGINE'!$S$3)</f>
        <v>46400</v>
      </c>
      <c r="AD36" s="7">
        <f>IF($AA36="","",(1+$AB$4)^'PERIODIC ENGINE'!$S$3)</f>
        <v>1.08</v>
      </c>
      <c r="AE36" s="7">
        <f>IF($AA36="","",IF($AB$4=0,AB36+'PERIODIC ENGINE'!D31,AB36*AD36+IF(INPUTS!$C$12="Beginning",AC36*(1+$AB$4)*(AD36-1)/$AB$4,AC36*(AD36-1)/$AB$4)))</f>
        <v>1727621.3210282575</v>
      </c>
      <c r="AF36" s="7"/>
      <c r="AG36" s="7">
        <f>'PERIODIC ENGINE'!A31</f>
        <v>29</v>
      </c>
      <c r="AH36" s="7">
        <f>IF($AG36="","",IF($AG36=0,INPUTS!$C$8,AK35))</f>
        <v>1953857.1371535927</v>
      </c>
      <c r="AI36" s="7">
        <f>IF($AG36="","",'PERIODIC ENGINE'!D31/'PERIODIC ENGINE'!$S$3)</f>
        <v>46400</v>
      </c>
      <c r="AJ36" s="7">
        <f>IF($AG36="","",(1+$AH$4)^'PERIODIC ENGINE'!$S$3)</f>
        <v>1.095</v>
      </c>
      <c r="AK36" s="7">
        <f>IF($AG36="","",IF($AH$4=0,AH36+'PERIODIC ENGINE'!D31,AH36*AJ36+IF(INPUTS!$C$12="Beginning",AI36*(1+$AH$4)*(AJ36-1)/$AH$4,AI36*(AJ36-1)/$AH$4)))</f>
        <v>2190281.5651831841</v>
      </c>
      <c r="AL36" s="7"/>
      <c r="AM36" s="7">
        <f>'PERIODIC ENGINE'!A31</f>
        <v>29</v>
      </c>
      <c r="AN36" s="7">
        <f>IF($AM36="","",IF($AM36=0,INPUTS!$C$8,AQ35))</f>
        <v>2481247.7890075482</v>
      </c>
      <c r="AO36" s="7">
        <f>IF($AM36="","",'PERIODIC ENGINE'!D31/'PERIODIC ENGINE'!$S$3)</f>
        <v>46400</v>
      </c>
      <c r="AP36" s="7">
        <f>IF($AM36="","",(1+$AN$4)^'PERIODIC ENGINE'!$S$3)</f>
        <v>1.1100000000000001</v>
      </c>
      <c r="AQ36" s="7">
        <f>IF($AM36="","",IF($AN$4=0,AN36+'PERIODIC ENGINE'!D31,AN36*AP36+IF(INPUTS!$C$12="Beginning",AO36*(1+$AN$4)*(AP36-1)/$AN$4,AO36*(AP36-1)/$AN$4)))</f>
        <v>2805689.045798379</v>
      </c>
      <c r="AR36" s="7"/>
      <c r="AS36" s="7"/>
      <c r="AT36" s="7"/>
      <c r="AU36" s="7"/>
      <c r="AV36" s="7"/>
      <c r="AW36" s="7"/>
      <c r="AX36" s="7"/>
      <c r="AY36" s="7"/>
      <c r="AZ36" s="7"/>
    </row>
    <row r="37" spans="1:52" ht="18" customHeight="1" x14ac:dyDescent="0.25">
      <c r="A37" s="7">
        <f>IF(ENGINE!A37="","",ENGINE!B37)</f>
        <v>57</v>
      </c>
      <c r="B37" s="7">
        <f>IF(ENGINE!A37="","",INDEX('PERIODIC ENGINE'!$J$2:$J$102,MATCH(ENGINE!A37,'PERIODIC ENGINE'!$A$2:$A$102,0)))</f>
        <v>4686471.5202556532</v>
      </c>
      <c r="C37" s="7">
        <f>IF(B37="","",B37/(1+INPUTS!$C$11)^ENGINE!A37)</f>
        <v>609734.40020779858</v>
      </c>
      <c r="D37" s="7"/>
      <c r="E37" s="7">
        <f>IF(ENGINE!A37="","",ENGINE!A37)</f>
        <v>35</v>
      </c>
      <c r="F37" s="7">
        <f>IF(ENGINE!A37="","",ENGINE!AI37-ENGINE!D37)</f>
        <v>166825.26404136317</v>
      </c>
      <c r="G37" s="7"/>
      <c r="H37" s="7">
        <f>IF(ENGINE!A37="","",ENGINE!B37)</f>
        <v>57</v>
      </c>
      <c r="I37" s="7">
        <f>IF(ENGINE!A37="","",INDEX('PERIODIC ENGINE'!$J$2:$J$102,MATCH(ENGINE!A37,'PERIODIC ENGINE'!$A$2:$A$102,0)))</f>
        <v>4686471.5202556532</v>
      </c>
      <c r="J37" s="7">
        <f>IF(ENGINE!A37="","",500000)</f>
        <v>500000</v>
      </c>
      <c r="K37" s="7">
        <f>IF(ENGINE!A37="","",1000000)</f>
        <v>1000000</v>
      </c>
      <c r="L37" s="7">
        <f>IF(ENGINE!A37="","",2000000)</f>
        <v>2000000</v>
      </c>
      <c r="M37" s="7"/>
      <c r="N37" s="7">
        <f>IF(ENGINE!A37="","",ENGINE!B37)</f>
        <v>57</v>
      </c>
      <c r="O37" s="7">
        <f>IF(ENGINE!A37="","",ENGINE!D37)</f>
        <v>65900</v>
      </c>
      <c r="P37" s="7">
        <f>IF(ENGINE!A37="","",ENGINE!K37)</f>
        <v>426042.86547778663</v>
      </c>
      <c r="Q37" s="7"/>
      <c r="R37" s="7">
        <f>IF(ENGINE!A37="","",ENGINE!A37)</f>
        <v>35</v>
      </c>
      <c r="S37" s="7">
        <f>IF(ENGINE!A37="","",ENGINE!AC37)</f>
        <v>5470.5235164350133</v>
      </c>
      <c r="T37" s="7">
        <f>IF(ENGINE!A37="","",ENGINE!AD37)</f>
        <v>0</v>
      </c>
      <c r="U37" s="7">
        <f>IF(ENGINE!A37="","",ENGINE!AG37)</f>
        <v>19809.447606551937</v>
      </c>
      <c r="V37" s="7">
        <f>IF(ENGINE!A37="","",ENGINE!AI37)</f>
        <v>232725.26404136317</v>
      </c>
      <c r="W37" s="7"/>
      <c r="X37" s="7"/>
      <c r="Y37" s="7"/>
      <c r="Z37" s="7"/>
      <c r="AA37" s="7">
        <f>'PERIODIC ENGINE'!A32</f>
        <v>30</v>
      </c>
      <c r="AB37" s="7">
        <f>IF($AA37="","",IF($AA37=0,INPUTS!$C$8,AE36))</f>
        <v>1727621.3210282575</v>
      </c>
      <c r="AC37" s="7">
        <f>IF($AA37="","",'PERIODIC ENGINE'!D32/'PERIODIC ENGINE'!$S$3)</f>
        <v>49300</v>
      </c>
      <c r="AD37" s="7">
        <f>IF($AA37="","",(1+$AB$4)^'PERIODIC ENGINE'!$S$3)</f>
        <v>1.08</v>
      </c>
      <c r="AE37" s="7">
        <f>IF($AA37="","",IF($AB$4=0,AB37+'PERIODIC ENGINE'!D32,AB37*AD37+IF(INPUTS!$C$12="Beginning",AC37*(1+$AB$4)*(AD37-1)/$AB$4,AC37*(AD37-1)/$AB$4)))</f>
        <v>1919075.0267105182</v>
      </c>
      <c r="AF37" s="7"/>
      <c r="AG37" s="7">
        <f>'PERIODIC ENGINE'!A32</f>
        <v>30</v>
      </c>
      <c r="AH37" s="7">
        <f>IF($AG37="","",IF($AG37=0,INPUTS!$C$8,AK36))</f>
        <v>2190281.5651831841</v>
      </c>
      <c r="AI37" s="7">
        <f>IF($AG37="","",'PERIODIC ENGINE'!D32/'PERIODIC ENGINE'!$S$3)</f>
        <v>49300</v>
      </c>
      <c r="AJ37" s="7">
        <f>IF($AG37="","",(1+$AH$4)^'PERIODIC ENGINE'!$S$3)</f>
        <v>1.095</v>
      </c>
      <c r="AK37" s="7">
        <f>IF($AG37="","",IF($AH$4=0,AH37+'PERIODIC ENGINE'!D32,AH37*AJ37+IF(INPUTS!$C$12="Beginning",AI37*(1+$AH$4)*(AJ37-1)/$AH$4,AI37*(AJ37-1)/$AH$4)))</f>
        <v>2452341.8138755867</v>
      </c>
      <c r="AL37" s="7"/>
      <c r="AM37" s="7">
        <f>'PERIODIC ENGINE'!A32</f>
        <v>30</v>
      </c>
      <c r="AN37" s="7">
        <f>IF($AM37="","",IF($AM37=0,INPUTS!$C$8,AQ36))</f>
        <v>2805689.045798379</v>
      </c>
      <c r="AO37" s="7">
        <f>IF($AM37="","",'PERIODIC ENGINE'!D32/'PERIODIC ENGINE'!$S$3)</f>
        <v>49300</v>
      </c>
      <c r="AP37" s="7">
        <f>IF($AM37="","",(1+$AN$4)^'PERIODIC ENGINE'!$S$3)</f>
        <v>1.1100000000000001</v>
      </c>
      <c r="AQ37" s="7">
        <f>IF($AM37="","",IF($AN$4=0,AN37+'PERIODIC ENGINE'!D32,AN37*AP37+IF(INPUTS!$C$12="Beginning",AO37*(1+$AN$4)*(AP37-1)/$AN$4,AO37*(AP37-1)/$AN$4)))</f>
        <v>3169037.8408362009</v>
      </c>
      <c r="AR37" s="7"/>
      <c r="AS37" s="7"/>
      <c r="AT37" s="7"/>
      <c r="AU37" s="7"/>
      <c r="AV37" s="7"/>
      <c r="AW37" s="7"/>
      <c r="AX37" s="7"/>
      <c r="AY37" s="7"/>
      <c r="AZ37" s="7"/>
    </row>
    <row r="38" spans="1:52" ht="18" customHeight="1" x14ac:dyDescent="0.25">
      <c r="A38" s="7">
        <f>IF(ENGINE!A38="","",ENGINE!B38)</f>
        <v>58</v>
      </c>
      <c r="B38" s="7">
        <f>IF(ENGINE!A38="","",INDEX('PERIODIC ENGINE'!$J$2:$J$102,MATCH(ENGINE!A38,'PERIODIC ENGINE'!$A$2:$A$102,0)))</f>
        <v>5232008.6722812187</v>
      </c>
      <c r="C38" s="7">
        <f>IF(B38="","",B38/(1+INPUTS!$C$11)^ENGINE!A38)</f>
        <v>642180.78345641505</v>
      </c>
      <c r="D38" s="7"/>
      <c r="E38" s="7">
        <f>IF(ENGINE!A38="","",ENGINE!A38)</f>
        <v>36</v>
      </c>
      <c r="F38" s="7">
        <f>IF(ENGINE!A38="","",ENGINE!AI38-ENGINE!D38)</f>
        <v>170224.62196260408</v>
      </c>
      <c r="G38" s="7"/>
      <c r="H38" s="7">
        <f>IF(ENGINE!A38="","",ENGINE!B38)</f>
        <v>58</v>
      </c>
      <c r="I38" s="7">
        <f>IF(ENGINE!A38="","",INDEX('PERIODIC ENGINE'!$J$2:$J$102,MATCH(ENGINE!A38,'PERIODIC ENGINE'!$A$2:$A$102,0)))</f>
        <v>5232008.6722812187</v>
      </c>
      <c r="J38" s="7">
        <f>IF(ENGINE!A38="","",500000)</f>
        <v>500000</v>
      </c>
      <c r="K38" s="7">
        <f>IF(ENGINE!A38="","",1000000)</f>
        <v>1000000</v>
      </c>
      <c r="L38" s="7">
        <f>IF(ENGINE!A38="","",2000000)</f>
        <v>2000000</v>
      </c>
      <c r="M38" s="7"/>
      <c r="N38" s="7">
        <f>IF(ENGINE!A38="","",ENGINE!B38)</f>
        <v>58</v>
      </c>
      <c r="O38" s="7">
        <f>IF(ENGINE!A38="","",ENGINE!D38)</f>
        <v>69900</v>
      </c>
      <c r="P38" s="7">
        <f>IF(ENGINE!A38="","",ENGINE!K38)</f>
        <v>475637.15202556533</v>
      </c>
      <c r="Q38" s="7"/>
      <c r="R38" s="7">
        <f>IF(ENGINE!A38="","",ENGINE!A38)</f>
        <v>36</v>
      </c>
      <c r="S38" s="7">
        <f>IF(ENGINE!A38="","",ENGINE!AC38)</f>
        <v>5149.5392219280657</v>
      </c>
      <c r="T38" s="7">
        <f>IF(ENGINE!A38="","",ENGINE!AD38)</f>
        <v>0</v>
      </c>
      <c r="U38" s="7">
        <f>IF(ENGINE!A38="","",ENGINE!AG38)</f>
        <v>20471.231034748496</v>
      </c>
      <c r="V38" s="7">
        <f>IF(ENGINE!A38="","",ENGINE!AI38)</f>
        <v>240124.62196260408</v>
      </c>
      <c r="W38" s="7"/>
      <c r="X38" s="7"/>
      <c r="Y38" s="7"/>
      <c r="Z38" s="7"/>
      <c r="AA38" s="7">
        <f>'PERIODIC ENGINE'!A33</f>
        <v>31</v>
      </c>
      <c r="AB38" s="7">
        <f>IF($AA38="","",IF($AA38=0,INPUTS!$C$8,AE37))</f>
        <v>1919075.0267105182</v>
      </c>
      <c r="AC38" s="7">
        <f>IF($AA38="","",'PERIODIC ENGINE'!D33/'PERIODIC ENGINE'!$S$3)</f>
        <v>52100</v>
      </c>
      <c r="AD38" s="7">
        <f>IF($AA38="","",(1+$AB$4)^'PERIODIC ENGINE'!$S$3)</f>
        <v>1.08</v>
      </c>
      <c r="AE38" s="7">
        <f>IF($AA38="","",IF($AB$4=0,AB38+'PERIODIC ENGINE'!D33,AB38*AD38+IF(INPUTS!$C$12="Beginning",AC38*(1+$AB$4)*(AD38-1)/$AB$4,AC38*(AD38-1)/$AB$4)))</f>
        <v>2128869.0288473601</v>
      </c>
      <c r="AF38" s="7"/>
      <c r="AG38" s="7">
        <f>'PERIODIC ENGINE'!A33</f>
        <v>31</v>
      </c>
      <c r="AH38" s="7">
        <f>IF($AG38="","",IF($AG38=0,INPUTS!$C$8,AK37))</f>
        <v>2452341.8138755867</v>
      </c>
      <c r="AI38" s="7">
        <f>IF($AG38="","",'PERIODIC ENGINE'!D33/'PERIODIC ENGINE'!$S$3)</f>
        <v>52100</v>
      </c>
      <c r="AJ38" s="7">
        <f>IF($AG38="","",(1+$AH$4)^'PERIODIC ENGINE'!$S$3)</f>
        <v>1.095</v>
      </c>
      <c r="AK38" s="7">
        <f>IF($AG38="","",IF($AH$4=0,AH38+'PERIODIC ENGINE'!D33,AH38*AJ38+IF(INPUTS!$C$12="Beginning",AI38*(1+$AH$4)*(AJ38-1)/$AH$4,AI38*(AJ38-1)/$AH$4)))</f>
        <v>2742363.7861937676</v>
      </c>
      <c r="AL38" s="7"/>
      <c r="AM38" s="7">
        <f>'PERIODIC ENGINE'!A33</f>
        <v>31</v>
      </c>
      <c r="AN38" s="7">
        <f>IF($AM38="","",IF($AM38=0,INPUTS!$C$8,AQ37))</f>
        <v>3169037.8408362009</v>
      </c>
      <c r="AO38" s="7">
        <f>IF($AM38="","",'PERIODIC ENGINE'!D33/'PERIODIC ENGINE'!$S$3)</f>
        <v>52100</v>
      </c>
      <c r="AP38" s="7">
        <f>IF($AM38="","",(1+$AN$4)^'PERIODIC ENGINE'!$S$3)</f>
        <v>1.1100000000000001</v>
      </c>
      <c r="AQ38" s="7">
        <f>IF($AM38="","",IF($AN$4=0,AN38+'PERIODIC ENGINE'!D33,AN38*AP38+IF(INPUTS!$C$12="Beginning",AO38*(1+$AN$4)*(AP38-1)/$AN$4,AO38*(AP38-1)/$AN$4)))</f>
        <v>3575463.0033281832</v>
      </c>
      <c r="AR38" s="7"/>
      <c r="AS38" s="7"/>
      <c r="AT38" s="7"/>
      <c r="AU38" s="7"/>
      <c r="AV38" s="7"/>
      <c r="AW38" s="7"/>
      <c r="AX38" s="7"/>
      <c r="AY38" s="7"/>
      <c r="AZ38" s="7"/>
    </row>
    <row r="39" spans="1:52" ht="18" customHeight="1" x14ac:dyDescent="0.25">
      <c r="A39" s="7">
        <f>IF(ENGINE!A39="","",ENGINE!B39)</f>
        <v>59</v>
      </c>
      <c r="B39" s="7">
        <f>IF(ENGINE!A39="","",INDEX('PERIODIC ENGINE'!$J$2:$J$102,MATCH(ENGINE!A39,'PERIODIC ENGINE'!$A$2:$A$102,0)))</f>
        <v>5836499.5395093411</v>
      </c>
      <c r="C39" s="7">
        <f>IF(B39="","",B39/(1+INPUTS!$C$11)^ENGINE!A39)</f>
        <v>675826.84826088406</v>
      </c>
      <c r="D39" s="7"/>
      <c r="E39" s="7">
        <f>IF(ENGINE!A39="","",ENGINE!A39)</f>
        <v>37</v>
      </c>
      <c r="F39" s="7">
        <f>IF(ENGINE!A39="","",ENGINE!AI39-ENGINE!D39)</f>
        <v>173878.11062148225</v>
      </c>
      <c r="G39" s="7"/>
      <c r="H39" s="7">
        <f>IF(ENGINE!A39="","",ENGINE!B39)</f>
        <v>59</v>
      </c>
      <c r="I39" s="7">
        <f>IF(ENGINE!A39="","",INDEX('PERIODIC ENGINE'!$J$2:$J$102,MATCH(ENGINE!A39,'PERIODIC ENGINE'!$A$2:$A$102,0)))</f>
        <v>5836499.5395093411</v>
      </c>
      <c r="J39" s="7">
        <f>IF(ENGINE!A39="","",500000)</f>
        <v>500000</v>
      </c>
      <c r="K39" s="7">
        <f>IF(ENGINE!A39="","",1000000)</f>
        <v>1000000</v>
      </c>
      <c r="L39" s="7">
        <f>IF(ENGINE!A39="","",2000000)</f>
        <v>2000000</v>
      </c>
      <c r="M39" s="7"/>
      <c r="N39" s="7">
        <f>IF(ENGINE!A39="","",ENGINE!B39)</f>
        <v>59</v>
      </c>
      <c r="O39" s="7">
        <f>IF(ENGINE!A39="","",ENGINE!D39)</f>
        <v>73900</v>
      </c>
      <c r="P39" s="7">
        <f>IF(ENGINE!A39="","",ENGINE!K39)</f>
        <v>530590.86722812185</v>
      </c>
      <c r="Q39" s="7"/>
      <c r="R39" s="7">
        <f>IF(ENGINE!A39="","",ENGINE!A39)</f>
        <v>37</v>
      </c>
      <c r="S39" s="7">
        <f>IF(ENGINE!A39="","",ENGINE!AC39)</f>
        <v>4786.7753985859108</v>
      </c>
      <c r="T39" s="7">
        <f>IF(ENGINE!A39="","",ENGINE!AD39)</f>
        <v>0</v>
      </c>
      <c r="U39" s="7">
        <f>IF(ENGINE!A39="","",ENGINE!AG39)</f>
        <v>21152.867965790952</v>
      </c>
      <c r="V39" s="7">
        <f>IF(ENGINE!A39="","",ENGINE!AI39)</f>
        <v>247778.11062148225</v>
      </c>
      <c r="W39" s="7"/>
      <c r="X39" s="7"/>
      <c r="Y39" s="7"/>
      <c r="Z39" s="7"/>
      <c r="AA39" s="7">
        <f>'PERIODIC ENGINE'!A34</f>
        <v>32</v>
      </c>
      <c r="AB39" s="7">
        <f>IF($AA39="","",IF($AA39=0,INPUTS!$C$8,AE38))</f>
        <v>2128869.0288473601</v>
      </c>
      <c r="AC39" s="7">
        <f>IF($AA39="","",'PERIODIC ENGINE'!D34/'PERIODIC ENGINE'!$S$3)</f>
        <v>55000</v>
      </c>
      <c r="AD39" s="7">
        <f>IF($AA39="","",(1+$AB$4)^'PERIODIC ENGINE'!$S$3)</f>
        <v>1.08</v>
      </c>
      <c r="AE39" s="7">
        <f>IF($AA39="","",IF($AB$4=0,AB39+'PERIODIC ENGINE'!D34,AB39*AD39+IF(INPUTS!$C$12="Beginning",AC39*(1+$AB$4)*(AD39-1)/$AB$4,AC39*(AD39-1)/$AB$4)))</f>
        <v>2358578.551155149</v>
      </c>
      <c r="AF39" s="7"/>
      <c r="AG39" s="7">
        <f>'PERIODIC ENGINE'!A34</f>
        <v>32</v>
      </c>
      <c r="AH39" s="7">
        <f>IF($AG39="","",IF($AG39=0,INPUTS!$C$8,AK38))</f>
        <v>2742363.7861937676</v>
      </c>
      <c r="AI39" s="7">
        <f>IF($AG39="","",'PERIODIC ENGINE'!D34/'PERIODIC ENGINE'!$S$3)</f>
        <v>55000</v>
      </c>
      <c r="AJ39" s="7">
        <f>IF($AG39="","",(1+$AH$4)^'PERIODIC ENGINE'!$S$3)</f>
        <v>1.095</v>
      </c>
      <c r="AK39" s="7">
        <f>IF($AG39="","",IF($AH$4=0,AH39+'PERIODIC ENGINE'!D34,AH39*AJ39+IF(INPUTS!$C$12="Beginning",AI39*(1+$AH$4)*(AJ39-1)/$AH$4,AI39*(AJ39-1)/$AH$4)))</f>
        <v>3063113.3458821755</v>
      </c>
      <c r="AL39" s="7"/>
      <c r="AM39" s="7">
        <f>'PERIODIC ENGINE'!A34</f>
        <v>32</v>
      </c>
      <c r="AN39" s="7">
        <f>IF($AM39="","",IF($AM39=0,INPUTS!$C$8,AQ38))</f>
        <v>3575463.0033281832</v>
      </c>
      <c r="AO39" s="7">
        <f>IF($AM39="","",'PERIODIC ENGINE'!D34/'PERIODIC ENGINE'!$S$3)</f>
        <v>55000</v>
      </c>
      <c r="AP39" s="7">
        <f>IF($AM39="","",(1+$AN$4)^'PERIODIC ENGINE'!$S$3)</f>
        <v>1.1100000000000001</v>
      </c>
      <c r="AQ39" s="7">
        <f>IF($AM39="","",IF($AN$4=0,AN39+'PERIODIC ENGINE'!D34,AN39*AP39+IF(INPUTS!$C$12="Beginning",AO39*(1+$AN$4)*(AP39-1)/$AN$4,AO39*(AP39-1)/$AN$4)))</f>
        <v>4029813.9336942835</v>
      </c>
      <c r="AR39" s="7"/>
      <c r="AS39" s="7"/>
      <c r="AT39" s="7"/>
      <c r="AU39" s="7"/>
      <c r="AV39" s="7"/>
      <c r="AW39" s="7"/>
      <c r="AX39" s="7"/>
      <c r="AY39" s="7"/>
      <c r="AZ39" s="7"/>
    </row>
    <row r="40" spans="1:52" ht="18" customHeight="1" x14ac:dyDescent="0.25">
      <c r="A40" s="7">
        <f>IF(ENGINE!A40="","",ENGINE!B40)</f>
        <v>60</v>
      </c>
      <c r="B40" s="7">
        <f>IF(ENGINE!A40="","",INDEX('PERIODIC ENGINE'!$J$2:$J$102,MATCH(ENGINE!A40,'PERIODIC ENGINE'!$A$2:$A$102,0)))</f>
        <v>6506499.4934602762</v>
      </c>
      <c r="C40" s="7">
        <f>IF(B40="","",B40/(1+INPUTS!$C$11)^ENGINE!A40)</f>
        <v>710762.52290219313</v>
      </c>
      <c r="D40" s="7"/>
      <c r="E40" s="7">
        <f>IF(ENGINE!A40="","",ENGINE!A40)</f>
        <v>38</v>
      </c>
      <c r="F40" s="7">
        <f>IF(ENGINE!A40="","",ENGINE!AI40-ENGINE!D40)</f>
        <v>177186.40394012674</v>
      </c>
      <c r="G40" s="7"/>
      <c r="H40" s="7">
        <f>IF(ENGINE!A40="","",ENGINE!B40)</f>
        <v>60</v>
      </c>
      <c r="I40" s="7">
        <f>IF(ENGINE!A40="","",INDEX('PERIODIC ENGINE'!$J$2:$J$102,MATCH(ENGINE!A40,'PERIODIC ENGINE'!$A$2:$A$102,0)))</f>
        <v>6506499.4934602762</v>
      </c>
      <c r="J40" s="7">
        <f>IF(ENGINE!A40="","",500000)</f>
        <v>500000</v>
      </c>
      <c r="K40" s="7">
        <f>IF(ENGINE!A40="","",1000000)</f>
        <v>1000000</v>
      </c>
      <c r="L40" s="7">
        <f>IF(ENGINE!A40="","",2000000)</f>
        <v>2000000</v>
      </c>
      <c r="M40" s="7"/>
      <c r="N40" s="7">
        <f>IF(ENGINE!A40="","",ENGINE!B40)</f>
        <v>60</v>
      </c>
      <c r="O40" s="7">
        <f>IF(ENGINE!A40="","",ENGINE!D40)</f>
        <v>78500</v>
      </c>
      <c r="P40" s="7">
        <f>IF(ENGINE!A40="","",ENGINE!K40)</f>
        <v>591499.95395093411</v>
      </c>
      <c r="Q40" s="7"/>
      <c r="R40" s="7">
        <f>IF(ENGINE!A40="","",ENGINE!A40)</f>
        <v>38</v>
      </c>
      <c r="S40" s="7">
        <f>IF(ENGINE!A40="","",ENGINE!AC40)</f>
        <v>4387.92866054349</v>
      </c>
      <c r="T40" s="7">
        <f>IF(ENGINE!A40="","",ENGINE!AD40)</f>
        <v>0</v>
      </c>
      <c r="U40" s="7">
        <f>IF(ENGINE!A40="","",ENGINE!AG40)</f>
        <v>21854.954004764681</v>
      </c>
      <c r="V40" s="7">
        <f>IF(ENGINE!A40="","",ENGINE!AI40)</f>
        <v>255686.40394012674</v>
      </c>
      <c r="W40" s="7"/>
      <c r="X40" s="7"/>
      <c r="Y40" s="7"/>
      <c r="Z40" s="7"/>
      <c r="AA40" s="7">
        <f>'PERIODIC ENGINE'!A35</f>
        <v>33</v>
      </c>
      <c r="AB40" s="7">
        <f>IF($AA40="","",IF($AA40=0,INPUTS!$C$8,AE39))</f>
        <v>2358578.551155149</v>
      </c>
      <c r="AC40" s="7">
        <f>IF($AA40="","",'PERIODIC ENGINE'!D35/'PERIODIC ENGINE'!$S$3)</f>
        <v>58500</v>
      </c>
      <c r="AD40" s="7">
        <f>IF($AA40="","",(1+$AB$4)^'PERIODIC ENGINE'!$S$3)</f>
        <v>1.08</v>
      </c>
      <c r="AE40" s="7">
        <f>IF($AA40="","",IF($AB$4=0,AB40+'PERIODIC ENGINE'!D35,AB40*AD40+IF(INPUTS!$C$12="Beginning",AC40*(1+$AB$4)*(AD40-1)/$AB$4,AC40*(AD40-1)/$AB$4)))</f>
        <v>2610444.8352475609</v>
      </c>
      <c r="AF40" s="7"/>
      <c r="AG40" s="7">
        <f>'PERIODIC ENGINE'!A35</f>
        <v>33</v>
      </c>
      <c r="AH40" s="7">
        <f>IF($AG40="","",IF($AG40=0,INPUTS!$C$8,AK39))</f>
        <v>3063113.3458821755</v>
      </c>
      <c r="AI40" s="7">
        <f>IF($AG40="","",'PERIODIC ENGINE'!D35/'PERIODIC ENGINE'!$S$3)</f>
        <v>58500</v>
      </c>
      <c r="AJ40" s="7">
        <f>IF($AG40="","",(1+$AH$4)^'PERIODIC ENGINE'!$S$3)</f>
        <v>1.095</v>
      </c>
      <c r="AK40" s="7">
        <f>IF($AG40="","",IF($AH$4=0,AH40+'PERIODIC ENGINE'!D35,AH40*AJ40+IF(INPUTS!$C$12="Beginning",AI40*(1+$AH$4)*(AJ40-1)/$AH$4,AI40*(AJ40-1)/$AH$4)))</f>
        <v>3418166.613740982</v>
      </c>
      <c r="AL40" s="7"/>
      <c r="AM40" s="7">
        <f>'PERIODIC ENGINE'!A35</f>
        <v>33</v>
      </c>
      <c r="AN40" s="7">
        <f>IF($AM40="","",IF($AM40=0,INPUTS!$C$8,AQ39))</f>
        <v>4029813.9336942835</v>
      </c>
      <c r="AO40" s="7">
        <f>IF($AM40="","",'PERIODIC ENGINE'!D35/'PERIODIC ENGINE'!$S$3)</f>
        <v>58500</v>
      </c>
      <c r="AP40" s="7">
        <f>IF($AM40="","",(1+$AN$4)^'PERIODIC ENGINE'!$S$3)</f>
        <v>1.1100000000000001</v>
      </c>
      <c r="AQ40" s="7">
        <f>IF($AM40="","",IF($AN$4=0,AN40+'PERIODIC ENGINE'!D35,AN40*AP40+IF(INPUTS!$C$12="Beginning",AO40*(1+$AN$4)*(AP40-1)/$AN$4,AO40*(AP40-1)/$AN$4)))</f>
        <v>4538028.466400655</v>
      </c>
      <c r="AR40" s="7"/>
      <c r="AS40" s="7"/>
      <c r="AT40" s="7"/>
      <c r="AU40" s="7"/>
      <c r="AV40" s="7"/>
      <c r="AW40" s="7"/>
      <c r="AX40" s="7"/>
      <c r="AY40" s="7"/>
      <c r="AZ40" s="7"/>
    </row>
    <row r="41" spans="1:52" ht="18" customHeight="1" x14ac:dyDescent="0.25">
      <c r="A41" s="7">
        <f>IF(ENGINE!A41="","",ENGINE!B41)</f>
        <v>61</v>
      </c>
      <c r="B41" s="7">
        <f>IF(ENGINE!A41="","",INDEX('PERIODIC ENGINE'!$J$2:$J$102,MATCH(ENGINE!A41,'PERIODIC ENGINE'!$A$2:$A$102,0)))</f>
        <v>7248559.4428063044</v>
      </c>
      <c r="C41" s="7">
        <f>IF(B41="","",B41/(1+INPUTS!$C$11)^ENGINE!A41)</f>
        <v>747004.05517066165</v>
      </c>
      <c r="D41" s="7"/>
      <c r="E41" s="7">
        <f>IF(ENGINE!A41="","",ENGINE!A41)</f>
        <v>39</v>
      </c>
      <c r="F41" s="7">
        <f>IF(ENGINE!A41="","",ENGINE!AI41-ENGINE!D41)</f>
        <v>180765.34605833056</v>
      </c>
      <c r="G41" s="7"/>
      <c r="H41" s="7">
        <f>IF(ENGINE!A41="","",ENGINE!B41)</f>
        <v>61</v>
      </c>
      <c r="I41" s="7">
        <f>IF(ENGINE!A41="","",INDEX('PERIODIC ENGINE'!$J$2:$J$102,MATCH(ENGINE!A41,'PERIODIC ENGINE'!$A$2:$A$102,0)))</f>
        <v>7248559.4428063044</v>
      </c>
      <c r="J41" s="7">
        <f>IF(ENGINE!A41="","",500000)</f>
        <v>500000</v>
      </c>
      <c r="K41" s="7">
        <f>IF(ENGINE!A41="","",1000000)</f>
        <v>1000000</v>
      </c>
      <c r="L41" s="7">
        <f>IF(ENGINE!A41="","",2000000)</f>
        <v>2000000</v>
      </c>
      <c r="M41" s="7"/>
      <c r="N41" s="7">
        <f>IF(ENGINE!A41="","",ENGINE!B41)</f>
        <v>61</v>
      </c>
      <c r="O41" s="7">
        <f>IF(ENGINE!A41="","",ENGINE!D41)</f>
        <v>83100</v>
      </c>
      <c r="P41" s="7">
        <f>IF(ENGINE!A41="","",ENGINE!K41)</f>
        <v>658959.94934602769</v>
      </c>
      <c r="Q41" s="7"/>
      <c r="R41" s="7">
        <f>IF(ENGINE!A41="","",ENGINE!A41)</f>
        <v>39</v>
      </c>
      <c r="S41" s="7">
        <f>IF(ENGINE!A41="","",ENGINE!AC41)</f>
        <v>3943.7165203597979</v>
      </c>
      <c r="T41" s="7">
        <f>IF(ENGINE!A41="","",ENGINE!AD41)</f>
        <v>0</v>
      </c>
      <c r="U41" s="7">
        <f>IF(ENGINE!A41="","",ENGINE!AG41)</f>
        <v>22578.102624907628</v>
      </c>
      <c r="V41" s="7">
        <f>IF(ENGINE!A41="","",ENGINE!AI41)</f>
        <v>263865.34605833056</v>
      </c>
      <c r="W41" s="7"/>
      <c r="X41" s="7"/>
      <c r="Y41" s="7"/>
      <c r="Z41" s="7"/>
      <c r="AA41" s="7">
        <f>'PERIODIC ENGINE'!A36</f>
        <v>34</v>
      </c>
      <c r="AB41" s="7">
        <f>IF($AA41="","",IF($AA41=0,INPUTS!$C$8,AE40))</f>
        <v>2610444.8352475609</v>
      </c>
      <c r="AC41" s="7">
        <f>IF($AA41="","",'PERIODIC ENGINE'!D36/'PERIODIC ENGINE'!$S$3)</f>
        <v>61900</v>
      </c>
      <c r="AD41" s="7">
        <f>IF($AA41="","",(1+$AB$4)^'PERIODIC ENGINE'!$S$3)</f>
        <v>1.08</v>
      </c>
      <c r="AE41" s="7">
        <f>IF($AA41="","",IF($AB$4=0,AB41+'PERIODIC ENGINE'!D36,AB41*AD41+IF(INPUTS!$C$12="Beginning",AC41*(1+$AB$4)*(AD41-1)/$AB$4,AC41*(AD41-1)/$AB$4)))</f>
        <v>2886132.4220673661</v>
      </c>
      <c r="AF41" s="7"/>
      <c r="AG41" s="7">
        <f>'PERIODIC ENGINE'!A36</f>
        <v>34</v>
      </c>
      <c r="AH41" s="7">
        <f>IF($AG41="","",IF($AG41=0,INPUTS!$C$8,AK40))</f>
        <v>3418166.613740982</v>
      </c>
      <c r="AI41" s="7">
        <f>IF($AG41="","",'PERIODIC ENGINE'!D36/'PERIODIC ENGINE'!$S$3)</f>
        <v>61900</v>
      </c>
      <c r="AJ41" s="7">
        <f>IF($AG41="","",(1+$AH$4)^'PERIODIC ENGINE'!$S$3)</f>
        <v>1.095</v>
      </c>
      <c r="AK41" s="7">
        <f>IF($AG41="","",IF($AH$4=0,AH41+'PERIODIC ENGINE'!D36,AH41*AJ41+IF(INPUTS!$C$12="Beginning",AI41*(1+$AH$4)*(AJ41-1)/$AH$4,AI41*(AJ41-1)/$AH$4)))</f>
        <v>3810672.942046375</v>
      </c>
      <c r="AL41" s="7"/>
      <c r="AM41" s="7">
        <f>'PERIODIC ENGINE'!A36</f>
        <v>34</v>
      </c>
      <c r="AN41" s="7">
        <f>IF($AM41="","",IF($AM41=0,INPUTS!$C$8,AQ40))</f>
        <v>4538028.466400655</v>
      </c>
      <c r="AO41" s="7">
        <f>IF($AM41="","",'PERIODIC ENGINE'!D36/'PERIODIC ENGINE'!$S$3)</f>
        <v>61900</v>
      </c>
      <c r="AP41" s="7">
        <f>IF($AM41="","",(1+$AN$4)^'PERIODIC ENGINE'!$S$3)</f>
        <v>1.1100000000000001</v>
      </c>
      <c r="AQ41" s="7">
        <f>IF($AM41="","",IF($AN$4=0,AN41+'PERIODIC ENGINE'!D36,AN41*AP41+IF(INPUTS!$C$12="Beginning",AO41*(1+$AN$4)*(AP41-1)/$AN$4,AO41*(AP41-1)/$AN$4)))</f>
        <v>5105920.5977047272</v>
      </c>
      <c r="AR41" s="7"/>
      <c r="AS41" s="7"/>
      <c r="AT41" s="7"/>
      <c r="AU41" s="7"/>
      <c r="AV41" s="7"/>
      <c r="AW41" s="7"/>
      <c r="AX41" s="7"/>
      <c r="AY41" s="7"/>
      <c r="AZ41" s="7"/>
    </row>
    <row r="42" spans="1:52" ht="18" customHeight="1" x14ac:dyDescent="0.25">
      <c r="A42" s="7">
        <f>IF(ENGINE!A42="","",ENGINE!B42)</f>
        <v>62</v>
      </c>
      <c r="B42" s="7">
        <f>IF(ENGINE!A42="","",INDEX('PERIODIC ENGINE'!$J$2:$J$102,MATCH(ENGINE!A42,'PERIODIC ENGINE'!$A$2:$A$102,0)))</f>
        <v>8070545.3870869353</v>
      </c>
      <c r="C42" s="7">
        <f>IF(B42="","",B42/(1+INPUTS!$C$11)^ENGINE!A42)</f>
        <v>784636.07853337994</v>
      </c>
      <c r="D42" s="7"/>
      <c r="E42" s="7">
        <f>IF(ENGINE!A42="","",ENGINE!A42)</f>
        <v>40</v>
      </c>
      <c r="F42" s="7">
        <f>IF(ENGINE!A42="","",ENGINE!AI42-ENGINE!D42)</f>
        <v>184015.95644008048</v>
      </c>
      <c r="G42" s="7"/>
      <c r="H42" s="7">
        <f>IF(ENGINE!A42="","",ENGINE!B42)</f>
        <v>62</v>
      </c>
      <c r="I42" s="7">
        <f>IF(ENGINE!A42="","",INDEX('PERIODIC ENGINE'!$J$2:$J$102,MATCH(ENGINE!A42,'PERIODIC ENGINE'!$A$2:$A$102,0)))</f>
        <v>8070545.3870869353</v>
      </c>
      <c r="J42" s="7">
        <f>IF(ENGINE!A42="","",500000)</f>
        <v>500000</v>
      </c>
      <c r="K42" s="7">
        <f>IF(ENGINE!A42="","",1000000)</f>
        <v>1000000</v>
      </c>
      <c r="L42" s="7">
        <f>IF(ENGINE!A42="","",2000000)</f>
        <v>2000000</v>
      </c>
      <c r="M42" s="7"/>
      <c r="N42" s="7">
        <f>IF(ENGINE!A42="","",ENGINE!B42)</f>
        <v>62</v>
      </c>
      <c r="O42" s="7">
        <f>IF(ENGINE!A42="","",ENGINE!D42)</f>
        <v>88300</v>
      </c>
      <c r="P42" s="7">
        <f>IF(ENGINE!A42="","",ENGINE!K42)</f>
        <v>733685.94428063044</v>
      </c>
      <c r="Q42" s="7"/>
      <c r="R42" s="7">
        <f>IF(ENGINE!A42="","",ENGINE!A42)</f>
        <v>40</v>
      </c>
      <c r="S42" s="7">
        <f>IF(ENGINE!A42="","",ENGINE!AC42)</f>
        <v>3459.8780159705902</v>
      </c>
      <c r="T42" s="7">
        <f>IF(ENGINE!A42="","",ENGINE!AD42)</f>
        <v>0</v>
      </c>
      <c r="U42" s="7">
        <f>IF(ENGINE!A42="","",ENGINE!AG42)</f>
        <v>23322.945703654856</v>
      </c>
      <c r="V42" s="7">
        <f>IF(ENGINE!A42="","",ENGINE!AI42)</f>
        <v>272315.95644008048</v>
      </c>
      <c r="W42" s="7"/>
      <c r="X42" s="7"/>
      <c r="Y42" s="7"/>
      <c r="Z42" s="7"/>
      <c r="AA42" s="7">
        <f>'PERIODIC ENGINE'!A37</f>
        <v>35</v>
      </c>
      <c r="AB42" s="7">
        <f>IF($AA42="","",IF($AA42=0,INPUTS!$C$8,AE41))</f>
        <v>2886132.4220673661</v>
      </c>
      <c r="AC42" s="7">
        <f>IF($AA42="","",'PERIODIC ENGINE'!D37/'PERIODIC ENGINE'!$S$3)</f>
        <v>65900</v>
      </c>
      <c r="AD42" s="7">
        <f>IF($AA42="","",(1+$AB$4)^'PERIODIC ENGINE'!$S$3)</f>
        <v>1.08</v>
      </c>
      <c r="AE42" s="7">
        <f>IF($AA42="","",IF($AB$4=0,AB42+'PERIODIC ENGINE'!D37,AB42*AD42+IF(INPUTS!$C$12="Beginning",AC42*(1+$AB$4)*(AD42-1)/$AB$4,AC42*(AD42-1)/$AB$4)))</f>
        <v>3188195.0158327557</v>
      </c>
      <c r="AF42" s="7"/>
      <c r="AG42" s="7">
        <f>'PERIODIC ENGINE'!A37</f>
        <v>35</v>
      </c>
      <c r="AH42" s="7">
        <f>IF($AG42="","",IF($AG42=0,INPUTS!$C$8,AK41))</f>
        <v>3810672.942046375</v>
      </c>
      <c r="AI42" s="7">
        <f>IF($AG42="","",'PERIODIC ENGINE'!D37/'PERIODIC ENGINE'!$S$3)</f>
        <v>65900</v>
      </c>
      <c r="AJ42" s="7">
        <f>IF($AG42="","",(1+$AH$4)^'PERIODIC ENGINE'!$S$3)</f>
        <v>1.095</v>
      </c>
      <c r="AK42" s="7">
        <f>IF($AG42="","",IF($AH$4=0,AH42+'PERIODIC ENGINE'!D37,AH42*AJ42+IF(INPUTS!$C$12="Beginning",AI42*(1+$AH$4)*(AJ42-1)/$AH$4,AI42*(AJ42-1)/$AH$4)))</f>
        <v>4244847.3715407811</v>
      </c>
      <c r="AL42" s="7"/>
      <c r="AM42" s="7">
        <f>'PERIODIC ENGINE'!A37</f>
        <v>35</v>
      </c>
      <c r="AN42" s="7">
        <f>IF($AM42="","",IF($AM42=0,INPUTS!$C$8,AQ41))</f>
        <v>5105920.5977047272</v>
      </c>
      <c r="AO42" s="7">
        <f>IF($AM42="","",'PERIODIC ENGINE'!D37/'PERIODIC ENGINE'!$S$3)</f>
        <v>65900</v>
      </c>
      <c r="AP42" s="7">
        <f>IF($AM42="","",(1+$AN$4)^'PERIODIC ENGINE'!$S$3)</f>
        <v>1.1100000000000001</v>
      </c>
      <c r="AQ42" s="7">
        <f>IF($AM42="","",IF($AN$4=0,AN42+'PERIODIC ENGINE'!D37,AN42*AP42+IF(INPUTS!$C$12="Beginning",AO42*(1+$AN$4)*(AP42-1)/$AN$4,AO42*(AP42-1)/$AN$4)))</f>
        <v>5740720.8634522473</v>
      </c>
      <c r="AR42" s="7"/>
      <c r="AS42" s="7"/>
      <c r="AT42" s="7"/>
      <c r="AU42" s="7"/>
      <c r="AV42" s="7"/>
      <c r="AW42" s="7"/>
      <c r="AX42" s="7"/>
      <c r="AY42" s="7"/>
      <c r="AZ42" s="7"/>
    </row>
    <row r="43" spans="1:52" ht="18" customHeight="1" x14ac:dyDescent="0.25">
      <c r="A43" s="7">
        <f>IF(ENGINE!A43="","",ENGINE!B43)</f>
        <v>63</v>
      </c>
      <c r="B43" s="7">
        <f>IF(ENGINE!A43="","",INDEX('PERIODIC ENGINE'!$J$2:$J$102,MATCH(ENGINE!A43,'PERIODIC ENGINE'!$A$2:$A$102,0)))</f>
        <v>8980339.9257956296</v>
      </c>
      <c r="C43" s="7">
        <f>IF(B43="","",B43/(1+INPUTS!$C$11)^ENGINE!A43)</f>
        <v>823668.20184140571</v>
      </c>
      <c r="D43" s="7"/>
      <c r="E43" s="7">
        <f>IF(ENGINE!A43="","",ENGINE!A43)</f>
        <v>41</v>
      </c>
      <c r="F43" s="7">
        <f>IF(ENGINE!A43="","",ENGINE!AI43-ENGINE!D43)</f>
        <v>187654.43513328291</v>
      </c>
      <c r="G43" s="7"/>
      <c r="H43" s="7">
        <f>IF(ENGINE!A43="","",ENGINE!B43)</f>
        <v>63</v>
      </c>
      <c r="I43" s="7">
        <f>IF(ENGINE!A43="","",INDEX('PERIODIC ENGINE'!$J$2:$J$102,MATCH(ENGINE!A43,'PERIODIC ENGINE'!$A$2:$A$102,0)))</f>
        <v>8980339.9257956296</v>
      </c>
      <c r="J43" s="7">
        <f>IF(ENGINE!A43="","",500000)</f>
        <v>500000</v>
      </c>
      <c r="K43" s="7">
        <f>IF(ENGINE!A43="","",1000000)</f>
        <v>1000000</v>
      </c>
      <c r="L43" s="7">
        <f>IF(ENGINE!A43="","",2000000)</f>
        <v>2000000</v>
      </c>
      <c r="M43" s="7"/>
      <c r="N43" s="7">
        <f>IF(ENGINE!A43="","",ENGINE!B43)</f>
        <v>63</v>
      </c>
      <c r="O43" s="7">
        <f>IF(ENGINE!A43="","",ENGINE!D43)</f>
        <v>93400</v>
      </c>
      <c r="P43" s="7">
        <f>IF(ENGINE!A43="","",ENGINE!K43)</f>
        <v>816394.53870869358</v>
      </c>
      <c r="Q43" s="7"/>
      <c r="R43" s="7">
        <f>IF(ENGINE!A43="","",ENGINE!A43)</f>
        <v>41</v>
      </c>
      <c r="S43" s="7">
        <f>IF(ENGINE!A43="","",ENGINE!AC43)</f>
        <v>2927.1743564497101</v>
      </c>
      <c r="T43" s="7">
        <f>IF(ENGINE!A43="","",ENGINE!AD43)</f>
        <v>0</v>
      </c>
      <c r="U43" s="7">
        <f>IF(ENGINE!A43="","",ENGINE!AG43)</f>
        <v>24090.134074764501</v>
      </c>
      <c r="V43" s="7">
        <f>IF(ENGINE!A43="","",ENGINE!AI43)</f>
        <v>281054.43513328291</v>
      </c>
      <c r="W43" s="7"/>
      <c r="X43" s="7"/>
      <c r="Y43" s="7"/>
      <c r="Z43" s="7"/>
      <c r="AA43" s="7">
        <f>'PERIODIC ENGINE'!A38</f>
        <v>36</v>
      </c>
      <c r="AB43" s="7">
        <f>IF($AA43="","",IF($AA43=0,INPUTS!$C$8,AE42))</f>
        <v>3188195.0158327557</v>
      </c>
      <c r="AC43" s="7">
        <f>IF($AA43="","",'PERIODIC ENGINE'!D38/'PERIODIC ENGINE'!$S$3)</f>
        <v>69900</v>
      </c>
      <c r="AD43" s="7">
        <f>IF($AA43="","",(1+$AB$4)^'PERIODIC ENGINE'!$S$3)</f>
        <v>1.08</v>
      </c>
      <c r="AE43" s="7">
        <f>IF($AA43="","",IF($AB$4=0,AB43+'PERIODIC ENGINE'!D38,AB43*AD43+IF(INPUTS!$C$12="Beginning",AC43*(1+$AB$4)*(AD43-1)/$AB$4,AC43*(AD43-1)/$AB$4)))</f>
        <v>3518742.6170993764</v>
      </c>
      <c r="AF43" s="7"/>
      <c r="AG43" s="7">
        <f>'PERIODIC ENGINE'!A38</f>
        <v>36</v>
      </c>
      <c r="AH43" s="7">
        <f>IF($AG43="","",IF($AG43=0,INPUTS!$C$8,AK42))</f>
        <v>4244847.3715407811</v>
      </c>
      <c r="AI43" s="7">
        <f>IF($AG43="","",'PERIODIC ENGINE'!D38/'PERIODIC ENGINE'!$S$3)</f>
        <v>69900</v>
      </c>
      <c r="AJ43" s="7">
        <f>IF($AG43="","",(1+$AH$4)^'PERIODIC ENGINE'!$S$3)</f>
        <v>1.095</v>
      </c>
      <c r="AK43" s="7">
        <f>IF($AG43="","",IF($AH$4=0,AH43+'PERIODIC ENGINE'!D38,AH43*AJ43+IF(INPUTS!$C$12="Beginning",AI43*(1+$AH$4)*(AJ43-1)/$AH$4,AI43*(AJ43-1)/$AH$4)))</f>
        <v>4724648.371837155</v>
      </c>
      <c r="AL43" s="7"/>
      <c r="AM43" s="7">
        <f>'PERIODIC ENGINE'!A38</f>
        <v>36</v>
      </c>
      <c r="AN43" s="7">
        <f>IF($AM43="","",IF($AM43=0,INPUTS!$C$8,AQ42))</f>
        <v>5740720.8634522473</v>
      </c>
      <c r="AO43" s="7">
        <f>IF($AM43="","",'PERIODIC ENGINE'!D38/'PERIODIC ENGINE'!$S$3)</f>
        <v>69900</v>
      </c>
      <c r="AP43" s="7">
        <f>IF($AM43="","",(1+$AN$4)^'PERIODIC ENGINE'!$S$3)</f>
        <v>1.1100000000000001</v>
      </c>
      <c r="AQ43" s="7">
        <f>IF($AM43="","",IF($AN$4=0,AN43+'PERIODIC ENGINE'!D38,AN43*AP43+IF(INPUTS!$C$12="Beginning",AO43*(1+$AN$4)*(AP43-1)/$AN$4,AO43*(AP43-1)/$AN$4)))</f>
        <v>6449789.1584319947</v>
      </c>
      <c r="AR43" s="7"/>
      <c r="AS43" s="7"/>
      <c r="AT43" s="7"/>
      <c r="AU43" s="7"/>
      <c r="AV43" s="7"/>
      <c r="AW43" s="7"/>
      <c r="AX43" s="7"/>
      <c r="AY43" s="7"/>
      <c r="AZ43" s="7"/>
    </row>
    <row r="44" spans="1:52" ht="18" customHeight="1" x14ac:dyDescent="0.25">
      <c r="A44" s="7">
        <f>IF(ENGINE!A44="","",ENGINE!B44)</f>
        <v>64</v>
      </c>
      <c r="B44" s="7">
        <f>IF(ENGINE!A44="","",INDEX('PERIODIC ENGINE'!$J$2:$J$102,MATCH(ENGINE!A44,'PERIODIC ENGINE'!$A$2:$A$102,0)))</f>
        <v>9987493.9183751941</v>
      </c>
      <c r="C44" s="7">
        <f>IF(B44="","",B44/(1+INPUTS!$C$11)^ENGINE!A44)</f>
        <v>864191.89077058656</v>
      </c>
      <c r="D44" s="7"/>
      <c r="E44" s="7">
        <f>IF(ENGINE!A44="","",ENGINE!A44)</f>
        <v>42</v>
      </c>
      <c r="F44" s="7">
        <f>IF(ENGINE!A44="","",ENGINE!AI44-ENGINE!D44)</f>
        <v>190892.16818728141</v>
      </c>
      <c r="G44" s="7"/>
      <c r="H44" s="7">
        <f>IF(ENGINE!A44="","",ENGINE!B44)</f>
        <v>64</v>
      </c>
      <c r="I44" s="7">
        <f>IF(ENGINE!A44="","",INDEX('PERIODIC ENGINE'!$J$2:$J$102,MATCH(ENGINE!A44,'PERIODIC ENGINE'!$A$2:$A$102,0)))</f>
        <v>9987493.9183751941</v>
      </c>
      <c r="J44" s="7">
        <f>IF(ENGINE!A44="","",500000)</f>
        <v>500000</v>
      </c>
      <c r="K44" s="7">
        <f>IF(ENGINE!A44="","",1000000)</f>
        <v>1000000</v>
      </c>
      <c r="L44" s="7">
        <f>IF(ENGINE!A44="","",2000000)</f>
        <v>2000000</v>
      </c>
      <c r="M44" s="7"/>
      <c r="N44" s="7">
        <f>IF(ENGINE!A44="","",ENGINE!B44)</f>
        <v>64</v>
      </c>
      <c r="O44" s="7">
        <f>IF(ENGINE!A44="","",ENGINE!D44)</f>
        <v>99200</v>
      </c>
      <c r="P44" s="7">
        <f>IF(ENGINE!A44="","",ENGINE!K44)</f>
        <v>907953.99257956306</v>
      </c>
      <c r="Q44" s="7"/>
      <c r="R44" s="7">
        <f>IF(ENGINE!A44="","",ENGINE!A44)</f>
        <v>42</v>
      </c>
      <c r="S44" s="7">
        <f>IF(ENGINE!A44="","",ENGINE!AC44)</f>
        <v>2341.3895871432032</v>
      </c>
      <c r="T44" s="7">
        <f>IF(ENGINE!A44="","",ENGINE!AD44)</f>
        <v>0</v>
      </c>
      <c r="U44" s="7">
        <f>IF(ENGINE!A44="","",ENGINE!AG44)</f>
        <v>24880.338097007436</v>
      </c>
      <c r="V44" s="7">
        <f>IF(ENGINE!A44="","",ENGINE!AI44)</f>
        <v>290092.16818728141</v>
      </c>
      <c r="W44" s="7"/>
      <c r="X44" s="7"/>
      <c r="Y44" s="7"/>
      <c r="Z44" s="7"/>
      <c r="AA44" s="7">
        <f>'PERIODIC ENGINE'!A39</f>
        <v>37</v>
      </c>
      <c r="AB44" s="7">
        <f>IF($AA44="","",IF($AA44=0,INPUTS!$C$8,AE43))</f>
        <v>3518742.6170993764</v>
      </c>
      <c r="AC44" s="7">
        <f>IF($AA44="","",'PERIODIC ENGINE'!D39/'PERIODIC ENGINE'!$S$3)</f>
        <v>73900</v>
      </c>
      <c r="AD44" s="7">
        <f>IF($AA44="","",(1+$AB$4)^'PERIODIC ENGINE'!$S$3)</f>
        <v>1.08</v>
      </c>
      <c r="AE44" s="7">
        <f>IF($AA44="","",IF($AB$4=0,AB44+'PERIODIC ENGINE'!D39,AB44*AD44+IF(INPUTS!$C$12="Beginning",AC44*(1+$AB$4)*(AD44-1)/$AB$4,AC44*(AD44-1)/$AB$4)))</f>
        <v>3880054.0264673266</v>
      </c>
      <c r="AF44" s="7"/>
      <c r="AG44" s="7">
        <f>'PERIODIC ENGINE'!A39</f>
        <v>37</v>
      </c>
      <c r="AH44" s="7">
        <f>IF($AG44="","",IF($AG44=0,INPUTS!$C$8,AK43))</f>
        <v>4724648.371837155</v>
      </c>
      <c r="AI44" s="7">
        <f>IF($AG44="","",'PERIODIC ENGINE'!D39/'PERIODIC ENGINE'!$S$3)</f>
        <v>73900</v>
      </c>
      <c r="AJ44" s="7">
        <f>IF($AG44="","",(1+$AH$4)^'PERIODIC ENGINE'!$S$3)</f>
        <v>1.095</v>
      </c>
      <c r="AK44" s="7">
        <f>IF($AG44="","",IF($AH$4=0,AH44+'PERIODIC ENGINE'!D39,AH44*AJ44+IF(INPUTS!$C$12="Beginning",AI44*(1+$AH$4)*(AJ44-1)/$AH$4,AI44*(AJ44-1)/$AH$4)))</f>
        <v>5254410.4671616843</v>
      </c>
      <c r="AL44" s="7"/>
      <c r="AM44" s="7">
        <f>'PERIODIC ENGINE'!A39</f>
        <v>37</v>
      </c>
      <c r="AN44" s="7">
        <f>IF($AM44="","",IF($AM44=0,INPUTS!$C$8,AQ43))</f>
        <v>6449789.1584319947</v>
      </c>
      <c r="AO44" s="7">
        <f>IF($AM44="","",'PERIODIC ENGINE'!D39/'PERIODIC ENGINE'!$S$3)</f>
        <v>73900</v>
      </c>
      <c r="AP44" s="7">
        <f>IF($AM44="","",(1+$AN$4)^'PERIODIC ENGINE'!$S$3)</f>
        <v>1.1100000000000001</v>
      </c>
      <c r="AQ44" s="7">
        <f>IF($AM44="","",IF($AN$4=0,AN44+'PERIODIC ENGINE'!D39,AN44*AP44+IF(INPUTS!$C$12="Beginning",AO44*(1+$AN$4)*(AP44-1)/$AN$4,AO44*(AP44-1)/$AN$4)))</f>
        <v>7241294.9658595147</v>
      </c>
      <c r="AR44" s="7"/>
      <c r="AS44" s="7"/>
      <c r="AT44" s="7"/>
      <c r="AU44" s="7"/>
      <c r="AV44" s="7"/>
      <c r="AW44" s="7"/>
      <c r="AX44" s="7"/>
      <c r="AY44" s="7"/>
      <c r="AZ44" s="7"/>
    </row>
    <row r="45" spans="1:52" ht="18" customHeight="1" x14ac:dyDescent="0.25">
      <c r="A45" s="7">
        <f>IF(ENGINE!A45="","",ENGINE!B45)</f>
        <v>65</v>
      </c>
      <c r="B45" s="7">
        <f>IF(ENGINE!A45="","",INDEX('PERIODIC ENGINE'!$J$2:$J$102,MATCH(ENGINE!A45,'PERIODIC ENGINE'!$A$2:$A$102,0)))</f>
        <v>11101633.310212715</v>
      </c>
      <c r="C45" s="7">
        <f>IF(B45="","",B45/(1+INPUTS!$C$11)^ENGINE!A45)</f>
        <v>906222.14777677099</v>
      </c>
      <c r="D45" s="7"/>
      <c r="E45" s="7">
        <f>IF(ENGINE!A45="","",ENGINE!A45)</f>
        <v>43</v>
      </c>
      <c r="F45" s="7">
        <f>IF(ENGINE!A45="","",ENGINE!AI45-ENGINE!D45)</f>
        <v>194530.73323289986</v>
      </c>
      <c r="G45" s="7"/>
      <c r="H45" s="7">
        <f>IF(ENGINE!A45="","",ENGINE!B45)</f>
        <v>65</v>
      </c>
      <c r="I45" s="7">
        <f>IF(ENGINE!A45="","",INDEX('PERIODIC ENGINE'!$J$2:$J$102,MATCH(ENGINE!A45,'PERIODIC ENGINE'!$A$2:$A$102,0)))</f>
        <v>11101633.310212715</v>
      </c>
      <c r="J45" s="7">
        <f>IF(ENGINE!A45="","",500000)</f>
        <v>500000</v>
      </c>
      <c r="K45" s="7">
        <f>IF(ENGINE!A45="","",1000000)</f>
        <v>1000000</v>
      </c>
      <c r="L45" s="7">
        <f>IF(ENGINE!A45="","",2000000)</f>
        <v>2000000</v>
      </c>
      <c r="M45" s="7"/>
      <c r="N45" s="7">
        <f>IF(ENGINE!A45="","",ENGINE!B45)</f>
        <v>65</v>
      </c>
      <c r="O45" s="7">
        <f>IF(ENGINE!A45="","",ENGINE!D45)</f>
        <v>104900</v>
      </c>
      <c r="P45" s="7">
        <f>IF(ENGINE!A45="","",ENGINE!K45)</f>
        <v>1009239.3918375195</v>
      </c>
      <c r="Q45" s="7"/>
      <c r="R45" s="7">
        <f>IF(ENGINE!A45="","",ENGINE!A45)</f>
        <v>43</v>
      </c>
      <c r="S45" s="7">
        <f>IF(ENGINE!A45="","",ENGINE!AC45)</f>
        <v>1708.3312747574994</v>
      </c>
      <c r="T45" s="7">
        <f>IF(ENGINE!A45="","",ENGINE!AD45)</f>
        <v>0</v>
      </c>
      <c r="U45" s="7">
        <f>IF(ENGINE!A45="","",ENGINE!AG45)</f>
        <v>25694.248239917659</v>
      </c>
      <c r="V45" s="7">
        <f>IF(ENGINE!A45="","",ENGINE!AI45)</f>
        <v>299430.73323289986</v>
      </c>
      <c r="W45" s="7"/>
      <c r="X45" s="7"/>
      <c r="Y45" s="7"/>
      <c r="Z45" s="7"/>
      <c r="AA45" s="7">
        <f>'PERIODIC ENGINE'!A40</f>
        <v>38</v>
      </c>
      <c r="AB45" s="7">
        <f>IF($AA45="","",IF($AA45=0,INPUTS!$C$8,AE44))</f>
        <v>3880054.0264673266</v>
      </c>
      <c r="AC45" s="7">
        <f>IF($AA45="","",'PERIODIC ENGINE'!D40/'PERIODIC ENGINE'!$S$3)</f>
        <v>78500</v>
      </c>
      <c r="AD45" s="7">
        <f>IF($AA45="","",(1+$AB$4)^'PERIODIC ENGINE'!$S$3)</f>
        <v>1.08</v>
      </c>
      <c r="AE45" s="7">
        <f>IF($AA45="","",IF($AB$4=0,AB45+'PERIODIC ENGINE'!D40,AB45*AD45+IF(INPUTS!$C$12="Beginning",AC45*(1+$AB$4)*(AD45-1)/$AB$4,AC45*(AD45-1)/$AB$4)))</f>
        <v>4275238.3485847134</v>
      </c>
      <c r="AF45" s="7"/>
      <c r="AG45" s="7">
        <f>'PERIODIC ENGINE'!A40</f>
        <v>38</v>
      </c>
      <c r="AH45" s="7">
        <f>IF($AG45="","",IF($AG45=0,INPUTS!$C$8,AK44))</f>
        <v>5254410.4671616843</v>
      </c>
      <c r="AI45" s="7">
        <f>IF($AG45="","",'PERIODIC ENGINE'!D40/'PERIODIC ENGINE'!$S$3)</f>
        <v>78500</v>
      </c>
      <c r="AJ45" s="7">
        <f>IF($AG45="","",(1+$AH$4)^'PERIODIC ENGINE'!$S$3)</f>
        <v>1.095</v>
      </c>
      <c r="AK45" s="7">
        <f>IF($AG45="","",IF($AH$4=0,AH45+'PERIODIC ENGINE'!D40,AH45*AJ45+IF(INPUTS!$C$12="Beginning",AI45*(1+$AH$4)*(AJ45-1)/$AH$4,AI45*(AJ45-1)/$AH$4)))</f>
        <v>5839536.9615420438</v>
      </c>
      <c r="AL45" s="7"/>
      <c r="AM45" s="7">
        <f>'PERIODIC ENGINE'!A40</f>
        <v>38</v>
      </c>
      <c r="AN45" s="7">
        <f>IF($AM45="","",IF($AM45=0,INPUTS!$C$8,AQ44))</f>
        <v>7241294.9658595147</v>
      </c>
      <c r="AO45" s="7">
        <f>IF($AM45="","",'PERIODIC ENGINE'!D40/'PERIODIC ENGINE'!$S$3)</f>
        <v>78500</v>
      </c>
      <c r="AP45" s="7">
        <f>IF($AM45="","",(1+$AN$4)^'PERIODIC ENGINE'!$S$3)</f>
        <v>1.1100000000000001</v>
      </c>
      <c r="AQ45" s="7">
        <f>IF($AM45="","",IF($AN$4=0,AN45+'PERIODIC ENGINE'!D40,AN45*AP45+IF(INPUTS!$C$12="Beginning",AO45*(1+$AN$4)*(AP45-1)/$AN$4,AO45*(AP45-1)/$AN$4)))</f>
        <v>8124972.4121040618</v>
      </c>
      <c r="AR45" s="7"/>
      <c r="AS45" s="7"/>
      <c r="AT45" s="7"/>
      <c r="AU45" s="7"/>
      <c r="AV45" s="7"/>
      <c r="AW45" s="7"/>
      <c r="AX45" s="7"/>
      <c r="AY45" s="7"/>
      <c r="AZ45" s="7"/>
    </row>
    <row r="46" spans="1:52" ht="18" customHeight="1" x14ac:dyDescent="0.25">
      <c r="A46" s="7" t="str">
        <f>IF(ENGINE!A46="","",ENGINE!B46)</f>
        <v/>
      </c>
      <c r="B46" s="7" t="str">
        <f>IF(ENGINE!A46="","",INDEX('PERIODIC ENGINE'!$J$2:$J$102,MATCH(ENGINE!A46,'PERIODIC ENGINE'!$A$2:$A$102,0)))</f>
        <v/>
      </c>
      <c r="C46" s="7" t="str">
        <f>IF(B46="","",B46/(1+INPUTS!$C$11)^ENGINE!A46)</f>
        <v/>
      </c>
      <c r="D46" s="7"/>
      <c r="E46" s="7" t="str">
        <f>IF(ENGINE!A46="","",ENGINE!A46)</f>
        <v/>
      </c>
      <c r="F46" s="7" t="str">
        <f>IF(ENGINE!A46="","",ENGINE!AI46-ENGINE!D46)</f>
        <v/>
      </c>
      <c r="G46" s="7"/>
      <c r="H46" s="7" t="str">
        <f>IF(ENGINE!A46="","",ENGINE!B46)</f>
        <v/>
      </c>
      <c r="I46" s="7" t="str">
        <f>IF(ENGINE!A46="","",INDEX('PERIODIC ENGINE'!$J$2:$J$102,MATCH(ENGINE!A46,'PERIODIC ENGINE'!$A$2:$A$102,0)))</f>
        <v/>
      </c>
      <c r="J46" s="7" t="str">
        <f>IF(ENGINE!A46="","",500000)</f>
        <v/>
      </c>
      <c r="K46" s="7" t="str">
        <f>IF(ENGINE!A46="","",1000000)</f>
        <v/>
      </c>
      <c r="L46" s="7" t="str">
        <f>IF(ENGINE!A46="","",2000000)</f>
        <v/>
      </c>
      <c r="M46" s="7"/>
      <c r="N46" s="7" t="str">
        <f>IF(ENGINE!A46="","",ENGINE!B46)</f>
        <v/>
      </c>
      <c r="O46" s="7" t="str">
        <f>IF(ENGINE!A46="","",ENGINE!D46)</f>
        <v/>
      </c>
      <c r="P46" s="7" t="str">
        <f>IF(ENGINE!A46="","",ENGINE!K46)</f>
        <v/>
      </c>
      <c r="Q46" s="7"/>
      <c r="R46" s="7" t="str">
        <f>IF(ENGINE!A46="","",ENGINE!A46)</f>
        <v/>
      </c>
      <c r="S46" s="7" t="str">
        <f>IF(ENGINE!A46="","",ENGINE!AC46)</f>
        <v/>
      </c>
      <c r="T46" s="7" t="str">
        <f>IF(ENGINE!A46="","",ENGINE!AD46)</f>
        <v/>
      </c>
      <c r="U46" s="7" t="str">
        <f>IF(ENGINE!A46="","",ENGINE!AG46)</f>
        <v/>
      </c>
      <c r="V46" s="7" t="str">
        <f>IF(ENGINE!A46="","",ENGINE!AI46)</f>
        <v/>
      </c>
      <c r="W46" s="7"/>
      <c r="X46" s="7"/>
      <c r="Y46" s="7"/>
      <c r="Z46" s="7"/>
      <c r="AA46" s="7">
        <f>'PERIODIC ENGINE'!A41</f>
        <v>39</v>
      </c>
      <c r="AB46" s="7">
        <f>IF($AA46="","",IF($AA46=0,INPUTS!$C$8,AE45))</f>
        <v>4275238.3485847134</v>
      </c>
      <c r="AC46" s="7">
        <f>IF($AA46="","",'PERIODIC ENGINE'!D41/'PERIODIC ENGINE'!$S$3)</f>
        <v>83100</v>
      </c>
      <c r="AD46" s="7">
        <f>IF($AA46="","",(1+$AB$4)^'PERIODIC ENGINE'!$S$3)</f>
        <v>1.08</v>
      </c>
      <c r="AE46" s="7">
        <f>IF($AA46="","",IF($AB$4=0,AB46+'PERIODIC ENGINE'!D41,AB46*AD46+IF(INPUTS!$C$12="Beginning",AC46*(1+$AB$4)*(AD46-1)/$AB$4,AC46*(AD46-1)/$AB$4)))</f>
        <v>4707005.4164714906</v>
      </c>
      <c r="AF46" s="7"/>
      <c r="AG46" s="7">
        <f>'PERIODIC ENGINE'!A41</f>
        <v>39</v>
      </c>
      <c r="AH46" s="7">
        <f>IF($AG46="","",IF($AG46=0,INPUTS!$C$8,AK45))</f>
        <v>5839536.9615420438</v>
      </c>
      <c r="AI46" s="7">
        <f>IF($AG46="","",'PERIODIC ENGINE'!D41/'PERIODIC ENGINE'!$S$3)</f>
        <v>83100</v>
      </c>
      <c r="AJ46" s="7">
        <f>IF($AG46="","",(1+$AH$4)^'PERIODIC ENGINE'!$S$3)</f>
        <v>1.095</v>
      </c>
      <c r="AK46" s="7">
        <f>IF($AG46="","",IF($AH$4=0,AH46+'PERIODIC ENGINE'!D41,AH46*AJ46+IF(INPUTS!$C$12="Beginning",AI46*(1+$AH$4)*(AJ46-1)/$AH$4,AI46*(AJ46-1)/$AH$4)))</f>
        <v>6485287.4728885377</v>
      </c>
      <c r="AL46" s="7"/>
      <c r="AM46" s="7">
        <f>'PERIODIC ENGINE'!A41</f>
        <v>39</v>
      </c>
      <c r="AN46" s="7">
        <f>IF($AM46="","",IF($AM46=0,INPUTS!$C$8,AQ45))</f>
        <v>8124972.4121040618</v>
      </c>
      <c r="AO46" s="7">
        <f>IF($AM46="","",'PERIODIC ENGINE'!D41/'PERIODIC ENGINE'!$S$3)</f>
        <v>83100</v>
      </c>
      <c r="AP46" s="7">
        <f>IF($AM46="","",(1+$AN$4)^'PERIODIC ENGINE'!$S$3)</f>
        <v>1.1100000000000001</v>
      </c>
      <c r="AQ46" s="7">
        <f>IF($AM46="","",IF($AN$4=0,AN46+'PERIODIC ENGINE'!D41,AN46*AP46+IF(INPUTS!$C$12="Beginning",AO46*(1+$AN$4)*(AP46-1)/$AN$4,AO46*(AP46-1)/$AN$4)))</f>
        <v>9110960.3774355091</v>
      </c>
      <c r="AR46" s="7"/>
      <c r="AS46" s="7"/>
      <c r="AT46" s="7"/>
      <c r="AU46" s="7"/>
      <c r="AV46" s="7"/>
      <c r="AW46" s="7"/>
      <c r="AX46" s="7"/>
      <c r="AY46" s="7"/>
      <c r="AZ46" s="7"/>
    </row>
    <row r="47" spans="1:52" ht="18" customHeight="1" x14ac:dyDescent="0.25">
      <c r="A47" s="7" t="str">
        <f>IF(ENGINE!A47="","",ENGINE!B47)</f>
        <v/>
      </c>
      <c r="B47" s="7" t="str">
        <f>IF(ENGINE!A47="","",INDEX('PERIODIC ENGINE'!$J$2:$J$102,MATCH(ENGINE!A47,'PERIODIC ENGINE'!$A$2:$A$102,0)))</f>
        <v/>
      </c>
      <c r="C47" s="7" t="str">
        <f>IF(B47="","",B47/(1+INPUTS!$C$11)^ENGINE!A47)</f>
        <v/>
      </c>
      <c r="D47" s="7"/>
      <c r="E47" s="7" t="str">
        <f>IF(ENGINE!A47="","",ENGINE!A47)</f>
        <v/>
      </c>
      <c r="F47" s="7" t="str">
        <f>IF(ENGINE!A47="","",ENGINE!AI47-ENGINE!D47)</f>
        <v/>
      </c>
      <c r="G47" s="7"/>
      <c r="H47" s="7" t="str">
        <f>IF(ENGINE!A47="","",ENGINE!B47)</f>
        <v/>
      </c>
      <c r="I47" s="7" t="str">
        <f>IF(ENGINE!A47="","",INDEX('PERIODIC ENGINE'!$J$2:$J$102,MATCH(ENGINE!A47,'PERIODIC ENGINE'!$A$2:$A$102,0)))</f>
        <v/>
      </c>
      <c r="J47" s="7" t="str">
        <f>IF(ENGINE!A47="","",500000)</f>
        <v/>
      </c>
      <c r="K47" s="7" t="str">
        <f>IF(ENGINE!A47="","",1000000)</f>
        <v/>
      </c>
      <c r="L47" s="7" t="str">
        <f>IF(ENGINE!A47="","",2000000)</f>
        <v/>
      </c>
      <c r="M47" s="7"/>
      <c r="N47" s="7" t="str">
        <f>IF(ENGINE!A47="","",ENGINE!B47)</f>
        <v/>
      </c>
      <c r="O47" s="7" t="str">
        <f>IF(ENGINE!A47="","",ENGINE!D47)</f>
        <v/>
      </c>
      <c r="P47" s="7" t="str">
        <f>IF(ENGINE!A47="","",ENGINE!K47)</f>
        <v/>
      </c>
      <c r="Q47" s="7"/>
      <c r="R47" s="7" t="str">
        <f>IF(ENGINE!A47="","",ENGINE!A47)</f>
        <v/>
      </c>
      <c r="S47" s="7" t="str">
        <f>IF(ENGINE!A47="","",ENGINE!AC47)</f>
        <v/>
      </c>
      <c r="T47" s="7" t="str">
        <f>IF(ENGINE!A47="","",ENGINE!AD47)</f>
        <v/>
      </c>
      <c r="U47" s="7" t="str">
        <f>IF(ENGINE!A47="","",ENGINE!AG47)</f>
        <v/>
      </c>
      <c r="V47" s="7" t="str">
        <f>IF(ENGINE!A47="","",ENGINE!AI47)</f>
        <v/>
      </c>
      <c r="W47" s="7"/>
      <c r="X47" s="7"/>
      <c r="Y47" s="7"/>
      <c r="Z47" s="7"/>
      <c r="AA47" s="7">
        <f>'PERIODIC ENGINE'!A42</f>
        <v>40</v>
      </c>
      <c r="AB47" s="7">
        <f>IF($AA47="","",IF($AA47=0,INPUTS!$C$8,AE46))</f>
        <v>4707005.4164714906</v>
      </c>
      <c r="AC47" s="7">
        <f>IF($AA47="","",'PERIODIC ENGINE'!D42/'PERIODIC ENGINE'!$S$3)</f>
        <v>88300</v>
      </c>
      <c r="AD47" s="7">
        <f>IF($AA47="","",(1+$AB$4)^'PERIODIC ENGINE'!$S$3)</f>
        <v>1.08</v>
      </c>
      <c r="AE47" s="7">
        <f>IF($AA47="","",IF($AB$4=0,AB47+'PERIODIC ENGINE'!D42,AB47*AD47+IF(INPUTS!$C$12="Beginning",AC47*(1+$AB$4)*(AD47-1)/$AB$4,AC47*(AD47-1)/$AB$4)))</f>
        <v>5178929.8497892106</v>
      </c>
      <c r="AF47" s="7"/>
      <c r="AG47" s="7">
        <f>'PERIODIC ENGINE'!A42</f>
        <v>40</v>
      </c>
      <c r="AH47" s="7">
        <f>IF($AG47="","",IF($AG47=0,INPUTS!$C$8,AK46))</f>
        <v>6485287.4728885377</v>
      </c>
      <c r="AI47" s="7">
        <f>IF($AG47="","",'PERIODIC ENGINE'!D42/'PERIODIC ENGINE'!$S$3)</f>
        <v>88300</v>
      </c>
      <c r="AJ47" s="7">
        <f>IF($AG47="","",(1+$AH$4)^'PERIODIC ENGINE'!$S$3)</f>
        <v>1.095</v>
      </c>
      <c r="AK47" s="7">
        <f>IF($AG47="","",IF($AH$4=0,AH47+'PERIODIC ENGINE'!D42,AH47*AJ47+IF(INPUTS!$C$12="Beginning",AI47*(1+$AH$4)*(AJ47-1)/$AH$4,AI47*(AJ47-1)/$AH$4)))</f>
        <v>7198078.2828129483</v>
      </c>
      <c r="AL47" s="7"/>
      <c r="AM47" s="7">
        <f>'PERIODIC ENGINE'!A42</f>
        <v>40</v>
      </c>
      <c r="AN47" s="7">
        <f>IF($AM47="","",IF($AM47=0,INPUTS!$C$8,AQ46))</f>
        <v>9110960.3774355091</v>
      </c>
      <c r="AO47" s="7">
        <f>IF($AM47="","",'PERIODIC ENGINE'!D42/'PERIODIC ENGINE'!$S$3)</f>
        <v>88300</v>
      </c>
      <c r="AP47" s="7">
        <f>IF($AM47="","",(1+$AN$4)^'PERIODIC ENGINE'!$S$3)</f>
        <v>1.1100000000000001</v>
      </c>
      <c r="AQ47" s="7">
        <f>IF($AM47="","",IF($AN$4=0,AN47+'PERIODIC ENGINE'!D42,AN47*AP47+IF(INPUTS!$C$12="Beginning",AO47*(1+$AN$4)*(AP47-1)/$AN$4,AO47*(AP47-1)/$AN$4)))</f>
        <v>10211179.018953416</v>
      </c>
      <c r="AR47" s="7"/>
      <c r="AS47" s="7"/>
      <c r="AT47" s="7"/>
      <c r="AU47" s="7"/>
      <c r="AV47" s="7"/>
      <c r="AW47" s="7"/>
      <c r="AX47" s="7"/>
      <c r="AY47" s="7"/>
      <c r="AZ47" s="7"/>
    </row>
    <row r="48" spans="1:52" ht="18" customHeight="1" x14ac:dyDescent="0.25">
      <c r="A48" s="7" t="str">
        <f>IF(ENGINE!A48="","",ENGINE!B48)</f>
        <v/>
      </c>
      <c r="B48" s="7" t="str">
        <f>IF(ENGINE!A48="","",INDEX('PERIODIC ENGINE'!$J$2:$J$102,MATCH(ENGINE!A48,'PERIODIC ENGINE'!$A$2:$A$102,0)))</f>
        <v/>
      </c>
      <c r="C48" s="7" t="str">
        <f>IF(B48="","",B48/(1+INPUTS!$C$11)^ENGINE!A48)</f>
        <v/>
      </c>
      <c r="D48" s="7"/>
      <c r="E48" s="7" t="str">
        <f>IF(ENGINE!A48="","",ENGINE!A48)</f>
        <v/>
      </c>
      <c r="F48" s="7" t="str">
        <f>IF(ENGINE!A48="","",ENGINE!AI48-ENGINE!D48)</f>
        <v/>
      </c>
      <c r="G48" s="7"/>
      <c r="H48" s="7" t="str">
        <f>IF(ENGINE!A48="","",ENGINE!B48)</f>
        <v/>
      </c>
      <c r="I48" s="7" t="str">
        <f>IF(ENGINE!A48="","",INDEX('PERIODIC ENGINE'!$J$2:$J$102,MATCH(ENGINE!A48,'PERIODIC ENGINE'!$A$2:$A$102,0)))</f>
        <v/>
      </c>
      <c r="J48" s="7" t="str">
        <f>IF(ENGINE!A48="","",500000)</f>
        <v/>
      </c>
      <c r="K48" s="7" t="str">
        <f>IF(ENGINE!A48="","",1000000)</f>
        <v/>
      </c>
      <c r="L48" s="7" t="str">
        <f>IF(ENGINE!A48="","",2000000)</f>
        <v/>
      </c>
      <c r="M48" s="7"/>
      <c r="N48" s="7" t="str">
        <f>IF(ENGINE!A48="","",ENGINE!B48)</f>
        <v/>
      </c>
      <c r="O48" s="7" t="str">
        <f>IF(ENGINE!A48="","",ENGINE!D48)</f>
        <v/>
      </c>
      <c r="P48" s="7" t="str">
        <f>IF(ENGINE!A48="","",ENGINE!K48)</f>
        <v/>
      </c>
      <c r="Q48" s="7"/>
      <c r="R48" s="7" t="str">
        <f>IF(ENGINE!A48="","",ENGINE!A48)</f>
        <v/>
      </c>
      <c r="S48" s="7" t="str">
        <f>IF(ENGINE!A48="","",ENGINE!AC48)</f>
        <v/>
      </c>
      <c r="T48" s="7" t="str">
        <f>IF(ENGINE!A48="","",ENGINE!AD48)</f>
        <v/>
      </c>
      <c r="U48" s="7" t="str">
        <f>IF(ENGINE!A48="","",ENGINE!AG48)</f>
        <v/>
      </c>
      <c r="V48" s="7" t="str">
        <f>IF(ENGINE!A48="","",ENGINE!AI48)</f>
        <v/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 ht="18" customHeight="1" x14ac:dyDescent="0.25">
      <c r="A49" s="7" t="str">
        <f>IF(ENGINE!A49="","",ENGINE!B49)</f>
        <v/>
      </c>
      <c r="B49" s="7" t="str">
        <f>IF(ENGINE!A49="","",INDEX('PERIODIC ENGINE'!$J$2:$J$102,MATCH(ENGINE!A49,'PERIODIC ENGINE'!$A$2:$A$102,0)))</f>
        <v/>
      </c>
      <c r="C49" s="7" t="str">
        <f>IF(B49="","",B49/(1+INPUTS!$C$11)^ENGINE!A49)</f>
        <v/>
      </c>
      <c r="D49" s="7"/>
      <c r="E49" s="7" t="str">
        <f>IF(ENGINE!A49="","",ENGINE!A49)</f>
        <v/>
      </c>
      <c r="F49" s="7" t="str">
        <f>IF(ENGINE!A49="","",ENGINE!AI49-ENGINE!D49)</f>
        <v/>
      </c>
      <c r="G49" s="7"/>
      <c r="H49" s="7" t="str">
        <f>IF(ENGINE!A49="","",ENGINE!B49)</f>
        <v/>
      </c>
      <c r="I49" s="7" t="str">
        <f>IF(ENGINE!A49="","",INDEX('PERIODIC ENGINE'!$J$2:$J$102,MATCH(ENGINE!A49,'PERIODIC ENGINE'!$A$2:$A$102,0)))</f>
        <v/>
      </c>
      <c r="J49" s="7" t="str">
        <f>IF(ENGINE!A49="","",500000)</f>
        <v/>
      </c>
      <c r="K49" s="7" t="str">
        <f>IF(ENGINE!A49="","",1000000)</f>
        <v/>
      </c>
      <c r="L49" s="7" t="str">
        <f>IF(ENGINE!A49="","",2000000)</f>
        <v/>
      </c>
      <c r="M49" s="7"/>
      <c r="N49" s="7" t="str">
        <f>IF(ENGINE!A49="","",ENGINE!B49)</f>
        <v/>
      </c>
      <c r="O49" s="7" t="str">
        <f>IF(ENGINE!A49="","",ENGINE!D49)</f>
        <v/>
      </c>
      <c r="P49" s="7" t="str">
        <f>IF(ENGINE!A49="","",ENGINE!K49)</f>
        <v/>
      </c>
      <c r="Q49" s="7"/>
      <c r="R49" s="7" t="str">
        <f>IF(ENGINE!A49="","",ENGINE!A49)</f>
        <v/>
      </c>
      <c r="S49" s="7" t="str">
        <f>IF(ENGINE!A49="","",ENGINE!AC49)</f>
        <v/>
      </c>
      <c r="T49" s="7" t="str">
        <f>IF(ENGINE!A49="","",ENGINE!AD49)</f>
        <v/>
      </c>
      <c r="U49" s="7" t="str">
        <f>IF(ENGINE!A49="","",ENGINE!AG49)</f>
        <v/>
      </c>
      <c r="V49" s="7" t="str">
        <f>IF(ENGINE!A49="","",ENGINE!AI49)</f>
        <v/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 ht="18" customHeight="1" x14ac:dyDescent="0.25">
      <c r="A50" s="7" t="str">
        <f>IF(ENGINE!A50="","",ENGINE!B50)</f>
        <v/>
      </c>
      <c r="B50" s="7" t="str">
        <f>IF(ENGINE!A50="","",INDEX('PERIODIC ENGINE'!$J$2:$J$102,MATCH(ENGINE!A50,'PERIODIC ENGINE'!$A$2:$A$102,0)))</f>
        <v/>
      </c>
      <c r="C50" s="7" t="str">
        <f>IF(B50="","",B50/(1+INPUTS!$C$11)^ENGINE!A50)</f>
        <v/>
      </c>
      <c r="D50" s="7"/>
      <c r="E50" s="7" t="str">
        <f>IF(ENGINE!A50="","",ENGINE!A50)</f>
        <v/>
      </c>
      <c r="F50" s="7" t="str">
        <f>IF(ENGINE!A50="","",ENGINE!AI50-ENGINE!D50)</f>
        <v/>
      </c>
      <c r="G50" s="7"/>
      <c r="H50" s="7" t="str">
        <f>IF(ENGINE!A50="","",ENGINE!B50)</f>
        <v/>
      </c>
      <c r="I50" s="7" t="str">
        <f>IF(ENGINE!A50="","",INDEX('PERIODIC ENGINE'!$J$2:$J$102,MATCH(ENGINE!A50,'PERIODIC ENGINE'!$A$2:$A$102,0)))</f>
        <v/>
      </c>
      <c r="J50" s="7" t="str">
        <f>IF(ENGINE!A50="","",500000)</f>
        <v/>
      </c>
      <c r="K50" s="7" t="str">
        <f>IF(ENGINE!A50="","",1000000)</f>
        <v/>
      </c>
      <c r="L50" s="7" t="str">
        <f>IF(ENGINE!A50="","",2000000)</f>
        <v/>
      </c>
      <c r="M50" s="7"/>
      <c r="N50" s="7" t="str">
        <f>IF(ENGINE!A50="","",ENGINE!B50)</f>
        <v/>
      </c>
      <c r="O50" s="7" t="str">
        <f>IF(ENGINE!A50="","",ENGINE!D50)</f>
        <v/>
      </c>
      <c r="P50" s="7" t="str">
        <f>IF(ENGINE!A50="","",ENGINE!K50)</f>
        <v/>
      </c>
      <c r="Q50" s="7"/>
      <c r="R50" s="7" t="str">
        <f>IF(ENGINE!A50="","",ENGINE!A50)</f>
        <v/>
      </c>
      <c r="S50" s="7" t="str">
        <f>IF(ENGINE!A50="","",ENGINE!AC50)</f>
        <v/>
      </c>
      <c r="T50" s="7" t="str">
        <f>IF(ENGINE!A50="","",ENGINE!AD50)</f>
        <v/>
      </c>
      <c r="U50" s="7" t="str">
        <f>IF(ENGINE!A50="","",ENGINE!AG50)</f>
        <v/>
      </c>
      <c r="V50" s="7" t="str">
        <f>IF(ENGINE!A50="","",ENGINE!AI50)</f>
        <v/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1:52" ht="18" customHeight="1" x14ac:dyDescent="0.25">
      <c r="A51" s="7" t="str">
        <f>IF(ENGINE!A51="","",ENGINE!B51)</f>
        <v/>
      </c>
      <c r="B51" s="7" t="str">
        <f>IF(ENGINE!A51="","",INDEX('PERIODIC ENGINE'!$J$2:$J$102,MATCH(ENGINE!A51,'PERIODIC ENGINE'!$A$2:$A$102,0)))</f>
        <v/>
      </c>
      <c r="C51" s="7" t="str">
        <f>IF(B51="","",B51/(1+INPUTS!$C$11)^ENGINE!A51)</f>
        <v/>
      </c>
      <c r="D51" s="7"/>
      <c r="E51" s="7" t="str">
        <f>IF(ENGINE!A51="","",ENGINE!A51)</f>
        <v/>
      </c>
      <c r="F51" s="7" t="str">
        <f>IF(ENGINE!A51="","",ENGINE!AI51-ENGINE!D51)</f>
        <v/>
      </c>
      <c r="G51" s="7"/>
      <c r="H51" s="7" t="str">
        <f>IF(ENGINE!A51="","",ENGINE!B51)</f>
        <v/>
      </c>
      <c r="I51" s="7" t="str">
        <f>IF(ENGINE!A51="","",INDEX('PERIODIC ENGINE'!$J$2:$J$102,MATCH(ENGINE!A51,'PERIODIC ENGINE'!$A$2:$A$102,0)))</f>
        <v/>
      </c>
      <c r="J51" s="7" t="str">
        <f>IF(ENGINE!A51="","",500000)</f>
        <v/>
      </c>
      <c r="K51" s="7" t="str">
        <f>IF(ENGINE!A51="","",1000000)</f>
        <v/>
      </c>
      <c r="L51" s="7" t="str">
        <f>IF(ENGINE!A51="","",2000000)</f>
        <v/>
      </c>
      <c r="M51" s="7"/>
      <c r="N51" s="7" t="str">
        <f>IF(ENGINE!A51="","",ENGINE!B51)</f>
        <v/>
      </c>
      <c r="O51" s="7" t="str">
        <f>IF(ENGINE!A51="","",ENGINE!D51)</f>
        <v/>
      </c>
      <c r="P51" s="7" t="str">
        <f>IF(ENGINE!A51="","",ENGINE!K51)</f>
        <v/>
      </c>
      <c r="Q51" s="7"/>
      <c r="R51" s="7" t="str">
        <f>IF(ENGINE!A51="","",ENGINE!A51)</f>
        <v/>
      </c>
      <c r="S51" s="7" t="str">
        <f>IF(ENGINE!A51="","",ENGINE!AC51)</f>
        <v/>
      </c>
      <c r="T51" s="7" t="str">
        <f>IF(ENGINE!A51="","",ENGINE!AD51)</f>
        <v/>
      </c>
      <c r="U51" s="7" t="str">
        <f>IF(ENGINE!A51="","",ENGINE!AG51)</f>
        <v/>
      </c>
      <c r="V51" s="7" t="str">
        <f>IF(ENGINE!A51="","",ENGINE!AI51)</f>
        <v/>
      </c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1:52" ht="18" customHeight="1" x14ac:dyDescent="0.25">
      <c r="A52" s="7" t="str">
        <f>IF(ENGINE!A52="","",ENGINE!B52)</f>
        <v/>
      </c>
      <c r="B52" s="7" t="str">
        <f>IF(ENGINE!A52="","",INDEX('PERIODIC ENGINE'!$J$2:$J$102,MATCH(ENGINE!A52,'PERIODIC ENGINE'!$A$2:$A$102,0)))</f>
        <v/>
      </c>
      <c r="C52" s="7" t="str">
        <f>IF(B52="","",B52/(1+INPUTS!$C$11)^ENGINE!A52)</f>
        <v/>
      </c>
      <c r="D52" s="7"/>
      <c r="E52" s="7" t="str">
        <f>IF(ENGINE!A52="","",ENGINE!A52)</f>
        <v/>
      </c>
      <c r="F52" s="7" t="str">
        <f>IF(ENGINE!A52="","",ENGINE!AI52-ENGINE!D52)</f>
        <v/>
      </c>
      <c r="G52" s="7"/>
      <c r="H52" s="7" t="str">
        <f>IF(ENGINE!A52="","",ENGINE!B52)</f>
        <v/>
      </c>
      <c r="I52" s="7" t="str">
        <f>IF(ENGINE!A52="","",INDEX('PERIODIC ENGINE'!$J$2:$J$102,MATCH(ENGINE!A52,'PERIODIC ENGINE'!$A$2:$A$102,0)))</f>
        <v/>
      </c>
      <c r="J52" s="7" t="str">
        <f>IF(ENGINE!A52="","",500000)</f>
        <v/>
      </c>
      <c r="K52" s="7" t="str">
        <f>IF(ENGINE!A52="","",1000000)</f>
        <v/>
      </c>
      <c r="L52" s="7" t="str">
        <f>IF(ENGINE!A52="","",2000000)</f>
        <v/>
      </c>
      <c r="M52" s="7"/>
      <c r="N52" s="7" t="str">
        <f>IF(ENGINE!A52="","",ENGINE!B52)</f>
        <v/>
      </c>
      <c r="O52" s="7" t="str">
        <f>IF(ENGINE!A52="","",ENGINE!D52)</f>
        <v/>
      </c>
      <c r="P52" s="7" t="str">
        <f>IF(ENGINE!A52="","",ENGINE!K52)</f>
        <v/>
      </c>
      <c r="Q52" s="7"/>
      <c r="R52" s="7" t="str">
        <f>IF(ENGINE!A52="","",ENGINE!A52)</f>
        <v/>
      </c>
      <c r="S52" s="7" t="str">
        <f>IF(ENGINE!A52="","",ENGINE!AC52)</f>
        <v/>
      </c>
      <c r="T52" s="7" t="str">
        <f>IF(ENGINE!A52="","",ENGINE!AD52)</f>
        <v/>
      </c>
      <c r="U52" s="7" t="str">
        <f>IF(ENGINE!A52="","",ENGINE!AG52)</f>
        <v/>
      </c>
      <c r="V52" s="7" t="str">
        <f>IF(ENGINE!A52="","",ENGINE!AI52)</f>
        <v/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ht="18" customHeight="1" x14ac:dyDescent="0.25">
      <c r="A53" s="7" t="str">
        <f>IF(ENGINE!A53="","",ENGINE!B53)</f>
        <v/>
      </c>
      <c r="B53" s="7" t="str">
        <f>IF(ENGINE!A53="","",INDEX('PERIODIC ENGINE'!$J$2:$J$102,MATCH(ENGINE!A53,'PERIODIC ENGINE'!$A$2:$A$102,0)))</f>
        <v/>
      </c>
      <c r="C53" s="7" t="str">
        <f>IF(B53="","",B53/(1+INPUTS!$C$11)^ENGINE!A53)</f>
        <v/>
      </c>
      <c r="D53" s="7"/>
      <c r="E53" s="7" t="str">
        <f>IF(ENGINE!A53="","",ENGINE!A53)</f>
        <v/>
      </c>
      <c r="F53" s="7" t="str">
        <f>IF(ENGINE!A53="","",ENGINE!AI53-ENGINE!D53)</f>
        <v/>
      </c>
      <c r="G53" s="7"/>
      <c r="H53" s="7" t="str">
        <f>IF(ENGINE!A53="","",ENGINE!B53)</f>
        <v/>
      </c>
      <c r="I53" s="7" t="str">
        <f>IF(ENGINE!A53="","",INDEX('PERIODIC ENGINE'!$J$2:$J$102,MATCH(ENGINE!A53,'PERIODIC ENGINE'!$A$2:$A$102,0)))</f>
        <v/>
      </c>
      <c r="J53" s="7" t="str">
        <f>IF(ENGINE!A53="","",500000)</f>
        <v/>
      </c>
      <c r="K53" s="7" t="str">
        <f>IF(ENGINE!A53="","",1000000)</f>
        <v/>
      </c>
      <c r="L53" s="7" t="str">
        <f>IF(ENGINE!A53="","",2000000)</f>
        <v/>
      </c>
      <c r="M53" s="7"/>
      <c r="N53" s="7" t="str">
        <f>IF(ENGINE!A53="","",ENGINE!B53)</f>
        <v/>
      </c>
      <c r="O53" s="7" t="str">
        <f>IF(ENGINE!A53="","",ENGINE!D53)</f>
        <v/>
      </c>
      <c r="P53" s="7" t="str">
        <f>IF(ENGINE!A53="","",ENGINE!K53)</f>
        <v/>
      </c>
      <c r="Q53" s="7"/>
      <c r="R53" s="7" t="str">
        <f>IF(ENGINE!A53="","",ENGINE!A53)</f>
        <v/>
      </c>
      <c r="S53" s="7" t="str">
        <f>IF(ENGINE!A53="","",ENGINE!AC53)</f>
        <v/>
      </c>
      <c r="T53" s="7" t="str">
        <f>IF(ENGINE!A53="","",ENGINE!AD53)</f>
        <v/>
      </c>
      <c r="U53" s="7" t="str">
        <f>IF(ENGINE!A53="","",ENGINE!AG53)</f>
        <v/>
      </c>
      <c r="V53" s="7" t="str">
        <f>IF(ENGINE!A53="","",ENGINE!AI53)</f>
        <v/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1:52" ht="18" customHeight="1" x14ac:dyDescent="0.25">
      <c r="A54" s="7" t="str">
        <f>IF(ENGINE!A54="","",ENGINE!B54)</f>
        <v/>
      </c>
      <c r="B54" s="7" t="str">
        <f>IF(ENGINE!A54="","",INDEX('PERIODIC ENGINE'!$J$2:$J$102,MATCH(ENGINE!A54,'PERIODIC ENGINE'!$A$2:$A$102,0)))</f>
        <v/>
      </c>
      <c r="C54" s="7" t="str">
        <f>IF(B54="","",B54/(1+INPUTS!$C$11)^ENGINE!A54)</f>
        <v/>
      </c>
      <c r="D54" s="7"/>
      <c r="E54" s="7" t="str">
        <f>IF(ENGINE!A54="","",ENGINE!A54)</f>
        <v/>
      </c>
      <c r="F54" s="7" t="str">
        <f>IF(ENGINE!A54="","",ENGINE!AI54-ENGINE!D54)</f>
        <v/>
      </c>
      <c r="G54" s="7"/>
      <c r="H54" s="7" t="str">
        <f>IF(ENGINE!A54="","",ENGINE!B54)</f>
        <v/>
      </c>
      <c r="I54" s="7" t="str">
        <f>IF(ENGINE!A54="","",INDEX('PERIODIC ENGINE'!$J$2:$J$102,MATCH(ENGINE!A54,'PERIODIC ENGINE'!$A$2:$A$102,0)))</f>
        <v/>
      </c>
      <c r="J54" s="7" t="str">
        <f>IF(ENGINE!A54="","",500000)</f>
        <v/>
      </c>
      <c r="K54" s="7" t="str">
        <f>IF(ENGINE!A54="","",1000000)</f>
        <v/>
      </c>
      <c r="L54" s="7" t="str">
        <f>IF(ENGINE!A54="","",2000000)</f>
        <v/>
      </c>
      <c r="M54" s="7"/>
      <c r="N54" s="7" t="str">
        <f>IF(ENGINE!A54="","",ENGINE!B54)</f>
        <v/>
      </c>
      <c r="O54" s="7" t="str">
        <f>IF(ENGINE!A54="","",ENGINE!D54)</f>
        <v/>
      </c>
      <c r="P54" s="7" t="str">
        <f>IF(ENGINE!A54="","",ENGINE!K54)</f>
        <v/>
      </c>
      <c r="Q54" s="7"/>
      <c r="R54" s="7" t="str">
        <f>IF(ENGINE!A54="","",ENGINE!A54)</f>
        <v/>
      </c>
      <c r="S54" s="7" t="str">
        <f>IF(ENGINE!A54="","",ENGINE!AC54)</f>
        <v/>
      </c>
      <c r="T54" s="7" t="str">
        <f>IF(ENGINE!A54="","",ENGINE!AD54)</f>
        <v/>
      </c>
      <c r="U54" s="7" t="str">
        <f>IF(ENGINE!A54="","",ENGINE!AG54)</f>
        <v/>
      </c>
      <c r="V54" s="7" t="str">
        <f>IF(ENGINE!A54="","",ENGINE!AI54)</f>
        <v/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1:52" ht="18" customHeight="1" x14ac:dyDescent="0.25">
      <c r="A55" s="7" t="str">
        <f>IF(ENGINE!A55="","",ENGINE!B55)</f>
        <v/>
      </c>
      <c r="B55" s="7" t="str">
        <f>IF(ENGINE!A55="","",INDEX('PERIODIC ENGINE'!$J$2:$J$102,MATCH(ENGINE!A55,'PERIODIC ENGINE'!$A$2:$A$102,0)))</f>
        <v/>
      </c>
      <c r="C55" s="7" t="str">
        <f>IF(B55="","",B55/(1+INPUTS!$C$11)^ENGINE!A55)</f>
        <v/>
      </c>
      <c r="D55" s="7"/>
      <c r="E55" s="7" t="str">
        <f>IF(ENGINE!A55="","",ENGINE!A55)</f>
        <v/>
      </c>
      <c r="F55" s="7" t="str">
        <f>IF(ENGINE!A55="","",ENGINE!AI55-ENGINE!D55)</f>
        <v/>
      </c>
      <c r="G55" s="7"/>
      <c r="H55" s="7" t="str">
        <f>IF(ENGINE!A55="","",ENGINE!B55)</f>
        <v/>
      </c>
      <c r="I55" s="7" t="str">
        <f>IF(ENGINE!A55="","",INDEX('PERIODIC ENGINE'!$J$2:$J$102,MATCH(ENGINE!A55,'PERIODIC ENGINE'!$A$2:$A$102,0)))</f>
        <v/>
      </c>
      <c r="J55" s="7" t="str">
        <f>IF(ENGINE!A55="","",500000)</f>
        <v/>
      </c>
      <c r="K55" s="7" t="str">
        <f>IF(ENGINE!A55="","",1000000)</f>
        <v/>
      </c>
      <c r="L55" s="7" t="str">
        <f>IF(ENGINE!A55="","",2000000)</f>
        <v/>
      </c>
      <c r="M55" s="7"/>
      <c r="N55" s="7" t="str">
        <f>IF(ENGINE!A55="","",ENGINE!B55)</f>
        <v/>
      </c>
      <c r="O55" s="7" t="str">
        <f>IF(ENGINE!A55="","",ENGINE!D55)</f>
        <v/>
      </c>
      <c r="P55" s="7" t="str">
        <f>IF(ENGINE!A55="","",ENGINE!K55)</f>
        <v/>
      </c>
      <c r="Q55" s="7"/>
      <c r="R55" s="7" t="str">
        <f>IF(ENGINE!A55="","",ENGINE!A55)</f>
        <v/>
      </c>
      <c r="S55" s="7" t="str">
        <f>IF(ENGINE!A55="","",ENGINE!AC55)</f>
        <v/>
      </c>
      <c r="T55" s="7" t="str">
        <f>IF(ENGINE!A55="","",ENGINE!AD55)</f>
        <v/>
      </c>
      <c r="U55" s="7" t="str">
        <f>IF(ENGINE!A55="","",ENGINE!AG55)</f>
        <v/>
      </c>
      <c r="V55" s="7" t="str">
        <f>IF(ENGINE!A55="","",ENGINE!AI55)</f>
        <v/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1:52" ht="18" customHeight="1" x14ac:dyDescent="0.25">
      <c r="A56" s="7" t="str">
        <f>IF(ENGINE!A56="","",ENGINE!B56)</f>
        <v/>
      </c>
      <c r="B56" s="7" t="str">
        <f>IF(ENGINE!A56="","",INDEX('PERIODIC ENGINE'!$J$2:$J$102,MATCH(ENGINE!A56,'PERIODIC ENGINE'!$A$2:$A$102,0)))</f>
        <v/>
      </c>
      <c r="C56" s="7" t="str">
        <f>IF(B56="","",B56/(1+INPUTS!$C$11)^ENGINE!A56)</f>
        <v/>
      </c>
      <c r="D56" s="7"/>
      <c r="E56" s="7" t="str">
        <f>IF(ENGINE!A56="","",ENGINE!A56)</f>
        <v/>
      </c>
      <c r="F56" s="7" t="str">
        <f>IF(ENGINE!A56="","",ENGINE!AI56-ENGINE!D56)</f>
        <v/>
      </c>
      <c r="G56" s="7"/>
      <c r="H56" s="7" t="str">
        <f>IF(ENGINE!A56="","",ENGINE!B56)</f>
        <v/>
      </c>
      <c r="I56" s="7" t="str">
        <f>IF(ENGINE!A56="","",INDEX('PERIODIC ENGINE'!$J$2:$J$102,MATCH(ENGINE!A56,'PERIODIC ENGINE'!$A$2:$A$102,0)))</f>
        <v/>
      </c>
      <c r="J56" s="7" t="str">
        <f>IF(ENGINE!A56="","",500000)</f>
        <v/>
      </c>
      <c r="K56" s="7" t="str">
        <f>IF(ENGINE!A56="","",1000000)</f>
        <v/>
      </c>
      <c r="L56" s="7" t="str">
        <f>IF(ENGINE!A56="","",2000000)</f>
        <v/>
      </c>
      <c r="M56" s="7"/>
      <c r="N56" s="7" t="str">
        <f>IF(ENGINE!A56="","",ENGINE!B56)</f>
        <v/>
      </c>
      <c r="O56" s="7" t="str">
        <f>IF(ENGINE!A56="","",ENGINE!D56)</f>
        <v/>
      </c>
      <c r="P56" s="7" t="str">
        <f>IF(ENGINE!A56="","",ENGINE!K56)</f>
        <v/>
      </c>
      <c r="Q56" s="7"/>
      <c r="R56" s="7" t="str">
        <f>IF(ENGINE!A56="","",ENGINE!A56)</f>
        <v/>
      </c>
      <c r="S56" s="7" t="str">
        <f>IF(ENGINE!A56="","",ENGINE!AC56)</f>
        <v/>
      </c>
      <c r="T56" s="7" t="str">
        <f>IF(ENGINE!A56="","",ENGINE!AD56)</f>
        <v/>
      </c>
      <c r="U56" s="7" t="str">
        <f>IF(ENGINE!A56="","",ENGINE!AG56)</f>
        <v/>
      </c>
      <c r="V56" s="7" t="str">
        <f>IF(ENGINE!A56="","",ENGINE!AI56)</f>
        <v/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 ht="18" customHeight="1" x14ac:dyDescent="0.25">
      <c r="A57" s="7" t="str">
        <f>IF(ENGINE!A57="","",ENGINE!B57)</f>
        <v/>
      </c>
      <c r="B57" s="7" t="str">
        <f>IF(ENGINE!A57="","",INDEX('PERIODIC ENGINE'!$J$2:$J$102,MATCH(ENGINE!A57,'PERIODIC ENGINE'!$A$2:$A$102,0)))</f>
        <v/>
      </c>
      <c r="C57" s="7" t="str">
        <f>IF(B57="","",B57/(1+INPUTS!$C$11)^ENGINE!A57)</f>
        <v/>
      </c>
      <c r="D57" s="7"/>
      <c r="E57" s="7" t="str">
        <f>IF(ENGINE!A57="","",ENGINE!A57)</f>
        <v/>
      </c>
      <c r="F57" s="7" t="str">
        <f>IF(ENGINE!A57="","",ENGINE!AI57-ENGINE!D57)</f>
        <v/>
      </c>
      <c r="G57" s="7"/>
      <c r="H57" s="7" t="str">
        <f>IF(ENGINE!A57="","",ENGINE!B57)</f>
        <v/>
      </c>
      <c r="I57" s="7" t="str">
        <f>IF(ENGINE!A57="","",INDEX('PERIODIC ENGINE'!$J$2:$J$102,MATCH(ENGINE!A57,'PERIODIC ENGINE'!$A$2:$A$102,0)))</f>
        <v/>
      </c>
      <c r="J57" s="7" t="str">
        <f>IF(ENGINE!A57="","",500000)</f>
        <v/>
      </c>
      <c r="K57" s="7" t="str">
        <f>IF(ENGINE!A57="","",1000000)</f>
        <v/>
      </c>
      <c r="L57" s="7" t="str">
        <f>IF(ENGINE!A57="","",2000000)</f>
        <v/>
      </c>
      <c r="M57" s="7"/>
      <c r="N57" s="7" t="str">
        <f>IF(ENGINE!A57="","",ENGINE!B57)</f>
        <v/>
      </c>
      <c r="O57" s="7" t="str">
        <f>IF(ENGINE!A57="","",ENGINE!D57)</f>
        <v/>
      </c>
      <c r="P57" s="7" t="str">
        <f>IF(ENGINE!A57="","",ENGINE!K57)</f>
        <v/>
      </c>
      <c r="Q57" s="7"/>
      <c r="R57" s="7" t="str">
        <f>IF(ENGINE!A57="","",ENGINE!A57)</f>
        <v/>
      </c>
      <c r="S57" s="7" t="str">
        <f>IF(ENGINE!A57="","",ENGINE!AC57)</f>
        <v/>
      </c>
      <c r="T57" s="7" t="str">
        <f>IF(ENGINE!A57="","",ENGINE!AD57)</f>
        <v/>
      </c>
      <c r="U57" s="7" t="str">
        <f>IF(ENGINE!A57="","",ENGINE!AG57)</f>
        <v/>
      </c>
      <c r="V57" s="7" t="str">
        <f>IF(ENGINE!A57="","",ENGINE!AI57)</f>
        <v/>
      </c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 ht="18" customHeight="1" x14ac:dyDescent="0.25">
      <c r="A58" s="7" t="str">
        <f>IF(ENGINE!A58="","",ENGINE!B58)</f>
        <v/>
      </c>
      <c r="B58" s="7" t="str">
        <f>IF(ENGINE!A58="","",INDEX('PERIODIC ENGINE'!$J$2:$J$102,MATCH(ENGINE!A58,'PERIODIC ENGINE'!$A$2:$A$102,0)))</f>
        <v/>
      </c>
      <c r="C58" s="7" t="str">
        <f>IF(B58="","",B58/(1+INPUTS!$C$11)^ENGINE!A58)</f>
        <v/>
      </c>
      <c r="D58" s="7"/>
      <c r="E58" s="7" t="str">
        <f>IF(ENGINE!A58="","",ENGINE!A58)</f>
        <v/>
      </c>
      <c r="F58" s="7" t="str">
        <f>IF(ENGINE!A58="","",ENGINE!AI58-ENGINE!D58)</f>
        <v/>
      </c>
      <c r="G58" s="7"/>
      <c r="H58" s="7" t="str">
        <f>IF(ENGINE!A58="","",ENGINE!B58)</f>
        <v/>
      </c>
      <c r="I58" s="7" t="str">
        <f>IF(ENGINE!A58="","",INDEX('PERIODIC ENGINE'!$J$2:$J$102,MATCH(ENGINE!A58,'PERIODIC ENGINE'!$A$2:$A$102,0)))</f>
        <v/>
      </c>
      <c r="J58" s="7" t="str">
        <f>IF(ENGINE!A58="","",500000)</f>
        <v/>
      </c>
      <c r="K58" s="7" t="str">
        <f>IF(ENGINE!A58="","",1000000)</f>
        <v/>
      </c>
      <c r="L58" s="7" t="str">
        <f>IF(ENGINE!A58="","",2000000)</f>
        <v/>
      </c>
      <c r="M58" s="7"/>
      <c r="N58" s="7" t="str">
        <f>IF(ENGINE!A58="","",ENGINE!B58)</f>
        <v/>
      </c>
      <c r="O58" s="7" t="str">
        <f>IF(ENGINE!A58="","",ENGINE!D58)</f>
        <v/>
      </c>
      <c r="P58" s="7" t="str">
        <f>IF(ENGINE!A58="","",ENGINE!K58)</f>
        <v/>
      </c>
      <c r="Q58" s="7"/>
      <c r="R58" s="7" t="str">
        <f>IF(ENGINE!A58="","",ENGINE!A58)</f>
        <v/>
      </c>
      <c r="S58" s="7" t="str">
        <f>IF(ENGINE!A58="","",ENGINE!AC58)</f>
        <v/>
      </c>
      <c r="T58" s="7" t="str">
        <f>IF(ENGINE!A58="","",ENGINE!AD58)</f>
        <v/>
      </c>
      <c r="U58" s="7" t="str">
        <f>IF(ENGINE!A58="","",ENGINE!AG58)</f>
        <v/>
      </c>
      <c r="V58" s="7" t="str">
        <f>IF(ENGINE!A58="","",ENGINE!AI58)</f>
        <v/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 ht="18" customHeight="1" x14ac:dyDescent="0.25">
      <c r="A59" s="7" t="str">
        <f>IF(ENGINE!A59="","",ENGINE!B59)</f>
        <v/>
      </c>
      <c r="B59" s="7" t="str">
        <f>IF(ENGINE!A59="","",INDEX('PERIODIC ENGINE'!$J$2:$J$102,MATCH(ENGINE!A59,'PERIODIC ENGINE'!$A$2:$A$102,0)))</f>
        <v/>
      </c>
      <c r="C59" s="7" t="str">
        <f>IF(B59="","",B59/(1+INPUTS!$C$11)^ENGINE!A59)</f>
        <v/>
      </c>
      <c r="D59" s="7"/>
      <c r="E59" s="7" t="str">
        <f>IF(ENGINE!A59="","",ENGINE!A59)</f>
        <v/>
      </c>
      <c r="F59" s="7" t="str">
        <f>IF(ENGINE!A59="","",ENGINE!AI59-ENGINE!D59)</f>
        <v/>
      </c>
      <c r="G59" s="7"/>
      <c r="H59" s="7" t="str">
        <f>IF(ENGINE!A59="","",ENGINE!B59)</f>
        <v/>
      </c>
      <c r="I59" s="7" t="str">
        <f>IF(ENGINE!A59="","",INDEX('PERIODIC ENGINE'!$J$2:$J$102,MATCH(ENGINE!A59,'PERIODIC ENGINE'!$A$2:$A$102,0)))</f>
        <v/>
      </c>
      <c r="J59" s="7" t="str">
        <f>IF(ENGINE!A59="","",500000)</f>
        <v/>
      </c>
      <c r="K59" s="7" t="str">
        <f>IF(ENGINE!A59="","",1000000)</f>
        <v/>
      </c>
      <c r="L59" s="7" t="str">
        <f>IF(ENGINE!A59="","",2000000)</f>
        <v/>
      </c>
      <c r="M59" s="7"/>
      <c r="N59" s="7" t="str">
        <f>IF(ENGINE!A59="","",ENGINE!B59)</f>
        <v/>
      </c>
      <c r="O59" s="7" t="str">
        <f>IF(ENGINE!A59="","",ENGINE!D59)</f>
        <v/>
      </c>
      <c r="P59" s="7" t="str">
        <f>IF(ENGINE!A59="","",ENGINE!K59)</f>
        <v/>
      </c>
      <c r="Q59" s="7"/>
      <c r="R59" s="7" t="str">
        <f>IF(ENGINE!A59="","",ENGINE!A59)</f>
        <v/>
      </c>
      <c r="S59" s="7" t="str">
        <f>IF(ENGINE!A59="","",ENGINE!AC59)</f>
        <v/>
      </c>
      <c r="T59" s="7" t="str">
        <f>IF(ENGINE!A59="","",ENGINE!AD59)</f>
        <v/>
      </c>
      <c r="U59" s="7" t="str">
        <f>IF(ENGINE!A59="","",ENGINE!AG59)</f>
        <v/>
      </c>
      <c r="V59" s="7" t="str">
        <f>IF(ENGINE!A59="","",ENGINE!AI59)</f>
        <v/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 ht="18" customHeight="1" x14ac:dyDescent="0.25">
      <c r="A60" s="7" t="str">
        <f>IF(ENGINE!A60="","",ENGINE!B60)</f>
        <v/>
      </c>
      <c r="B60" s="7" t="str">
        <f>IF(ENGINE!A60="","",INDEX('PERIODIC ENGINE'!$J$2:$J$102,MATCH(ENGINE!A60,'PERIODIC ENGINE'!$A$2:$A$102,0)))</f>
        <v/>
      </c>
      <c r="C60" s="7" t="str">
        <f>IF(B60="","",B60/(1+INPUTS!$C$11)^ENGINE!A60)</f>
        <v/>
      </c>
      <c r="D60" s="7"/>
      <c r="E60" s="7" t="str">
        <f>IF(ENGINE!A60="","",ENGINE!A60)</f>
        <v/>
      </c>
      <c r="F60" s="7" t="str">
        <f>IF(ENGINE!A60="","",ENGINE!AI60-ENGINE!D60)</f>
        <v/>
      </c>
      <c r="G60" s="7"/>
      <c r="H60" s="7" t="str">
        <f>IF(ENGINE!A60="","",ENGINE!B60)</f>
        <v/>
      </c>
      <c r="I60" s="7" t="str">
        <f>IF(ENGINE!A60="","",INDEX('PERIODIC ENGINE'!$J$2:$J$102,MATCH(ENGINE!A60,'PERIODIC ENGINE'!$A$2:$A$102,0)))</f>
        <v/>
      </c>
      <c r="J60" s="7" t="str">
        <f>IF(ENGINE!A60="","",500000)</f>
        <v/>
      </c>
      <c r="K60" s="7" t="str">
        <f>IF(ENGINE!A60="","",1000000)</f>
        <v/>
      </c>
      <c r="L60" s="7" t="str">
        <f>IF(ENGINE!A60="","",2000000)</f>
        <v/>
      </c>
      <c r="M60" s="7"/>
      <c r="N60" s="7" t="str">
        <f>IF(ENGINE!A60="","",ENGINE!B60)</f>
        <v/>
      </c>
      <c r="O60" s="7" t="str">
        <f>IF(ENGINE!A60="","",ENGINE!D60)</f>
        <v/>
      </c>
      <c r="P60" s="7" t="str">
        <f>IF(ENGINE!A60="","",ENGINE!K60)</f>
        <v/>
      </c>
      <c r="Q60" s="7"/>
      <c r="R60" s="7" t="str">
        <f>IF(ENGINE!A60="","",ENGINE!A60)</f>
        <v/>
      </c>
      <c r="S60" s="7" t="str">
        <f>IF(ENGINE!A60="","",ENGINE!AC60)</f>
        <v/>
      </c>
      <c r="T60" s="7" t="str">
        <f>IF(ENGINE!A60="","",ENGINE!AD60)</f>
        <v/>
      </c>
      <c r="U60" s="7" t="str">
        <f>IF(ENGINE!A60="","",ENGINE!AG60)</f>
        <v/>
      </c>
      <c r="V60" s="7" t="str">
        <f>IF(ENGINE!A60="","",ENGINE!AI60)</f>
        <v/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 ht="18" customHeight="1" x14ac:dyDescent="0.25">
      <c r="A61" s="7" t="str">
        <f>IF(ENGINE!A61="","",ENGINE!B61)</f>
        <v/>
      </c>
      <c r="B61" s="7" t="str">
        <f>IF(ENGINE!A61="","",INDEX('PERIODIC ENGINE'!$J$2:$J$102,MATCH(ENGINE!A61,'PERIODIC ENGINE'!$A$2:$A$102,0)))</f>
        <v/>
      </c>
      <c r="C61" s="7" t="str">
        <f>IF(B61="","",B61/(1+INPUTS!$C$11)^ENGINE!A61)</f>
        <v/>
      </c>
      <c r="D61" s="7"/>
      <c r="E61" s="7" t="str">
        <f>IF(ENGINE!A61="","",ENGINE!A61)</f>
        <v/>
      </c>
      <c r="F61" s="7" t="str">
        <f>IF(ENGINE!A61="","",ENGINE!AI61-ENGINE!D61)</f>
        <v/>
      </c>
      <c r="G61" s="7"/>
      <c r="H61" s="7" t="str">
        <f>IF(ENGINE!A61="","",ENGINE!B61)</f>
        <v/>
      </c>
      <c r="I61" s="7" t="str">
        <f>IF(ENGINE!A61="","",INDEX('PERIODIC ENGINE'!$J$2:$J$102,MATCH(ENGINE!A61,'PERIODIC ENGINE'!$A$2:$A$102,0)))</f>
        <v/>
      </c>
      <c r="J61" s="7" t="str">
        <f>IF(ENGINE!A61="","",500000)</f>
        <v/>
      </c>
      <c r="K61" s="7" t="str">
        <f>IF(ENGINE!A61="","",1000000)</f>
        <v/>
      </c>
      <c r="L61" s="7" t="str">
        <f>IF(ENGINE!A61="","",2000000)</f>
        <v/>
      </c>
      <c r="M61" s="7"/>
      <c r="N61" s="7" t="str">
        <f>IF(ENGINE!A61="","",ENGINE!B61)</f>
        <v/>
      </c>
      <c r="O61" s="7" t="str">
        <f>IF(ENGINE!A61="","",ENGINE!D61)</f>
        <v/>
      </c>
      <c r="P61" s="7" t="str">
        <f>IF(ENGINE!A61="","",ENGINE!K61)</f>
        <v/>
      </c>
      <c r="Q61" s="7"/>
      <c r="R61" s="7" t="str">
        <f>IF(ENGINE!A61="","",ENGINE!A61)</f>
        <v/>
      </c>
      <c r="S61" s="7" t="str">
        <f>IF(ENGINE!A61="","",ENGINE!AC61)</f>
        <v/>
      </c>
      <c r="T61" s="7" t="str">
        <f>IF(ENGINE!A61="","",ENGINE!AD61)</f>
        <v/>
      </c>
      <c r="U61" s="7" t="str">
        <f>IF(ENGINE!A61="","",ENGINE!AG61)</f>
        <v/>
      </c>
      <c r="V61" s="7" t="str">
        <f>IF(ENGINE!A61="","",ENGINE!AI61)</f>
        <v/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ht="18" customHeight="1" x14ac:dyDescent="0.25">
      <c r="A62" s="7" t="str">
        <f>IF(ENGINE!A62="","",ENGINE!B62)</f>
        <v/>
      </c>
      <c r="B62" s="7" t="str">
        <f>IF(ENGINE!A62="","",INDEX('PERIODIC ENGINE'!$J$2:$J$102,MATCH(ENGINE!A62,'PERIODIC ENGINE'!$A$2:$A$102,0)))</f>
        <v/>
      </c>
      <c r="C62" s="7" t="str">
        <f>IF(B62="","",B62/(1+INPUTS!$C$11)^ENGINE!A62)</f>
        <v/>
      </c>
      <c r="D62" s="7"/>
      <c r="E62" s="7" t="str">
        <f>IF(ENGINE!A62="","",ENGINE!A62)</f>
        <v/>
      </c>
      <c r="F62" s="7" t="str">
        <f>IF(ENGINE!A62="","",ENGINE!AI62-ENGINE!D62)</f>
        <v/>
      </c>
      <c r="G62" s="7"/>
      <c r="H62" s="7" t="str">
        <f>IF(ENGINE!A62="","",ENGINE!B62)</f>
        <v/>
      </c>
      <c r="I62" s="7" t="str">
        <f>IF(ENGINE!A62="","",INDEX('PERIODIC ENGINE'!$J$2:$J$102,MATCH(ENGINE!A62,'PERIODIC ENGINE'!$A$2:$A$102,0)))</f>
        <v/>
      </c>
      <c r="J62" s="7" t="str">
        <f>IF(ENGINE!A62="","",500000)</f>
        <v/>
      </c>
      <c r="K62" s="7" t="str">
        <f>IF(ENGINE!A62="","",1000000)</f>
        <v/>
      </c>
      <c r="L62" s="7" t="str">
        <f>IF(ENGINE!A62="","",2000000)</f>
        <v/>
      </c>
      <c r="M62" s="7"/>
      <c r="N62" s="7" t="str">
        <f>IF(ENGINE!A62="","",ENGINE!B62)</f>
        <v/>
      </c>
      <c r="O62" s="7" t="str">
        <f>IF(ENGINE!A62="","",ENGINE!D62)</f>
        <v/>
      </c>
      <c r="P62" s="7" t="str">
        <f>IF(ENGINE!A62="","",ENGINE!K62)</f>
        <v/>
      </c>
      <c r="Q62" s="7"/>
      <c r="R62" s="7" t="str">
        <f>IF(ENGINE!A62="","",ENGINE!A62)</f>
        <v/>
      </c>
      <c r="S62" s="7" t="str">
        <f>IF(ENGINE!A62="","",ENGINE!AC62)</f>
        <v/>
      </c>
      <c r="T62" s="7" t="str">
        <f>IF(ENGINE!A62="","",ENGINE!AD62)</f>
        <v/>
      </c>
      <c r="U62" s="7" t="str">
        <f>IF(ENGINE!A62="","",ENGINE!AG62)</f>
        <v/>
      </c>
      <c r="V62" s="7" t="str">
        <f>IF(ENGINE!A62="","",ENGINE!AI62)</f>
        <v/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ht="18" customHeight="1" x14ac:dyDescent="0.25">
      <c r="A63" s="7" t="str">
        <f>IF(ENGINE!A63="","",ENGINE!B63)</f>
        <v/>
      </c>
      <c r="B63" s="7" t="str">
        <f>IF(ENGINE!A63="","",INDEX('PERIODIC ENGINE'!$J$2:$J$102,MATCH(ENGINE!A63,'PERIODIC ENGINE'!$A$2:$A$102,0)))</f>
        <v/>
      </c>
      <c r="C63" s="7" t="str">
        <f>IF(B63="","",B63/(1+INPUTS!$C$11)^ENGINE!A63)</f>
        <v/>
      </c>
      <c r="D63" s="7"/>
      <c r="E63" s="7" t="str">
        <f>IF(ENGINE!A63="","",ENGINE!A63)</f>
        <v/>
      </c>
      <c r="F63" s="7" t="str">
        <f>IF(ENGINE!A63="","",ENGINE!AI63-ENGINE!D63)</f>
        <v/>
      </c>
      <c r="G63" s="7"/>
      <c r="H63" s="7" t="str">
        <f>IF(ENGINE!A63="","",ENGINE!B63)</f>
        <v/>
      </c>
      <c r="I63" s="7" t="str">
        <f>IF(ENGINE!A63="","",INDEX('PERIODIC ENGINE'!$J$2:$J$102,MATCH(ENGINE!A63,'PERIODIC ENGINE'!$A$2:$A$102,0)))</f>
        <v/>
      </c>
      <c r="J63" s="7" t="str">
        <f>IF(ENGINE!A63="","",500000)</f>
        <v/>
      </c>
      <c r="K63" s="7" t="str">
        <f>IF(ENGINE!A63="","",1000000)</f>
        <v/>
      </c>
      <c r="L63" s="7" t="str">
        <f>IF(ENGINE!A63="","",2000000)</f>
        <v/>
      </c>
      <c r="M63" s="7"/>
      <c r="N63" s="7" t="str">
        <f>IF(ENGINE!A63="","",ENGINE!B63)</f>
        <v/>
      </c>
      <c r="O63" s="7" t="str">
        <f>IF(ENGINE!A63="","",ENGINE!D63)</f>
        <v/>
      </c>
      <c r="P63" s="7" t="str">
        <f>IF(ENGINE!A63="","",ENGINE!K63)</f>
        <v/>
      </c>
      <c r="Q63" s="7"/>
      <c r="R63" s="7" t="str">
        <f>IF(ENGINE!A63="","",ENGINE!A63)</f>
        <v/>
      </c>
      <c r="S63" s="7" t="str">
        <f>IF(ENGINE!A63="","",ENGINE!AC63)</f>
        <v/>
      </c>
      <c r="T63" s="7" t="str">
        <f>IF(ENGINE!A63="","",ENGINE!AD63)</f>
        <v/>
      </c>
      <c r="U63" s="7" t="str">
        <f>IF(ENGINE!A63="","",ENGINE!AG63)</f>
        <v/>
      </c>
      <c r="V63" s="7" t="str">
        <f>IF(ENGINE!A63="","",ENGINE!AI63)</f>
        <v/>
      </c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1:52" ht="18" customHeight="1" x14ac:dyDescent="0.25">
      <c r="A64" s="7" t="str">
        <f>IF(ENGINE!A64="","",ENGINE!B64)</f>
        <v/>
      </c>
      <c r="B64" s="7" t="str">
        <f>IF(ENGINE!A64="","",INDEX('PERIODIC ENGINE'!$J$2:$J$102,MATCH(ENGINE!A64,'PERIODIC ENGINE'!$A$2:$A$102,0)))</f>
        <v/>
      </c>
      <c r="C64" s="7" t="str">
        <f>IF(B64="","",B64/(1+INPUTS!$C$11)^ENGINE!A64)</f>
        <v/>
      </c>
      <c r="D64" s="7"/>
      <c r="E64" s="7" t="str">
        <f>IF(ENGINE!A64="","",ENGINE!A64)</f>
        <v/>
      </c>
      <c r="F64" s="7" t="str">
        <f>IF(ENGINE!A64="","",ENGINE!AI64-ENGINE!D64)</f>
        <v/>
      </c>
      <c r="G64" s="7"/>
      <c r="H64" s="7" t="str">
        <f>IF(ENGINE!A64="","",ENGINE!B64)</f>
        <v/>
      </c>
      <c r="I64" s="7" t="str">
        <f>IF(ENGINE!A64="","",INDEX('PERIODIC ENGINE'!$J$2:$J$102,MATCH(ENGINE!A64,'PERIODIC ENGINE'!$A$2:$A$102,0)))</f>
        <v/>
      </c>
      <c r="J64" s="7" t="str">
        <f>IF(ENGINE!A64="","",500000)</f>
        <v/>
      </c>
      <c r="K64" s="7" t="str">
        <f>IF(ENGINE!A64="","",1000000)</f>
        <v/>
      </c>
      <c r="L64" s="7" t="str">
        <f>IF(ENGINE!A64="","",2000000)</f>
        <v/>
      </c>
      <c r="M64" s="7"/>
      <c r="N64" s="7" t="str">
        <f>IF(ENGINE!A64="","",ENGINE!B64)</f>
        <v/>
      </c>
      <c r="O64" s="7" t="str">
        <f>IF(ENGINE!A64="","",ENGINE!D64)</f>
        <v/>
      </c>
      <c r="P64" s="7" t="str">
        <f>IF(ENGINE!A64="","",ENGINE!K64)</f>
        <v/>
      </c>
      <c r="Q64" s="7"/>
      <c r="R64" s="7" t="str">
        <f>IF(ENGINE!A64="","",ENGINE!A64)</f>
        <v/>
      </c>
      <c r="S64" s="7" t="str">
        <f>IF(ENGINE!A64="","",ENGINE!AC64)</f>
        <v/>
      </c>
      <c r="T64" s="7" t="str">
        <f>IF(ENGINE!A64="","",ENGINE!AD64)</f>
        <v/>
      </c>
      <c r="U64" s="7" t="str">
        <f>IF(ENGINE!A64="","",ENGINE!AG64)</f>
        <v/>
      </c>
      <c r="V64" s="7" t="str">
        <f>IF(ENGINE!A64="","",ENGINE!AI64)</f>
        <v/>
      </c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1:52" ht="18" customHeight="1" x14ac:dyDescent="0.25">
      <c r="A65" s="7" t="str">
        <f>IF(ENGINE!A65="","",ENGINE!B65)</f>
        <v/>
      </c>
      <c r="B65" s="7" t="str">
        <f>IF(ENGINE!A65="","",INDEX('PERIODIC ENGINE'!$J$2:$J$102,MATCH(ENGINE!A65,'PERIODIC ENGINE'!$A$2:$A$102,0)))</f>
        <v/>
      </c>
      <c r="C65" s="7" t="str">
        <f>IF(B65="","",B65/(1+INPUTS!$C$11)^ENGINE!A65)</f>
        <v/>
      </c>
      <c r="D65" s="7"/>
      <c r="E65" s="7" t="str">
        <f>IF(ENGINE!A65="","",ENGINE!A65)</f>
        <v/>
      </c>
      <c r="F65" s="7" t="str">
        <f>IF(ENGINE!A65="","",ENGINE!AI65-ENGINE!D65)</f>
        <v/>
      </c>
      <c r="G65" s="7"/>
      <c r="H65" s="7" t="str">
        <f>IF(ENGINE!A65="","",ENGINE!B65)</f>
        <v/>
      </c>
      <c r="I65" s="7" t="str">
        <f>IF(ENGINE!A65="","",INDEX('PERIODIC ENGINE'!$J$2:$J$102,MATCH(ENGINE!A65,'PERIODIC ENGINE'!$A$2:$A$102,0)))</f>
        <v/>
      </c>
      <c r="J65" s="7" t="str">
        <f>IF(ENGINE!A65="","",500000)</f>
        <v/>
      </c>
      <c r="K65" s="7" t="str">
        <f>IF(ENGINE!A65="","",1000000)</f>
        <v/>
      </c>
      <c r="L65" s="7" t="str">
        <f>IF(ENGINE!A65="","",2000000)</f>
        <v/>
      </c>
      <c r="M65" s="7"/>
      <c r="N65" s="7" t="str">
        <f>IF(ENGINE!A65="","",ENGINE!B65)</f>
        <v/>
      </c>
      <c r="O65" s="7" t="str">
        <f>IF(ENGINE!A65="","",ENGINE!D65)</f>
        <v/>
      </c>
      <c r="P65" s="7" t="str">
        <f>IF(ENGINE!A65="","",ENGINE!K65)</f>
        <v/>
      </c>
      <c r="Q65" s="7"/>
      <c r="R65" s="7" t="str">
        <f>IF(ENGINE!A65="","",ENGINE!A65)</f>
        <v/>
      </c>
      <c r="S65" s="7" t="str">
        <f>IF(ENGINE!A65="","",ENGINE!AC65)</f>
        <v/>
      </c>
      <c r="T65" s="7" t="str">
        <f>IF(ENGINE!A65="","",ENGINE!AD65)</f>
        <v/>
      </c>
      <c r="U65" s="7" t="str">
        <f>IF(ENGINE!A65="","",ENGINE!AG65)</f>
        <v/>
      </c>
      <c r="V65" s="7" t="str">
        <f>IF(ENGINE!A65="","",ENGINE!AI65)</f>
        <v/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ht="18" customHeight="1" x14ac:dyDescent="0.25">
      <c r="A66" s="7" t="str">
        <f>IF(ENGINE!A66="","",ENGINE!B66)</f>
        <v/>
      </c>
      <c r="B66" s="7" t="str">
        <f>IF(ENGINE!A66="","",INDEX('PERIODIC ENGINE'!$J$2:$J$102,MATCH(ENGINE!A66,'PERIODIC ENGINE'!$A$2:$A$102,0)))</f>
        <v/>
      </c>
      <c r="C66" s="7" t="str">
        <f>IF(B66="","",B66/(1+INPUTS!$C$11)^ENGINE!A66)</f>
        <v/>
      </c>
      <c r="D66" s="7"/>
      <c r="E66" s="7" t="str">
        <f>IF(ENGINE!A66="","",ENGINE!A66)</f>
        <v/>
      </c>
      <c r="F66" s="7" t="str">
        <f>IF(ENGINE!A66="","",ENGINE!AI66-ENGINE!D66)</f>
        <v/>
      </c>
      <c r="G66" s="7"/>
      <c r="H66" s="7" t="str">
        <f>IF(ENGINE!A66="","",ENGINE!B66)</f>
        <v/>
      </c>
      <c r="I66" s="7" t="str">
        <f>IF(ENGINE!A66="","",INDEX('PERIODIC ENGINE'!$J$2:$J$102,MATCH(ENGINE!A66,'PERIODIC ENGINE'!$A$2:$A$102,0)))</f>
        <v/>
      </c>
      <c r="J66" s="7" t="str">
        <f>IF(ENGINE!A66="","",500000)</f>
        <v/>
      </c>
      <c r="K66" s="7" t="str">
        <f>IF(ENGINE!A66="","",1000000)</f>
        <v/>
      </c>
      <c r="L66" s="7" t="str">
        <f>IF(ENGINE!A66="","",2000000)</f>
        <v/>
      </c>
      <c r="M66" s="7"/>
      <c r="N66" s="7" t="str">
        <f>IF(ENGINE!A66="","",ENGINE!B66)</f>
        <v/>
      </c>
      <c r="O66" s="7" t="str">
        <f>IF(ENGINE!A66="","",ENGINE!D66)</f>
        <v/>
      </c>
      <c r="P66" s="7" t="str">
        <f>IF(ENGINE!A66="","",ENGINE!K66)</f>
        <v/>
      </c>
      <c r="Q66" s="7"/>
      <c r="R66" s="7" t="str">
        <f>IF(ENGINE!A66="","",ENGINE!A66)</f>
        <v/>
      </c>
      <c r="S66" s="7" t="str">
        <f>IF(ENGINE!A66="","",ENGINE!AC66)</f>
        <v/>
      </c>
      <c r="T66" s="7" t="str">
        <f>IF(ENGINE!A66="","",ENGINE!AD66)</f>
        <v/>
      </c>
      <c r="U66" s="7" t="str">
        <f>IF(ENGINE!A66="","",ENGINE!AG66)</f>
        <v/>
      </c>
      <c r="V66" s="7" t="str">
        <f>IF(ENGINE!A66="","",ENGINE!AI66)</f>
        <v/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ht="18" customHeight="1" x14ac:dyDescent="0.25">
      <c r="A67" s="7" t="str">
        <f>IF(ENGINE!A67="","",ENGINE!B67)</f>
        <v/>
      </c>
      <c r="B67" s="7" t="str">
        <f>IF(ENGINE!A67="","",INDEX('PERIODIC ENGINE'!$J$2:$J$102,MATCH(ENGINE!A67,'PERIODIC ENGINE'!$A$2:$A$102,0)))</f>
        <v/>
      </c>
      <c r="C67" s="7" t="str">
        <f>IF(B67="","",B67/(1+INPUTS!$C$11)^ENGINE!A67)</f>
        <v/>
      </c>
      <c r="D67" s="7"/>
      <c r="E67" s="7" t="str">
        <f>IF(ENGINE!A67="","",ENGINE!A67)</f>
        <v/>
      </c>
      <c r="F67" s="7" t="str">
        <f>IF(ENGINE!A67="","",ENGINE!AI67-ENGINE!D67)</f>
        <v/>
      </c>
      <c r="G67" s="7"/>
      <c r="H67" s="7" t="str">
        <f>IF(ENGINE!A67="","",ENGINE!B67)</f>
        <v/>
      </c>
      <c r="I67" s="7" t="str">
        <f>IF(ENGINE!A67="","",INDEX('PERIODIC ENGINE'!$J$2:$J$102,MATCH(ENGINE!A67,'PERIODIC ENGINE'!$A$2:$A$102,0)))</f>
        <v/>
      </c>
      <c r="J67" s="7" t="str">
        <f>IF(ENGINE!A67="","",500000)</f>
        <v/>
      </c>
      <c r="K67" s="7" t="str">
        <f>IF(ENGINE!A67="","",1000000)</f>
        <v/>
      </c>
      <c r="L67" s="7" t="str">
        <f>IF(ENGINE!A67="","",2000000)</f>
        <v/>
      </c>
      <c r="M67" s="7"/>
      <c r="N67" s="7" t="str">
        <f>IF(ENGINE!A67="","",ENGINE!B67)</f>
        <v/>
      </c>
      <c r="O67" s="7" t="str">
        <f>IF(ENGINE!A67="","",ENGINE!D67)</f>
        <v/>
      </c>
      <c r="P67" s="7" t="str">
        <f>IF(ENGINE!A67="","",ENGINE!K67)</f>
        <v/>
      </c>
      <c r="Q67" s="7"/>
      <c r="R67" s="7" t="str">
        <f>IF(ENGINE!A67="","",ENGINE!A67)</f>
        <v/>
      </c>
      <c r="S67" s="7" t="str">
        <f>IF(ENGINE!A67="","",ENGINE!AC67)</f>
        <v/>
      </c>
      <c r="T67" s="7" t="str">
        <f>IF(ENGINE!A67="","",ENGINE!AD67)</f>
        <v/>
      </c>
      <c r="U67" s="7" t="str">
        <f>IF(ENGINE!A67="","",ENGINE!AG67)</f>
        <v/>
      </c>
      <c r="V67" s="7" t="str">
        <f>IF(ENGINE!A67="","",ENGINE!AI67)</f>
        <v/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 ht="18" customHeight="1" x14ac:dyDescent="0.25">
      <c r="A68" s="7" t="str">
        <f>IF(ENGINE!A68="","",ENGINE!B68)</f>
        <v/>
      </c>
      <c r="B68" s="7" t="str">
        <f>IF(ENGINE!A68="","",INDEX('PERIODIC ENGINE'!$J$2:$J$102,MATCH(ENGINE!A68,'PERIODIC ENGINE'!$A$2:$A$102,0)))</f>
        <v/>
      </c>
      <c r="C68" s="7" t="str">
        <f>IF(B68="","",B68/(1+INPUTS!$C$11)^ENGINE!A68)</f>
        <v/>
      </c>
      <c r="D68" s="7"/>
      <c r="E68" s="7" t="str">
        <f>IF(ENGINE!A68="","",ENGINE!A68)</f>
        <v/>
      </c>
      <c r="F68" s="7" t="str">
        <f>IF(ENGINE!A68="","",ENGINE!AI68-ENGINE!D68)</f>
        <v/>
      </c>
      <c r="G68" s="7"/>
      <c r="H68" s="7" t="str">
        <f>IF(ENGINE!A68="","",ENGINE!B68)</f>
        <v/>
      </c>
      <c r="I68" s="7" t="str">
        <f>IF(ENGINE!A68="","",INDEX('PERIODIC ENGINE'!$J$2:$J$102,MATCH(ENGINE!A68,'PERIODIC ENGINE'!$A$2:$A$102,0)))</f>
        <v/>
      </c>
      <c r="J68" s="7" t="str">
        <f>IF(ENGINE!A68="","",500000)</f>
        <v/>
      </c>
      <c r="K68" s="7" t="str">
        <f>IF(ENGINE!A68="","",1000000)</f>
        <v/>
      </c>
      <c r="L68" s="7" t="str">
        <f>IF(ENGINE!A68="","",2000000)</f>
        <v/>
      </c>
      <c r="M68" s="7"/>
      <c r="N68" s="7" t="str">
        <f>IF(ENGINE!A68="","",ENGINE!B68)</f>
        <v/>
      </c>
      <c r="O68" s="7" t="str">
        <f>IF(ENGINE!A68="","",ENGINE!D68)</f>
        <v/>
      </c>
      <c r="P68" s="7" t="str">
        <f>IF(ENGINE!A68="","",ENGINE!K68)</f>
        <v/>
      </c>
      <c r="Q68" s="7"/>
      <c r="R68" s="7" t="str">
        <f>IF(ENGINE!A68="","",ENGINE!A68)</f>
        <v/>
      </c>
      <c r="S68" s="7" t="str">
        <f>IF(ENGINE!A68="","",ENGINE!AC68)</f>
        <v/>
      </c>
      <c r="T68" s="7" t="str">
        <f>IF(ENGINE!A68="","",ENGINE!AD68)</f>
        <v/>
      </c>
      <c r="U68" s="7" t="str">
        <f>IF(ENGINE!A68="","",ENGINE!AG68)</f>
        <v/>
      </c>
      <c r="V68" s="7" t="str">
        <f>IF(ENGINE!A68="","",ENGINE!AI68)</f>
        <v/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 ht="18" customHeight="1" x14ac:dyDescent="0.25">
      <c r="A69" s="7" t="str">
        <f>IF(ENGINE!A69="","",ENGINE!B69)</f>
        <v/>
      </c>
      <c r="B69" s="7" t="str">
        <f>IF(ENGINE!A69="","",INDEX('PERIODIC ENGINE'!$J$2:$J$102,MATCH(ENGINE!A69,'PERIODIC ENGINE'!$A$2:$A$102,0)))</f>
        <v/>
      </c>
      <c r="C69" s="7" t="str">
        <f>IF(B69="","",B69/(1+INPUTS!$C$11)^ENGINE!A69)</f>
        <v/>
      </c>
      <c r="D69" s="7"/>
      <c r="E69" s="7" t="str">
        <f>IF(ENGINE!A69="","",ENGINE!A69)</f>
        <v/>
      </c>
      <c r="F69" s="7" t="str">
        <f>IF(ENGINE!A69="","",ENGINE!AI69-ENGINE!D69)</f>
        <v/>
      </c>
      <c r="G69" s="7"/>
      <c r="H69" s="7" t="str">
        <f>IF(ENGINE!A69="","",ENGINE!B69)</f>
        <v/>
      </c>
      <c r="I69" s="7" t="str">
        <f>IF(ENGINE!A69="","",INDEX('PERIODIC ENGINE'!$J$2:$J$102,MATCH(ENGINE!A69,'PERIODIC ENGINE'!$A$2:$A$102,0)))</f>
        <v/>
      </c>
      <c r="J69" s="7" t="str">
        <f>IF(ENGINE!A69="","",500000)</f>
        <v/>
      </c>
      <c r="K69" s="7" t="str">
        <f>IF(ENGINE!A69="","",1000000)</f>
        <v/>
      </c>
      <c r="L69" s="7" t="str">
        <f>IF(ENGINE!A69="","",2000000)</f>
        <v/>
      </c>
      <c r="M69" s="7"/>
      <c r="N69" s="7" t="str">
        <f>IF(ENGINE!A69="","",ENGINE!B69)</f>
        <v/>
      </c>
      <c r="O69" s="7" t="str">
        <f>IF(ENGINE!A69="","",ENGINE!D69)</f>
        <v/>
      </c>
      <c r="P69" s="7" t="str">
        <f>IF(ENGINE!A69="","",ENGINE!K69)</f>
        <v/>
      </c>
      <c r="Q69" s="7"/>
      <c r="R69" s="7" t="str">
        <f>IF(ENGINE!A69="","",ENGINE!A69)</f>
        <v/>
      </c>
      <c r="S69" s="7" t="str">
        <f>IF(ENGINE!A69="","",ENGINE!AC69)</f>
        <v/>
      </c>
      <c r="T69" s="7" t="str">
        <f>IF(ENGINE!A69="","",ENGINE!AD69)</f>
        <v/>
      </c>
      <c r="U69" s="7" t="str">
        <f>IF(ENGINE!A69="","",ENGINE!AG69)</f>
        <v/>
      </c>
      <c r="V69" s="7" t="str">
        <f>IF(ENGINE!A69="","",ENGINE!AI69)</f>
        <v/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 ht="18" customHeight="1" x14ac:dyDescent="0.25">
      <c r="A70" s="7" t="str">
        <f>IF(ENGINE!A70="","",ENGINE!B70)</f>
        <v/>
      </c>
      <c r="B70" s="7" t="str">
        <f>IF(ENGINE!A70="","",INDEX('PERIODIC ENGINE'!$J$2:$J$102,MATCH(ENGINE!A70,'PERIODIC ENGINE'!$A$2:$A$102,0)))</f>
        <v/>
      </c>
      <c r="C70" s="7" t="str">
        <f>IF(B70="","",B70/(1+INPUTS!$C$11)^ENGINE!A70)</f>
        <v/>
      </c>
      <c r="D70" s="7"/>
      <c r="E70" s="7" t="str">
        <f>IF(ENGINE!A70="","",ENGINE!A70)</f>
        <v/>
      </c>
      <c r="F70" s="7" t="str">
        <f>IF(ENGINE!A70="","",ENGINE!AI70-ENGINE!D70)</f>
        <v/>
      </c>
      <c r="G70" s="7"/>
      <c r="H70" s="7" t="str">
        <f>IF(ENGINE!A70="","",ENGINE!B70)</f>
        <v/>
      </c>
      <c r="I70" s="7" t="str">
        <f>IF(ENGINE!A70="","",INDEX('PERIODIC ENGINE'!$J$2:$J$102,MATCH(ENGINE!A70,'PERIODIC ENGINE'!$A$2:$A$102,0)))</f>
        <v/>
      </c>
      <c r="J70" s="7" t="str">
        <f>IF(ENGINE!A70="","",500000)</f>
        <v/>
      </c>
      <c r="K70" s="7" t="str">
        <f>IF(ENGINE!A70="","",1000000)</f>
        <v/>
      </c>
      <c r="L70" s="7" t="str">
        <f>IF(ENGINE!A70="","",2000000)</f>
        <v/>
      </c>
      <c r="M70" s="7"/>
      <c r="N70" s="7" t="str">
        <f>IF(ENGINE!A70="","",ENGINE!B70)</f>
        <v/>
      </c>
      <c r="O70" s="7" t="str">
        <f>IF(ENGINE!A70="","",ENGINE!D70)</f>
        <v/>
      </c>
      <c r="P70" s="7" t="str">
        <f>IF(ENGINE!A70="","",ENGINE!K70)</f>
        <v/>
      </c>
      <c r="Q70" s="7"/>
      <c r="R70" s="7" t="str">
        <f>IF(ENGINE!A70="","",ENGINE!A70)</f>
        <v/>
      </c>
      <c r="S70" s="7" t="str">
        <f>IF(ENGINE!A70="","",ENGINE!AC70)</f>
        <v/>
      </c>
      <c r="T70" s="7" t="str">
        <f>IF(ENGINE!A70="","",ENGINE!AD70)</f>
        <v/>
      </c>
      <c r="U70" s="7" t="str">
        <f>IF(ENGINE!A70="","",ENGINE!AG70)</f>
        <v/>
      </c>
      <c r="V70" s="7" t="str">
        <f>IF(ENGINE!A70="","",ENGINE!AI70)</f>
        <v/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ht="18" customHeight="1" x14ac:dyDescent="0.25">
      <c r="A71" s="7" t="str">
        <f>IF(ENGINE!A71="","",ENGINE!B71)</f>
        <v/>
      </c>
      <c r="B71" s="7" t="str">
        <f>IF(ENGINE!A71="","",INDEX('PERIODIC ENGINE'!$J$2:$J$102,MATCH(ENGINE!A71,'PERIODIC ENGINE'!$A$2:$A$102,0)))</f>
        <v/>
      </c>
      <c r="C71" s="7" t="str">
        <f>IF(B71="","",B71/(1+INPUTS!$C$11)^ENGINE!A71)</f>
        <v/>
      </c>
      <c r="D71" s="7"/>
      <c r="E71" s="7" t="str">
        <f>IF(ENGINE!A71="","",ENGINE!A71)</f>
        <v/>
      </c>
      <c r="F71" s="7" t="str">
        <f>IF(ENGINE!A71="","",ENGINE!AI71-ENGINE!D71)</f>
        <v/>
      </c>
      <c r="G71" s="7"/>
      <c r="H71" s="7" t="str">
        <f>IF(ENGINE!A71="","",ENGINE!B71)</f>
        <v/>
      </c>
      <c r="I71" s="7" t="str">
        <f>IF(ENGINE!A71="","",INDEX('PERIODIC ENGINE'!$J$2:$J$102,MATCH(ENGINE!A71,'PERIODIC ENGINE'!$A$2:$A$102,0)))</f>
        <v/>
      </c>
      <c r="J71" s="7" t="str">
        <f>IF(ENGINE!A71="","",500000)</f>
        <v/>
      </c>
      <c r="K71" s="7" t="str">
        <f>IF(ENGINE!A71="","",1000000)</f>
        <v/>
      </c>
      <c r="L71" s="7" t="str">
        <f>IF(ENGINE!A71="","",2000000)</f>
        <v/>
      </c>
      <c r="M71" s="7"/>
      <c r="N71" s="7" t="str">
        <f>IF(ENGINE!A71="","",ENGINE!B71)</f>
        <v/>
      </c>
      <c r="O71" s="7" t="str">
        <f>IF(ENGINE!A71="","",ENGINE!D71)</f>
        <v/>
      </c>
      <c r="P71" s="7" t="str">
        <f>IF(ENGINE!A71="","",ENGINE!K71)</f>
        <v/>
      </c>
      <c r="Q71" s="7"/>
      <c r="R71" s="7" t="str">
        <f>IF(ENGINE!A71="","",ENGINE!A71)</f>
        <v/>
      </c>
      <c r="S71" s="7" t="str">
        <f>IF(ENGINE!A71="","",ENGINE!AC71)</f>
        <v/>
      </c>
      <c r="T71" s="7" t="str">
        <f>IF(ENGINE!A71="","",ENGINE!AD71)</f>
        <v/>
      </c>
      <c r="U71" s="7" t="str">
        <f>IF(ENGINE!A71="","",ENGINE!AG71)</f>
        <v/>
      </c>
      <c r="V71" s="7" t="str">
        <f>IF(ENGINE!A71="","",ENGINE!AI71)</f>
        <v/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 ht="18" customHeight="1" x14ac:dyDescent="0.25">
      <c r="A72" s="7" t="str">
        <f>IF(ENGINE!A72="","",ENGINE!B72)</f>
        <v/>
      </c>
      <c r="B72" s="7" t="str">
        <f>IF(ENGINE!A72="","",INDEX('PERIODIC ENGINE'!$J$2:$J$102,MATCH(ENGINE!A72,'PERIODIC ENGINE'!$A$2:$A$102,0)))</f>
        <v/>
      </c>
      <c r="C72" s="7" t="str">
        <f>IF(B72="","",B72/(1+INPUTS!$C$11)^ENGINE!A72)</f>
        <v/>
      </c>
      <c r="D72" s="7"/>
      <c r="E72" s="7" t="str">
        <f>IF(ENGINE!A72="","",ENGINE!A72)</f>
        <v/>
      </c>
      <c r="F72" s="7" t="str">
        <f>IF(ENGINE!A72="","",ENGINE!AI72-ENGINE!D72)</f>
        <v/>
      </c>
      <c r="G72" s="7"/>
      <c r="H72" s="7" t="str">
        <f>IF(ENGINE!A72="","",ENGINE!B72)</f>
        <v/>
      </c>
      <c r="I72" s="7" t="str">
        <f>IF(ENGINE!A72="","",INDEX('PERIODIC ENGINE'!$J$2:$J$102,MATCH(ENGINE!A72,'PERIODIC ENGINE'!$A$2:$A$102,0)))</f>
        <v/>
      </c>
      <c r="J72" s="7" t="str">
        <f>IF(ENGINE!A72="","",500000)</f>
        <v/>
      </c>
      <c r="K72" s="7" t="str">
        <f>IF(ENGINE!A72="","",1000000)</f>
        <v/>
      </c>
      <c r="L72" s="7" t="str">
        <f>IF(ENGINE!A72="","",2000000)</f>
        <v/>
      </c>
      <c r="M72" s="7"/>
      <c r="N72" s="7" t="str">
        <f>IF(ENGINE!A72="","",ENGINE!B72)</f>
        <v/>
      </c>
      <c r="O72" s="7" t="str">
        <f>IF(ENGINE!A72="","",ENGINE!D72)</f>
        <v/>
      </c>
      <c r="P72" s="7" t="str">
        <f>IF(ENGINE!A72="","",ENGINE!K72)</f>
        <v/>
      </c>
      <c r="Q72" s="7"/>
      <c r="R72" s="7" t="str">
        <f>IF(ENGINE!A72="","",ENGINE!A72)</f>
        <v/>
      </c>
      <c r="S72" s="7" t="str">
        <f>IF(ENGINE!A72="","",ENGINE!AC72)</f>
        <v/>
      </c>
      <c r="T72" s="7" t="str">
        <f>IF(ENGINE!A72="","",ENGINE!AD72)</f>
        <v/>
      </c>
      <c r="U72" s="7" t="str">
        <f>IF(ENGINE!A72="","",ENGINE!AG72)</f>
        <v/>
      </c>
      <c r="V72" s="7" t="str">
        <f>IF(ENGINE!A72="","",ENGINE!AI72)</f>
        <v/>
      </c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1:52" ht="18" customHeight="1" x14ac:dyDescent="0.25">
      <c r="A73" s="7" t="str">
        <f>IF(ENGINE!A73="","",ENGINE!B73)</f>
        <v/>
      </c>
      <c r="B73" s="7" t="str">
        <f>IF(ENGINE!A73="","",INDEX('PERIODIC ENGINE'!$J$2:$J$102,MATCH(ENGINE!A73,'PERIODIC ENGINE'!$A$2:$A$102,0)))</f>
        <v/>
      </c>
      <c r="C73" s="7" t="str">
        <f>IF(B73="","",B73/(1+INPUTS!$C$11)^ENGINE!A73)</f>
        <v/>
      </c>
      <c r="D73" s="7"/>
      <c r="E73" s="7" t="str">
        <f>IF(ENGINE!A73="","",ENGINE!A73)</f>
        <v/>
      </c>
      <c r="F73" s="7" t="str">
        <f>IF(ENGINE!A73="","",ENGINE!AI73-ENGINE!D73)</f>
        <v/>
      </c>
      <c r="G73" s="7"/>
      <c r="H73" s="7" t="str">
        <f>IF(ENGINE!A73="","",ENGINE!B73)</f>
        <v/>
      </c>
      <c r="I73" s="7" t="str">
        <f>IF(ENGINE!A73="","",INDEX('PERIODIC ENGINE'!$J$2:$J$102,MATCH(ENGINE!A73,'PERIODIC ENGINE'!$A$2:$A$102,0)))</f>
        <v/>
      </c>
      <c r="J73" s="7" t="str">
        <f>IF(ENGINE!A73="","",500000)</f>
        <v/>
      </c>
      <c r="K73" s="7" t="str">
        <f>IF(ENGINE!A73="","",1000000)</f>
        <v/>
      </c>
      <c r="L73" s="7" t="str">
        <f>IF(ENGINE!A73="","",2000000)</f>
        <v/>
      </c>
      <c r="M73" s="7"/>
      <c r="N73" s="7" t="str">
        <f>IF(ENGINE!A73="","",ENGINE!B73)</f>
        <v/>
      </c>
      <c r="O73" s="7" t="str">
        <f>IF(ENGINE!A73="","",ENGINE!D73)</f>
        <v/>
      </c>
      <c r="P73" s="7" t="str">
        <f>IF(ENGINE!A73="","",ENGINE!K73)</f>
        <v/>
      </c>
      <c r="Q73" s="7"/>
      <c r="R73" s="7" t="str">
        <f>IF(ENGINE!A73="","",ENGINE!A73)</f>
        <v/>
      </c>
      <c r="S73" s="7" t="str">
        <f>IF(ENGINE!A73="","",ENGINE!AC73)</f>
        <v/>
      </c>
      <c r="T73" s="7" t="str">
        <f>IF(ENGINE!A73="","",ENGINE!AD73)</f>
        <v/>
      </c>
      <c r="U73" s="7" t="str">
        <f>IF(ENGINE!A73="","",ENGINE!AG73)</f>
        <v/>
      </c>
      <c r="V73" s="7" t="str">
        <f>IF(ENGINE!A73="","",ENGINE!AI73)</f>
        <v/>
      </c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ht="18" customHeight="1" x14ac:dyDescent="0.25">
      <c r="A74" s="7" t="str">
        <f>IF(ENGINE!A74="","",ENGINE!B74)</f>
        <v/>
      </c>
      <c r="B74" s="7" t="str">
        <f>IF(ENGINE!A74="","",INDEX('PERIODIC ENGINE'!$J$2:$J$102,MATCH(ENGINE!A74,'PERIODIC ENGINE'!$A$2:$A$102,0)))</f>
        <v/>
      </c>
      <c r="C74" s="7" t="str">
        <f>IF(B74="","",B74/(1+INPUTS!$C$11)^ENGINE!A74)</f>
        <v/>
      </c>
      <c r="D74" s="7"/>
      <c r="E74" s="7" t="str">
        <f>IF(ENGINE!A74="","",ENGINE!A74)</f>
        <v/>
      </c>
      <c r="F74" s="7" t="str">
        <f>IF(ENGINE!A74="","",ENGINE!AI74-ENGINE!D74)</f>
        <v/>
      </c>
      <c r="G74" s="7"/>
      <c r="H74" s="7" t="str">
        <f>IF(ENGINE!A74="","",ENGINE!B74)</f>
        <v/>
      </c>
      <c r="I74" s="7" t="str">
        <f>IF(ENGINE!A74="","",INDEX('PERIODIC ENGINE'!$J$2:$J$102,MATCH(ENGINE!A74,'PERIODIC ENGINE'!$A$2:$A$102,0)))</f>
        <v/>
      </c>
      <c r="J74" s="7" t="str">
        <f>IF(ENGINE!A74="","",500000)</f>
        <v/>
      </c>
      <c r="K74" s="7" t="str">
        <f>IF(ENGINE!A74="","",1000000)</f>
        <v/>
      </c>
      <c r="L74" s="7" t="str">
        <f>IF(ENGINE!A74="","",2000000)</f>
        <v/>
      </c>
      <c r="M74" s="7"/>
      <c r="N74" s="7" t="str">
        <f>IF(ENGINE!A74="","",ENGINE!B74)</f>
        <v/>
      </c>
      <c r="O74" s="7" t="str">
        <f>IF(ENGINE!A74="","",ENGINE!D74)</f>
        <v/>
      </c>
      <c r="P74" s="7" t="str">
        <f>IF(ENGINE!A74="","",ENGINE!K74)</f>
        <v/>
      </c>
      <c r="Q74" s="7"/>
      <c r="R74" s="7" t="str">
        <f>IF(ENGINE!A74="","",ENGINE!A74)</f>
        <v/>
      </c>
      <c r="S74" s="7" t="str">
        <f>IF(ENGINE!A74="","",ENGINE!AC74)</f>
        <v/>
      </c>
      <c r="T74" s="7" t="str">
        <f>IF(ENGINE!A74="","",ENGINE!AD74)</f>
        <v/>
      </c>
      <c r="U74" s="7" t="str">
        <f>IF(ENGINE!A74="","",ENGINE!AG74)</f>
        <v/>
      </c>
      <c r="V74" s="7" t="str">
        <f>IF(ENGINE!A74="","",ENGINE!AI74)</f>
        <v/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1:52" ht="18" customHeight="1" x14ac:dyDescent="0.25">
      <c r="A75" s="7" t="str">
        <f>IF(ENGINE!A75="","",ENGINE!B75)</f>
        <v/>
      </c>
      <c r="B75" s="7" t="str">
        <f>IF(ENGINE!A75="","",INDEX('PERIODIC ENGINE'!$J$2:$J$102,MATCH(ENGINE!A75,'PERIODIC ENGINE'!$A$2:$A$102,0)))</f>
        <v/>
      </c>
      <c r="C75" s="7" t="str">
        <f>IF(B75="","",B75/(1+INPUTS!$C$11)^ENGINE!A75)</f>
        <v/>
      </c>
      <c r="D75" s="7"/>
      <c r="E75" s="7" t="str">
        <f>IF(ENGINE!A75="","",ENGINE!A75)</f>
        <v/>
      </c>
      <c r="F75" s="7" t="str">
        <f>IF(ENGINE!A75="","",ENGINE!AI75-ENGINE!D75)</f>
        <v/>
      </c>
      <c r="G75" s="7"/>
      <c r="H75" s="7" t="str">
        <f>IF(ENGINE!A75="","",ENGINE!B75)</f>
        <v/>
      </c>
      <c r="I75" s="7" t="str">
        <f>IF(ENGINE!A75="","",INDEX('PERIODIC ENGINE'!$J$2:$J$102,MATCH(ENGINE!A75,'PERIODIC ENGINE'!$A$2:$A$102,0)))</f>
        <v/>
      </c>
      <c r="J75" s="7" t="str">
        <f>IF(ENGINE!A75="","",500000)</f>
        <v/>
      </c>
      <c r="K75" s="7" t="str">
        <f>IF(ENGINE!A75="","",1000000)</f>
        <v/>
      </c>
      <c r="L75" s="7" t="str">
        <f>IF(ENGINE!A75="","",2000000)</f>
        <v/>
      </c>
      <c r="M75" s="7"/>
      <c r="N75" s="7" t="str">
        <f>IF(ENGINE!A75="","",ENGINE!B75)</f>
        <v/>
      </c>
      <c r="O75" s="7" t="str">
        <f>IF(ENGINE!A75="","",ENGINE!D75)</f>
        <v/>
      </c>
      <c r="P75" s="7" t="str">
        <f>IF(ENGINE!A75="","",ENGINE!K75)</f>
        <v/>
      </c>
      <c r="Q75" s="7"/>
      <c r="R75" s="7" t="str">
        <f>IF(ENGINE!A75="","",ENGINE!A75)</f>
        <v/>
      </c>
      <c r="S75" s="7" t="str">
        <f>IF(ENGINE!A75="","",ENGINE!AC75)</f>
        <v/>
      </c>
      <c r="T75" s="7" t="str">
        <f>IF(ENGINE!A75="","",ENGINE!AD75)</f>
        <v/>
      </c>
      <c r="U75" s="7" t="str">
        <f>IF(ENGINE!A75="","",ENGINE!AG75)</f>
        <v/>
      </c>
      <c r="V75" s="7" t="str">
        <f>IF(ENGINE!A75="","",ENGINE!AI75)</f>
        <v/>
      </c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1:52" ht="18" customHeight="1" x14ac:dyDescent="0.25">
      <c r="A76" s="7" t="str">
        <f>IF(ENGINE!A76="","",ENGINE!B76)</f>
        <v/>
      </c>
      <c r="B76" s="7" t="str">
        <f>IF(ENGINE!A76="","",INDEX('PERIODIC ENGINE'!$J$2:$J$102,MATCH(ENGINE!A76,'PERIODIC ENGINE'!$A$2:$A$102,0)))</f>
        <v/>
      </c>
      <c r="C76" s="7" t="str">
        <f>IF(B76="","",B76/(1+INPUTS!$C$11)^ENGINE!A76)</f>
        <v/>
      </c>
      <c r="D76" s="7"/>
      <c r="E76" s="7" t="str">
        <f>IF(ENGINE!A76="","",ENGINE!A76)</f>
        <v/>
      </c>
      <c r="F76" s="7" t="str">
        <f>IF(ENGINE!A76="","",ENGINE!AI76-ENGINE!D76)</f>
        <v/>
      </c>
      <c r="G76" s="7"/>
      <c r="H76" s="7" t="str">
        <f>IF(ENGINE!A76="","",ENGINE!B76)</f>
        <v/>
      </c>
      <c r="I76" s="7" t="str">
        <f>IF(ENGINE!A76="","",INDEX('PERIODIC ENGINE'!$J$2:$J$102,MATCH(ENGINE!A76,'PERIODIC ENGINE'!$A$2:$A$102,0)))</f>
        <v/>
      </c>
      <c r="J76" s="7" t="str">
        <f>IF(ENGINE!A76="","",500000)</f>
        <v/>
      </c>
      <c r="K76" s="7" t="str">
        <f>IF(ENGINE!A76="","",1000000)</f>
        <v/>
      </c>
      <c r="L76" s="7" t="str">
        <f>IF(ENGINE!A76="","",2000000)</f>
        <v/>
      </c>
      <c r="M76" s="7"/>
      <c r="N76" s="7" t="str">
        <f>IF(ENGINE!A76="","",ENGINE!B76)</f>
        <v/>
      </c>
      <c r="O76" s="7" t="str">
        <f>IF(ENGINE!A76="","",ENGINE!D76)</f>
        <v/>
      </c>
      <c r="P76" s="7" t="str">
        <f>IF(ENGINE!A76="","",ENGINE!K76)</f>
        <v/>
      </c>
      <c r="Q76" s="7"/>
      <c r="R76" s="7" t="str">
        <f>IF(ENGINE!A76="","",ENGINE!A76)</f>
        <v/>
      </c>
      <c r="S76" s="7" t="str">
        <f>IF(ENGINE!A76="","",ENGINE!AC76)</f>
        <v/>
      </c>
      <c r="T76" s="7" t="str">
        <f>IF(ENGINE!A76="","",ENGINE!AD76)</f>
        <v/>
      </c>
      <c r="U76" s="7" t="str">
        <f>IF(ENGINE!A76="","",ENGINE!AG76)</f>
        <v/>
      </c>
      <c r="V76" s="7" t="str">
        <f>IF(ENGINE!A76="","",ENGINE!AI76)</f>
        <v/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1:52" ht="18" customHeight="1" x14ac:dyDescent="0.25">
      <c r="A77" s="7" t="str">
        <f>IF(ENGINE!A77="","",ENGINE!B77)</f>
        <v/>
      </c>
      <c r="B77" s="7" t="str">
        <f>IF(ENGINE!A77="","",INDEX('PERIODIC ENGINE'!$J$2:$J$102,MATCH(ENGINE!A77,'PERIODIC ENGINE'!$A$2:$A$102,0)))</f>
        <v/>
      </c>
      <c r="C77" s="7" t="str">
        <f>IF(B77="","",B77/(1+INPUTS!$C$11)^ENGINE!A77)</f>
        <v/>
      </c>
      <c r="D77" s="7"/>
      <c r="E77" s="7" t="str">
        <f>IF(ENGINE!A77="","",ENGINE!A77)</f>
        <v/>
      </c>
      <c r="F77" s="7" t="str">
        <f>IF(ENGINE!A77="","",ENGINE!AI77-ENGINE!D77)</f>
        <v/>
      </c>
      <c r="G77" s="7"/>
      <c r="H77" s="7" t="str">
        <f>IF(ENGINE!A77="","",ENGINE!B77)</f>
        <v/>
      </c>
      <c r="I77" s="7" t="str">
        <f>IF(ENGINE!A77="","",INDEX('PERIODIC ENGINE'!$J$2:$J$102,MATCH(ENGINE!A77,'PERIODIC ENGINE'!$A$2:$A$102,0)))</f>
        <v/>
      </c>
      <c r="J77" s="7" t="str">
        <f>IF(ENGINE!A77="","",500000)</f>
        <v/>
      </c>
      <c r="K77" s="7" t="str">
        <f>IF(ENGINE!A77="","",1000000)</f>
        <v/>
      </c>
      <c r="L77" s="7" t="str">
        <f>IF(ENGINE!A77="","",2000000)</f>
        <v/>
      </c>
      <c r="M77" s="7"/>
      <c r="N77" s="7" t="str">
        <f>IF(ENGINE!A77="","",ENGINE!B77)</f>
        <v/>
      </c>
      <c r="O77" s="7" t="str">
        <f>IF(ENGINE!A77="","",ENGINE!D77)</f>
        <v/>
      </c>
      <c r="P77" s="7" t="str">
        <f>IF(ENGINE!A77="","",ENGINE!K77)</f>
        <v/>
      </c>
      <c r="Q77" s="7"/>
      <c r="R77" s="7" t="str">
        <f>IF(ENGINE!A77="","",ENGINE!A77)</f>
        <v/>
      </c>
      <c r="S77" s="7" t="str">
        <f>IF(ENGINE!A77="","",ENGINE!AC77)</f>
        <v/>
      </c>
      <c r="T77" s="7" t="str">
        <f>IF(ENGINE!A77="","",ENGINE!AD77)</f>
        <v/>
      </c>
      <c r="U77" s="7" t="str">
        <f>IF(ENGINE!A77="","",ENGINE!AG77)</f>
        <v/>
      </c>
      <c r="V77" s="7" t="str">
        <f>IF(ENGINE!A77="","",ENGINE!AI77)</f>
        <v/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1:52" ht="18" customHeight="1" x14ac:dyDescent="0.25">
      <c r="A78" s="7" t="str">
        <f>IF(ENGINE!A78="","",ENGINE!B78)</f>
        <v/>
      </c>
      <c r="B78" s="7" t="str">
        <f>IF(ENGINE!A78="","",INDEX('PERIODIC ENGINE'!$J$2:$J$102,MATCH(ENGINE!A78,'PERIODIC ENGINE'!$A$2:$A$102,0)))</f>
        <v/>
      </c>
      <c r="C78" s="7" t="str">
        <f>IF(B78="","",B78/(1+INPUTS!$C$11)^ENGINE!A78)</f>
        <v/>
      </c>
      <c r="D78" s="7"/>
      <c r="E78" s="7" t="str">
        <f>IF(ENGINE!A78="","",ENGINE!A78)</f>
        <v/>
      </c>
      <c r="F78" s="7" t="str">
        <f>IF(ENGINE!A78="","",ENGINE!AI78-ENGINE!D78)</f>
        <v/>
      </c>
      <c r="G78" s="7"/>
      <c r="H78" s="7" t="str">
        <f>IF(ENGINE!A78="","",ENGINE!B78)</f>
        <v/>
      </c>
      <c r="I78" s="7" t="str">
        <f>IF(ENGINE!A78="","",INDEX('PERIODIC ENGINE'!$J$2:$J$102,MATCH(ENGINE!A78,'PERIODIC ENGINE'!$A$2:$A$102,0)))</f>
        <v/>
      </c>
      <c r="J78" s="7" t="str">
        <f>IF(ENGINE!A78="","",500000)</f>
        <v/>
      </c>
      <c r="K78" s="7" t="str">
        <f>IF(ENGINE!A78="","",1000000)</f>
        <v/>
      </c>
      <c r="L78" s="7" t="str">
        <f>IF(ENGINE!A78="","",2000000)</f>
        <v/>
      </c>
      <c r="M78" s="7"/>
      <c r="N78" s="7" t="str">
        <f>IF(ENGINE!A78="","",ENGINE!B78)</f>
        <v/>
      </c>
      <c r="O78" s="7" t="str">
        <f>IF(ENGINE!A78="","",ENGINE!D78)</f>
        <v/>
      </c>
      <c r="P78" s="7" t="str">
        <f>IF(ENGINE!A78="","",ENGINE!K78)</f>
        <v/>
      </c>
      <c r="Q78" s="7"/>
      <c r="R78" s="7" t="str">
        <f>IF(ENGINE!A78="","",ENGINE!A78)</f>
        <v/>
      </c>
      <c r="S78" s="7" t="str">
        <f>IF(ENGINE!A78="","",ENGINE!AC78)</f>
        <v/>
      </c>
      <c r="T78" s="7" t="str">
        <f>IF(ENGINE!A78="","",ENGINE!AD78)</f>
        <v/>
      </c>
      <c r="U78" s="7" t="str">
        <f>IF(ENGINE!A78="","",ENGINE!AG78)</f>
        <v/>
      </c>
      <c r="V78" s="7" t="str">
        <f>IF(ENGINE!A78="","",ENGINE!AI78)</f>
        <v/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1:52" ht="18" customHeight="1" x14ac:dyDescent="0.25">
      <c r="A79" s="7" t="str">
        <f>IF(ENGINE!A79="","",ENGINE!B79)</f>
        <v/>
      </c>
      <c r="B79" s="7" t="str">
        <f>IF(ENGINE!A79="","",INDEX('PERIODIC ENGINE'!$J$2:$J$102,MATCH(ENGINE!A79,'PERIODIC ENGINE'!$A$2:$A$102,0)))</f>
        <v/>
      </c>
      <c r="C79" s="7" t="str">
        <f>IF(B79="","",B79/(1+INPUTS!$C$11)^ENGINE!A79)</f>
        <v/>
      </c>
      <c r="D79" s="7"/>
      <c r="E79" s="7" t="str">
        <f>IF(ENGINE!A79="","",ENGINE!A79)</f>
        <v/>
      </c>
      <c r="F79" s="7" t="str">
        <f>IF(ENGINE!A79="","",ENGINE!AI79-ENGINE!D79)</f>
        <v/>
      </c>
      <c r="G79" s="7"/>
      <c r="H79" s="7" t="str">
        <f>IF(ENGINE!A79="","",ENGINE!B79)</f>
        <v/>
      </c>
      <c r="I79" s="7" t="str">
        <f>IF(ENGINE!A79="","",INDEX('PERIODIC ENGINE'!$J$2:$J$102,MATCH(ENGINE!A79,'PERIODIC ENGINE'!$A$2:$A$102,0)))</f>
        <v/>
      </c>
      <c r="J79" s="7" t="str">
        <f>IF(ENGINE!A79="","",500000)</f>
        <v/>
      </c>
      <c r="K79" s="7" t="str">
        <f>IF(ENGINE!A79="","",1000000)</f>
        <v/>
      </c>
      <c r="L79" s="7" t="str">
        <f>IF(ENGINE!A79="","",2000000)</f>
        <v/>
      </c>
      <c r="M79" s="7"/>
      <c r="N79" s="7" t="str">
        <f>IF(ENGINE!A79="","",ENGINE!B79)</f>
        <v/>
      </c>
      <c r="O79" s="7" t="str">
        <f>IF(ENGINE!A79="","",ENGINE!D79)</f>
        <v/>
      </c>
      <c r="P79" s="7" t="str">
        <f>IF(ENGINE!A79="","",ENGINE!K79)</f>
        <v/>
      </c>
      <c r="Q79" s="7"/>
      <c r="R79" s="7" t="str">
        <f>IF(ENGINE!A79="","",ENGINE!A79)</f>
        <v/>
      </c>
      <c r="S79" s="7" t="str">
        <f>IF(ENGINE!A79="","",ENGINE!AC79)</f>
        <v/>
      </c>
      <c r="T79" s="7" t="str">
        <f>IF(ENGINE!A79="","",ENGINE!AD79)</f>
        <v/>
      </c>
      <c r="U79" s="7" t="str">
        <f>IF(ENGINE!A79="","",ENGINE!AG79)</f>
        <v/>
      </c>
      <c r="V79" s="7" t="str">
        <f>IF(ENGINE!A79="","",ENGINE!AI79)</f>
        <v/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1:52" ht="18" customHeight="1" x14ac:dyDescent="0.25">
      <c r="A80" s="7" t="str">
        <f>IF(ENGINE!A80="","",ENGINE!B80)</f>
        <v/>
      </c>
      <c r="B80" s="7" t="str">
        <f>IF(ENGINE!A80="","",INDEX('PERIODIC ENGINE'!$J$2:$J$102,MATCH(ENGINE!A80,'PERIODIC ENGINE'!$A$2:$A$102,0)))</f>
        <v/>
      </c>
      <c r="C80" s="7" t="str">
        <f>IF(B80="","",B80/(1+INPUTS!$C$11)^ENGINE!A80)</f>
        <v/>
      </c>
      <c r="D80" s="7"/>
      <c r="E80" s="7" t="str">
        <f>IF(ENGINE!A80="","",ENGINE!A80)</f>
        <v/>
      </c>
      <c r="F80" s="7" t="str">
        <f>IF(ENGINE!A80="","",ENGINE!AI80-ENGINE!D80)</f>
        <v/>
      </c>
      <c r="G80" s="7"/>
      <c r="H80" s="7" t="str">
        <f>IF(ENGINE!A80="","",ENGINE!B80)</f>
        <v/>
      </c>
      <c r="I80" s="7" t="str">
        <f>IF(ENGINE!A80="","",INDEX('PERIODIC ENGINE'!$J$2:$J$102,MATCH(ENGINE!A80,'PERIODIC ENGINE'!$A$2:$A$102,0)))</f>
        <v/>
      </c>
      <c r="J80" s="7" t="str">
        <f>IF(ENGINE!A80="","",500000)</f>
        <v/>
      </c>
      <c r="K80" s="7" t="str">
        <f>IF(ENGINE!A80="","",1000000)</f>
        <v/>
      </c>
      <c r="L80" s="7" t="str">
        <f>IF(ENGINE!A80="","",2000000)</f>
        <v/>
      </c>
      <c r="M80" s="7"/>
      <c r="N80" s="7" t="str">
        <f>IF(ENGINE!A80="","",ENGINE!B80)</f>
        <v/>
      </c>
      <c r="O80" s="7" t="str">
        <f>IF(ENGINE!A80="","",ENGINE!D80)</f>
        <v/>
      </c>
      <c r="P80" s="7" t="str">
        <f>IF(ENGINE!A80="","",ENGINE!K80)</f>
        <v/>
      </c>
      <c r="Q80" s="7"/>
      <c r="R80" s="7" t="str">
        <f>IF(ENGINE!A80="","",ENGINE!A80)</f>
        <v/>
      </c>
      <c r="S80" s="7" t="str">
        <f>IF(ENGINE!A80="","",ENGINE!AC80)</f>
        <v/>
      </c>
      <c r="T80" s="7" t="str">
        <f>IF(ENGINE!A80="","",ENGINE!AD80)</f>
        <v/>
      </c>
      <c r="U80" s="7" t="str">
        <f>IF(ENGINE!A80="","",ENGINE!AG80)</f>
        <v/>
      </c>
      <c r="V80" s="7" t="str">
        <f>IF(ENGINE!A80="","",ENGINE!AI80)</f>
        <v/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52" ht="18" customHeight="1" x14ac:dyDescent="0.25">
      <c r="A81" s="7" t="str">
        <f>IF(ENGINE!A81="","",ENGINE!B81)</f>
        <v/>
      </c>
      <c r="B81" s="7" t="str">
        <f>IF(ENGINE!A81="","",INDEX('PERIODIC ENGINE'!$J$2:$J$102,MATCH(ENGINE!A81,'PERIODIC ENGINE'!$A$2:$A$102,0)))</f>
        <v/>
      </c>
      <c r="C81" s="7" t="str">
        <f>IF(B81="","",B81/(1+INPUTS!$C$11)^ENGINE!A81)</f>
        <v/>
      </c>
      <c r="D81" s="7"/>
      <c r="E81" s="7" t="str">
        <f>IF(ENGINE!A81="","",ENGINE!A81)</f>
        <v/>
      </c>
      <c r="F81" s="7" t="str">
        <f>IF(ENGINE!A81="","",ENGINE!AI81-ENGINE!D81)</f>
        <v/>
      </c>
      <c r="G81" s="7"/>
      <c r="H81" s="7" t="str">
        <f>IF(ENGINE!A81="","",ENGINE!B81)</f>
        <v/>
      </c>
      <c r="I81" s="7" t="str">
        <f>IF(ENGINE!A81="","",INDEX('PERIODIC ENGINE'!$J$2:$J$102,MATCH(ENGINE!A81,'PERIODIC ENGINE'!$A$2:$A$102,0)))</f>
        <v/>
      </c>
      <c r="J81" s="7" t="str">
        <f>IF(ENGINE!A81="","",500000)</f>
        <v/>
      </c>
      <c r="K81" s="7" t="str">
        <f>IF(ENGINE!A81="","",1000000)</f>
        <v/>
      </c>
      <c r="L81" s="7" t="str">
        <f>IF(ENGINE!A81="","",2000000)</f>
        <v/>
      </c>
      <c r="M81" s="7"/>
      <c r="N81" s="7" t="str">
        <f>IF(ENGINE!A81="","",ENGINE!B81)</f>
        <v/>
      </c>
      <c r="O81" s="7" t="str">
        <f>IF(ENGINE!A81="","",ENGINE!D81)</f>
        <v/>
      </c>
      <c r="P81" s="7" t="str">
        <f>IF(ENGINE!A81="","",ENGINE!K81)</f>
        <v/>
      </c>
      <c r="Q81" s="7"/>
      <c r="R81" s="7" t="str">
        <f>IF(ENGINE!A81="","",ENGINE!A81)</f>
        <v/>
      </c>
      <c r="S81" s="7" t="str">
        <f>IF(ENGINE!A81="","",ENGINE!AC81)</f>
        <v/>
      </c>
      <c r="T81" s="7" t="str">
        <f>IF(ENGINE!A81="","",ENGINE!AD81)</f>
        <v/>
      </c>
      <c r="U81" s="7" t="str">
        <f>IF(ENGINE!A81="","",ENGINE!AG81)</f>
        <v/>
      </c>
      <c r="V81" s="7" t="str">
        <f>IF(ENGINE!A81="","",ENGINE!AI81)</f>
        <v/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1:52" ht="18" customHeight="1" x14ac:dyDescent="0.25">
      <c r="A82" s="7" t="str">
        <f>IF(ENGINE!A82="","",ENGINE!B82)</f>
        <v/>
      </c>
      <c r="B82" s="7" t="str">
        <f>IF(ENGINE!A82="","",INDEX('PERIODIC ENGINE'!$J$2:$J$102,MATCH(ENGINE!A82,'PERIODIC ENGINE'!$A$2:$A$102,0)))</f>
        <v/>
      </c>
      <c r="C82" s="7" t="str">
        <f>IF(B82="","",B82/(1+INPUTS!$C$11)^ENGINE!A82)</f>
        <v/>
      </c>
      <c r="D82" s="7"/>
      <c r="E82" s="7" t="str">
        <f>IF(ENGINE!A82="","",ENGINE!A82)</f>
        <v/>
      </c>
      <c r="F82" s="7" t="str">
        <f>IF(ENGINE!A82="","",ENGINE!AI82-ENGINE!D82)</f>
        <v/>
      </c>
      <c r="G82" s="7"/>
      <c r="H82" s="7" t="str">
        <f>IF(ENGINE!A82="","",ENGINE!B82)</f>
        <v/>
      </c>
      <c r="I82" s="7" t="str">
        <f>IF(ENGINE!A82="","",INDEX('PERIODIC ENGINE'!$J$2:$J$102,MATCH(ENGINE!A82,'PERIODIC ENGINE'!$A$2:$A$102,0)))</f>
        <v/>
      </c>
      <c r="J82" s="7" t="str">
        <f>IF(ENGINE!A82="","",500000)</f>
        <v/>
      </c>
      <c r="K82" s="7" t="str">
        <f>IF(ENGINE!A82="","",1000000)</f>
        <v/>
      </c>
      <c r="L82" s="7" t="str">
        <f>IF(ENGINE!A82="","",2000000)</f>
        <v/>
      </c>
      <c r="M82" s="7"/>
      <c r="N82" s="7" t="str">
        <f>IF(ENGINE!A82="","",ENGINE!B82)</f>
        <v/>
      </c>
      <c r="O82" s="7" t="str">
        <f>IF(ENGINE!A82="","",ENGINE!D82)</f>
        <v/>
      </c>
      <c r="P82" s="7" t="str">
        <f>IF(ENGINE!A82="","",ENGINE!K82)</f>
        <v/>
      </c>
      <c r="Q82" s="7"/>
      <c r="R82" s="7" t="str">
        <f>IF(ENGINE!A82="","",ENGINE!A82)</f>
        <v/>
      </c>
      <c r="S82" s="7" t="str">
        <f>IF(ENGINE!A82="","",ENGINE!AC82)</f>
        <v/>
      </c>
      <c r="T82" s="7" t="str">
        <f>IF(ENGINE!A82="","",ENGINE!AD82)</f>
        <v/>
      </c>
      <c r="U82" s="7" t="str">
        <f>IF(ENGINE!A82="","",ENGINE!AG82)</f>
        <v/>
      </c>
      <c r="V82" s="7" t="str">
        <f>IF(ENGINE!A82="","",ENGINE!AI82)</f>
        <v/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ht="18" customHeight="1" x14ac:dyDescent="0.25">
      <c r="A83" s="7" t="str">
        <f>IF(ENGINE!A83="","",ENGINE!B83)</f>
        <v/>
      </c>
      <c r="B83" s="7" t="str">
        <f>IF(ENGINE!A83="","",INDEX('PERIODIC ENGINE'!$J$2:$J$102,MATCH(ENGINE!A83,'PERIODIC ENGINE'!$A$2:$A$102,0)))</f>
        <v/>
      </c>
      <c r="C83" s="7" t="str">
        <f>IF(B83="","",B83/(1+INPUTS!$C$11)^ENGINE!A83)</f>
        <v/>
      </c>
      <c r="D83" s="7"/>
      <c r="E83" s="7" t="str">
        <f>IF(ENGINE!A83="","",ENGINE!A83)</f>
        <v/>
      </c>
      <c r="F83" s="7" t="str">
        <f>IF(ENGINE!A83="","",ENGINE!AI83-ENGINE!D83)</f>
        <v/>
      </c>
      <c r="G83" s="7"/>
      <c r="H83" s="7" t="str">
        <f>IF(ENGINE!A83="","",ENGINE!B83)</f>
        <v/>
      </c>
      <c r="I83" s="7" t="str">
        <f>IF(ENGINE!A83="","",INDEX('PERIODIC ENGINE'!$J$2:$J$102,MATCH(ENGINE!A83,'PERIODIC ENGINE'!$A$2:$A$102,0)))</f>
        <v/>
      </c>
      <c r="J83" s="7" t="str">
        <f>IF(ENGINE!A83="","",500000)</f>
        <v/>
      </c>
      <c r="K83" s="7" t="str">
        <f>IF(ENGINE!A83="","",1000000)</f>
        <v/>
      </c>
      <c r="L83" s="7" t="str">
        <f>IF(ENGINE!A83="","",2000000)</f>
        <v/>
      </c>
      <c r="M83" s="7"/>
      <c r="N83" s="7" t="str">
        <f>IF(ENGINE!A83="","",ENGINE!B83)</f>
        <v/>
      </c>
      <c r="O83" s="7" t="str">
        <f>IF(ENGINE!A83="","",ENGINE!D83)</f>
        <v/>
      </c>
      <c r="P83" s="7" t="str">
        <f>IF(ENGINE!A83="","",ENGINE!K83)</f>
        <v/>
      </c>
      <c r="Q83" s="7"/>
      <c r="R83" s="7" t="str">
        <f>IF(ENGINE!A83="","",ENGINE!A83)</f>
        <v/>
      </c>
      <c r="S83" s="7" t="str">
        <f>IF(ENGINE!A83="","",ENGINE!AC83)</f>
        <v/>
      </c>
      <c r="T83" s="7" t="str">
        <f>IF(ENGINE!A83="","",ENGINE!AD83)</f>
        <v/>
      </c>
      <c r="U83" s="7" t="str">
        <f>IF(ENGINE!A83="","",ENGINE!AG83)</f>
        <v/>
      </c>
      <c r="V83" s="7" t="str">
        <f>IF(ENGINE!A83="","",ENGINE!AI83)</f>
        <v/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ht="18" customHeight="1" x14ac:dyDescent="0.25">
      <c r="A84" s="7" t="str">
        <f>IF(ENGINE!A84="","",ENGINE!B84)</f>
        <v/>
      </c>
      <c r="B84" s="7" t="str">
        <f>IF(ENGINE!A84="","",INDEX('PERIODIC ENGINE'!$J$2:$J$102,MATCH(ENGINE!A84,'PERIODIC ENGINE'!$A$2:$A$102,0)))</f>
        <v/>
      </c>
      <c r="C84" s="7" t="str">
        <f>IF(B84="","",B84/(1+INPUTS!$C$11)^ENGINE!A84)</f>
        <v/>
      </c>
      <c r="D84" s="7"/>
      <c r="E84" s="7" t="str">
        <f>IF(ENGINE!A84="","",ENGINE!A84)</f>
        <v/>
      </c>
      <c r="F84" s="7" t="str">
        <f>IF(ENGINE!A84="","",ENGINE!AI84-ENGINE!D84)</f>
        <v/>
      </c>
      <c r="G84" s="7"/>
      <c r="H84" s="7" t="str">
        <f>IF(ENGINE!A84="","",ENGINE!B84)</f>
        <v/>
      </c>
      <c r="I84" s="7" t="str">
        <f>IF(ENGINE!A84="","",INDEX('PERIODIC ENGINE'!$J$2:$J$102,MATCH(ENGINE!A84,'PERIODIC ENGINE'!$A$2:$A$102,0)))</f>
        <v/>
      </c>
      <c r="J84" s="7" t="str">
        <f>IF(ENGINE!A84="","",500000)</f>
        <v/>
      </c>
      <c r="K84" s="7" t="str">
        <f>IF(ENGINE!A84="","",1000000)</f>
        <v/>
      </c>
      <c r="L84" s="7" t="str">
        <f>IF(ENGINE!A84="","",2000000)</f>
        <v/>
      </c>
      <c r="M84" s="7"/>
      <c r="N84" s="7" t="str">
        <f>IF(ENGINE!A84="","",ENGINE!B84)</f>
        <v/>
      </c>
      <c r="O84" s="7" t="str">
        <f>IF(ENGINE!A84="","",ENGINE!D84)</f>
        <v/>
      </c>
      <c r="P84" s="7" t="str">
        <f>IF(ENGINE!A84="","",ENGINE!K84)</f>
        <v/>
      </c>
      <c r="Q84" s="7"/>
      <c r="R84" s="7" t="str">
        <f>IF(ENGINE!A84="","",ENGINE!A84)</f>
        <v/>
      </c>
      <c r="S84" s="7" t="str">
        <f>IF(ENGINE!A84="","",ENGINE!AC84)</f>
        <v/>
      </c>
      <c r="T84" s="7" t="str">
        <f>IF(ENGINE!A84="","",ENGINE!AD84)</f>
        <v/>
      </c>
      <c r="U84" s="7" t="str">
        <f>IF(ENGINE!A84="","",ENGINE!AG84)</f>
        <v/>
      </c>
      <c r="V84" s="7" t="str">
        <f>IF(ENGINE!A84="","",ENGINE!AI84)</f>
        <v/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1:52" ht="18" customHeight="1" x14ac:dyDescent="0.25">
      <c r="A85" s="7" t="str">
        <f>IF(ENGINE!A85="","",ENGINE!B85)</f>
        <v/>
      </c>
      <c r="B85" s="7" t="str">
        <f>IF(ENGINE!A85="","",INDEX('PERIODIC ENGINE'!$J$2:$J$102,MATCH(ENGINE!A85,'PERIODIC ENGINE'!$A$2:$A$102,0)))</f>
        <v/>
      </c>
      <c r="C85" s="7" t="str">
        <f>IF(B85="","",B85/(1+INPUTS!$C$11)^ENGINE!A85)</f>
        <v/>
      </c>
      <c r="D85" s="7"/>
      <c r="E85" s="7" t="str">
        <f>IF(ENGINE!A85="","",ENGINE!A85)</f>
        <v/>
      </c>
      <c r="F85" s="7" t="str">
        <f>IF(ENGINE!A85="","",ENGINE!AI85-ENGINE!D85)</f>
        <v/>
      </c>
      <c r="G85" s="7"/>
      <c r="H85" s="7" t="str">
        <f>IF(ENGINE!A85="","",ENGINE!B85)</f>
        <v/>
      </c>
      <c r="I85" s="7" t="str">
        <f>IF(ENGINE!A85="","",INDEX('PERIODIC ENGINE'!$J$2:$J$102,MATCH(ENGINE!A85,'PERIODIC ENGINE'!$A$2:$A$102,0)))</f>
        <v/>
      </c>
      <c r="J85" s="7" t="str">
        <f>IF(ENGINE!A85="","",500000)</f>
        <v/>
      </c>
      <c r="K85" s="7" t="str">
        <f>IF(ENGINE!A85="","",1000000)</f>
        <v/>
      </c>
      <c r="L85" s="7" t="str">
        <f>IF(ENGINE!A85="","",2000000)</f>
        <v/>
      </c>
      <c r="M85" s="7"/>
      <c r="N85" s="7" t="str">
        <f>IF(ENGINE!A85="","",ENGINE!B85)</f>
        <v/>
      </c>
      <c r="O85" s="7" t="str">
        <f>IF(ENGINE!A85="","",ENGINE!D85)</f>
        <v/>
      </c>
      <c r="P85" s="7" t="str">
        <f>IF(ENGINE!A85="","",ENGINE!K85)</f>
        <v/>
      </c>
      <c r="Q85" s="7"/>
      <c r="R85" s="7" t="str">
        <f>IF(ENGINE!A85="","",ENGINE!A85)</f>
        <v/>
      </c>
      <c r="S85" s="7" t="str">
        <f>IF(ENGINE!A85="","",ENGINE!AC85)</f>
        <v/>
      </c>
      <c r="T85" s="7" t="str">
        <f>IF(ENGINE!A85="","",ENGINE!AD85)</f>
        <v/>
      </c>
      <c r="U85" s="7" t="str">
        <f>IF(ENGINE!A85="","",ENGINE!AG85)</f>
        <v/>
      </c>
      <c r="V85" s="7" t="str">
        <f>IF(ENGINE!A85="","",ENGINE!AI85)</f>
        <v/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1:52" ht="18" customHeight="1" x14ac:dyDescent="0.25">
      <c r="A86" s="7" t="str">
        <f>IF(ENGINE!A86="","",ENGINE!B86)</f>
        <v/>
      </c>
      <c r="B86" s="7" t="str">
        <f>IF(ENGINE!A86="","",INDEX('PERIODIC ENGINE'!$J$2:$J$102,MATCH(ENGINE!A86,'PERIODIC ENGINE'!$A$2:$A$102,0)))</f>
        <v/>
      </c>
      <c r="C86" s="7" t="str">
        <f>IF(B86="","",B86/(1+INPUTS!$C$11)^ENGINE!A86)</f>
        <v/>
      </c>
      <c r="D86" s="7"/>
      <c r="E86" s="7" t="str">
        <f>IF(ENGINE!A86="","",ENGINE!A86)</f>
        <v/>
      </c>
      <c r="F86" s="7" t="str">
        <f>IF(ENGINE!A86="","",ENGINE!AI86-ENGINE!D86)</f>
        <v/>
      </c>
      <c r="G86" s="7"/>
      <c r="H86" s="7" t="str">
        <f>IF(ENGINE!A86="","",ENGINE!B86)</f>
        <v/>
      </c>
      <c r="I86" s="7" t="str">
        <f>IF(ENGINE!A86="","",INDEX('PERIODIC ENGINE'!$J$2:$J$102,MATCH(ENGINE!A86,'PERIODIC ENGINE'!$A$2:$A$102,0)))</f>
        <v/>
      </c>
      <c r="J86" s="7" t="str">
        <f>IF(ENGINE!A86="","",500000)</f>
        <v/>
      </c>
      <c r="K86" s="7" t="str">
        <f>IF(ENGINE!A86="","",1000000)</f>
        <v/>
      </c>
      <c r="L86" s="7" t="str">
        <f>IF(ENGINE!A86="","",2000000)</f>
        <v/>
      </c>
      <c r="M86" s="7"/>
      <c r="N86" s="7" t="str">
        <f>IF(ENGINE!A86="","",ENGINE!B86)</f>
        <v/>
      </c>
      <c r="O86" s="7" t="str">
        <f>IF(ENGINE!A86="","",ENGINE!D86)</f>
        <v/>
      </c>
      <c r="P86" s="7" t="str">
        <f>IF(ENGINE!A86="","",ENGINE!K86)</f>
        <v/>
      </c>
      <c r="Q86" s="7"/>
      <c r="R86" s="7" t="str">
        <f>IF(ENGINE!A86="","",ENGINE!A86)</f>
        <v/>
      </c>
      <c r="S86" s="7" t="str">
        <f>IF(ENGINE!A86="","",ENGINE!AC86)</f>
        <v/>
      </c>
      <c r="T86" s="7" t="str">
        <f>IF(ENGINE!A86="","",ENGINE!AD86)</f>
        <v/>
      </c>
      <c r="U86" s="7" t="str">
        <f>IF(ENGINE!A86="","",ENGINE!AG86)</f>
        <v/>
      </c>
      <c r="V86" s="7" t="str">
        <f>IF(ENGINE!A86="","",ENGINE!AI86)</f>
        <v/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ht="18" customHeight="1" x14ac:dyDescent="0.25">
      <c r="A87" s="7" t="str">
        <f>IF(ENGINE!A87="","",ENGINE!B87)</f>
        <v/>
      </c>
      <c r="B87" s="7" t="str">
        <f>IF(ENGINE!A87="","",INDEX('PERIODIC ENGINE'!$J$2:$J$102,MATCH(ENGINE!A87,'PERIODIC ENGINE'!$A$2:$A$102,0)))</f>
        <v/>
      </c>
      <c r="C87" s="7" t="str">
        <f>IF(B87="","",B87/(1+INPUTS!$C$11)^ENGINE!A87)</f>
        <v/>
      </c>
      <c r="D87" s="7"/>
      <c r="E87" s="7" t="str">
        <f>IF(ENGINE!A87="","",ENGINE!A87)</f>
        <v/>
      </c>
      <c r="F87" s="7" t="str">
        <f>IF(ENGINE!A87="","",ENGINE!AI87-ENGINE!D87)</f>
        <v/>
      </c>
      <c r="G87" s="7"/>
      <c r="H87" s="7" t="str">
        <f>IF(ENGINE!A87="","",ENGINE!B87)</f>
        <v/>
      </c>
      <c r="I87" s="7" t="str">
        <f>IF(ENGINE!A87="","",INDEX('PERIODIC ENGINE'!$J$2:$J$102,MATCH(ENGINE!A87,'PERIODIC ENGINE'!$A$2:$A$102,0)))</f>
        <v/>
      </c>
      <c r="J87" s="7" t="str">
        <f>IF(ENGINE!A87="","",500000)</f>
        <v/>
      </c>
      <c r="K87" s="7" t="str">
        <f>IF(ENGINE!A87="","",1000000)</f>
        <v/>
      </c>
      <c r="L87" s="7" t="str">
        <f>IF(ENGINE!A87="","",2000000)</f>
        <v/>
      </c>
      <c r="M87" s="7"/>
      <c r="N87" s="7" t="str">
        <f>IF(ENGINE!A87="","",ENGINE!B87)</f>
        <v/>
      </c>
      <c r="O87" s="7" t="str">
        <f>IF(ENGINE!A87="","",ENGINE!D87)</f>
        <v/>
      </c>
      <c r="P87" s="7" t="str">
        <f>IF(ENGINE!A87="","",ENGINE!K87)</f>
        <v/>
      </c>
      <c r="Q87" s="7"/>
      <c r="R87" s="7" t="str">
        <f>IF(ENGINE!A87="","",ENGINE!A87)</f>
        <v/>
      </c>
      <c r="S87" s="7" t="str">
        <f>IF(ENGINE!A87="","",ENGINE!AC87)</f>
        <v/>
      </c>
      <c r="T87" s="7" t="str">
        <f>IF(ENGINE!A87="","",ENGINE!AD87)</f>
        <v/>
      </c>
      <c r="U87" s="7" t="str">
        <f>IF(ENGINE!A87="","",ENGINE!AG87)</f>
        <v/>
      </c>
      <c r="V87" s="7" t="str">
        <f>IF(ENGINE!A87="","",ENGINE!AI87)</f>
        <v/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1:52" ht="18" customHeight="1" x14ac:dyDescent="0.25">
      <c r="A88" s="7" t="str">
        <f>IF(ENGINE!A88="","",ENGINE!B88)</f>
        <v/>
      </c>
      <c r="B88" s="7" t="str">
        <f>IF(ENGINE!A88="","",INDEX('PERIODIC ENGINE'!$J$2:$J$102,MATCH(ENGINE!A88,'PERIODIC ENGINE'!$A$2:$A$102,0)))</f>
        <v/>
      </c>
      <c r="C88" s="7" t="str">
        <f>IF(B88="","",B88/(1+INPUTS!$C$11)^ENGINE!A88)</f>
        <v/>
      </c>
      <c r="D88" s="7"/>
      <c r="E88" s="7" t="str">
        <f>IF(ENGINE!A88="","",ENGINE!A88)</f>
        <v/>
      </c>
      <c r="F88" s="7" t="str">
        <f>IF(ENGINE!A88="","",ENGINE!AI88-ENGINE!D88)</f>
        <v/>
      </c>
      <c r="G88" s="7"/>
      <c r="H88" s="7" t="str">
        <f>IF(ENGINE!A88="","",ENGINE!B88)</f>
        <v/>
      </c>
      <c r="I88" s="7" t="str">
        <f>IF(ENGINE!A88="","",INDEX('PERIODIC ENGINE'!$J$2:$J$102,MATCH(ENGINE!A88,'PERIODIC ENGINE'!$A$2:$A$102,0)))</f>
        <v/>
      </c>
      <c r="J88" s="7" t="str">
        <f>IF(ENGINE!A88="","",500000)</f>
        <v/>
      </c>
      <c r="K88" s="7" t="str">
        <f>IF(ENGINE!A88="","",1000000)</f>
        <v/>
      </c>
      <c r="L88" s="7" t="str">
        <f>IF(ENGINE!A88="","",2000000)</f>
        <v/>
      </c>
      <c r="M88" s="7"/>
      <c r="N88" s="7" t="str">
        <f>IF(ENGINE!A88="","",ENGINE!B88)</f>
        <v/>
      </c>
      <c r="O88" s="7" t="str">
        <f>IF(ENGINE!A88="","",ENGINE!D88)</f>
        <v/>
      </c>
      <c r="P88" s="7" t="str">
        <f>IF(ENGINE!A88="","",ENGINE!K88)</f>
        <v/>
      </c>
      <c r="Q88" s="7"/>
      <c r="R88" s="7" t="str">
        <f>IF(ENGINE!A88="","",ENGINE!A88)</f>
        <v/>
      </c>
      <c r="S88" s="7" t="str">
        <f>IF(ENGINE!A88="","",ENGINE!AC88)</f>
        <v/>
      </c>
      <c r="T88" s="7" t="str">
        <f>IF(ENGINE!A88="","",ENGINE!AD88)</f>
        <v/>
      </c>
      <c r="U88" s="7" t="str">
        <f>IF(ENGINE!A88="","",ENGINE!AG88)</f>
        <v/>
      </c>
      <c r="V88" s="7" t="str">
        <f>IF(ENGINE!A88="","",ENGINE!AI88)</f>
        <v/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1:52" ht="18" customHeight="1" x14ac:dyDescent="0.25">
      <c r="A89" s="7" t="str">
        <f>IF(ENGINE!A89="","",ENGINE!B89)</f>
        <v/>
      </c>
      <c r="B89" s="7" t="str">
        <f>IF(ENGINE!A89="","",INDEX('PERIODIC ENGINE'!$J$2:$J$102,MATCH(ENGINE!A89,'PERIODIC ENGINE'!$A$2:$A$102,0)))</f>
        <v/>
      </c>
      <c r="C89" s="7" t="str">
        <f>IF(B89="","",B89/(1+INPUTS!$C$11)^ENGINE!A89)</f>
        <v/>
      </c>
      <c r="D89" s="7"/>
      <c r="E89" s="7" t="str">
        <f>IF(ENGINE!A89="","",ENGINE!A89)</f>
        <v/>
      </c>
      <c r="F89" s="7" t="str">
        <f>IF(ENGINE!A89="","",ENGINE!AI89-ENGINE!D89)</f>
        <v/>
      </c>
      <c r="G89" s="7"/>
      <c r="H89" s="7" t="str">
        <f>IF(ENGINE!A89="","",ENGINE!B89)</f>
        <v/>
      </c>
      <c r="I89" s="7" t="str">
        <f>IF(ENGINE!A89="","",INDEX('PERIODIC ENGINE'!$J$2:$J$102,MATCH(ENGINE!A89,'PERIODIC ENGINE'!$A$2:$A$102,0)))</f>
        <v/>
      </c>
      <c r="J89" s="7" t="str">
        <f>IF(ENGINE!A89="","",500000)</f>
        <v/>
      </c>
      <c r="K89" s="7" t="str">
        <f>IF(ENGINE!A89="","",1000000)</f>
        <v/>
      </c>
      <c r="L89" s="7" t="str">
        <f>IF(ENGINE!A89="","",2000000)</f>
        <v/>
      </c>
      <c r="M89" s="7"/>
      <c r="N89" s="7" t="str">
        <f>IF(ENGINE!A89="","",ENGINE!B89)</f>
        <v/>
      </c>
      <c r="O89" s="7" t="str">
        <f>IF(ENGINE!A89="","",ENGINE!D89)</f>
        <v/>
      </c>
      <c r="P89" s="7" t="str">
        <f>IF(ENGINE!A89="","",ENGINE!K89)</f>
        <v/>
      </c>
      <c r="Q89" s="7"/>
      <c r="R89" s="7" t="str">
        <f>IF(ENGINE!A89="","",ENGINE!A89)</f>
        <v/>
      </c>
      <c r="S89" s="7" t="str">
        <f>IF(ENGINE!A89="","",ENGINE!AC89)</f>
        <v/>
      </c>
      <c r="T89" s="7" t="str">
        <f>IF(ENGINE!A89="","",ENGINE!AD89)</f>
        <v/>
      </c>
      <c r="U89" s="7" t="str">
        <f>IF(ENGINE!A89="","",ENGINE!AG89)</f>
        <v/>
      </c>
      <c r="V89" s="7" t="str">
        <f>IF(ENGINE!A89="","",ENGINE!AI89)</f>
        <v/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 ht="18" customHeight="1" x14ac:dyDescent="0.25">
      <c r="A90" s="7" t="str">
        <f>IF(ENGINE!A90="","",ENGINE!B90)</f>
        <v/>
      </c>
      <c r="B90" s="7" t="str">
        <f>IF(ENGINE!A90="","",INDEX('PERIODIC ENGINE'!$J$2:$J$102,MATCH(ENGINE!A90,'PERIODIC ENGINE'!$A$2:$A$102,0)))</f>
        <v/>
      </c>
      <c r="C90" s="7" t="str">
        <f>IF(B90="","",B90/(1+INPUTS!$C$11)^ENGINE!A90)</f>
        <v/>
      </c>
      <c r="D90" s="7"/>
      <c r="E90" s="7" t="str">
        <f>IF(ENGINE!A90="","",ENGINE!A90)</f>
        <v/>
      </c>
      <c r="F90" s="7" t="str">
        <f>IF(ENGINE!A90="","",ENGINE!AI90-ENGINE!D90)</f>
        <v/>
      </c>
      <c r="G90" s="7"/>
      <c r="H90" s="7" t="str">
        <f>IF(ENGINE!A90="","",ENGINE!B90)</f>
        <v/>
      </c>
      <c r="I90" s="7" t="str">
        <f>IF(ENGINE!A90="","",INDEX('PERIODIC ENGINE'!$J$2:$J$102,MATCH(ENGINE!A90,'PERIODIC ENGINE'!$A$2:$A$102,0)))</f>
        <v/>
      </c>
      <c r="J90" s="7" t="str">
        <f>IF(ENGINE!A90="","",500000)</f>
        <v/>
      </c>
      <c r="K90" s="7" t="str">
        <f>IF(ENGINE!A90="","",1000000)</f>
        <v/>
      </c>
      <c r="L90" s="7" t="str">
        <f>IF(ENGINE!A90="","",2000000)</f>
        <v/>
      </c>
      <c r="M90" s="7"/>
      <c r="N90" s="7" t="str">
        <f>IF(ENGINE!A90="","",ENGINE!B90)</f>
        <v/>
      </c>
      <c r="O90" s="7" t="str">
        <f>IF(ENGINE!A90="","",ENGINE!D90)</f>
        <v/>
      </c>
      <c r="P90" s="7" t="str">
        <f>IF(ENGINE!A90="","",ENGINE!K90)</f>
        <v/>
      </c>
      <c r="Q90" s="7"/>
      <c r="R90" s="7" t="str">
        <f>IF(ENGINE!A90="","",ENGINE!A90)</f>
        <v/>
      </c>
      <c r="S90" s="7" t="str">
        <f>IF(ENGINE!A90="","",ENGINE!AC90)</f>
        <v/>
      </c>
      <c r="T90" s="7" t="str">
        <f>IF(ENGINE!A90="","",ENGINE!AD90)</f>
        <v/>
      </c>
      <c r="U90" s="7" t="str">
        <f>IF(ENGINE!A90="","",ENGINE!AG90)</f>
        <v/>
      </c>
      <c r="V90" s="7" t="str">
        <f>IF(ENGINE!A90="","",ENGINE!AI90)</f>
        <v/>
      </c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1:52" ht="18" customHeight="1" x14ac:dyDescent="0.25">
      <c r="A91" s="7" t="str">
        <f>IF(ENGINE!A91="","",ENGINE!B91)</f>
        <v/>
      </c>
      <c r="B91" s="7" t="str">
        <f>IF(ENGINE!A91="","",INDEX('PERIODIC ENGINE'!$J$2:$J$102,MATCH(ENGINE!A91,'PERIODIC ENGINE'!$A$2:$A$102,0)))</f>
        <v/>
      </c>
      <c r="C91" s="7" t="str">
        <f>IF(B91="","",B91/(1+INPUTS!$C$11)^ENGINE!A91)</f>
        <v/>
      </c>
      <c r="D91" s="7"/>
      <c r="E91" s="7" t="str">
        <f>IF(ENGINE!A91="","",ENGINE!A91)</f>
        <v/>
      </c>
      <c r="F91" s="7" t="str">
        <f>IF(ENGINE!A91="","",ENGINE!AI91-ENGINE!D91)</f>
        <v/>
      </c>
      <c r="G91" s="7"/>
      <c r="H91" s="7" t="str">
        <f>IF(ENGINE!A91="","",ENGINE!B91)</f>
        <v/>
      </c>
      <c r="I91" s="7" t="str">
        <f>IF(ENGINE!A91="","",INDEX('PERIODIC ENGINE'!$J$2:$J$102,MATCH(ENGINE!A91,'PERIODIC ENGINE'!$A$2:$A$102,0)))</f>
        <v/>
      </c>
      <c r="J91" s="7" t="str">
        <f>IF(ENGINE!A91="","",500000)</f>
        <v/>
      </c>
      <c r="K91" s="7" t="str">
        <f>IF(ENGINE!A91="","",1000000)</f>
        <v/>
      </c>
      <c r="L91" s="7" t="str">
        <f>IF(ENGINE!A91="","",2000000)</f>
        <v/>
      </c>
      <c r="M91" s="7"/>
      <c r="N91" s="7" t="str">
        <f>IF(ENGINE!A91="","",ENGINE!B91)</f>
        <v/>
      </c>
      <c r="O91" s="7" t="str">
        <f>IF(ENGINE!A91="","",ENGINE!D91)</f>
        <v/>
      </c>
      <c r="P91" s="7" t="str">
        <f>IF(ENGINE!A91="","",ENGINE!K91)</f>
        <v/>
      </c>
      <c r="Q91" s="7"/>
      <c r="R91" s="7" t="str">
        <f>IF(ENGINE!A91="","",ENGINE!A91)</f>
        <v/>
      </c>
      <c r="S91" s="7" t="str">
        <f>IF(ENGINE!A91="","",ENGINE!AC91)</f>
        <v/>
      </c>
      <c r="T91" s="7" t="str">
        <f>IF(ENGINE!A91="","",ENGINE!AD91)</f>
        <v/>
      </c>
      <c r="U91" s="7" t="str">
        <f>IF(ENGINE!A91="","",ENGINE!AG91)</f>
        <v/>
      </c>
      <c r="V91" s="7" t="str">
        <f>IF(ENGINE!A91="","",ENGINE!AI91)</f>
        <v/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1:52" ht="18" customHeight="1" x14ac:dyDescent="0.25">
      <c r="A92" s="7" t="str">
        <f>IF(ENGINE!A92="","",ENGINE!B92)</f>
        <v/>
      </c>
      <c r="B92" s="7" t="str">
        <f>IF(ENGINE!A92="","",INDEX('PERIODIC ENGINE'!$J$2:$J$102,MATCH(ENGINE!A92,'PERIODIC ENGINE'!$A$2:$A$102,0)))</f>
        <v/>
      </c>
      <c r="C92" s="7" t="str">
        <f>IF(B92="","",B92/(1+INPUTS!$C$11)^ENGINE!A92)</f>
        <v/>
      </c>
      <c r="D92" s="7"/>
      <c r="E92" s="7" t="str">
        <f>IF(ENGINE!A92="","",ENGINE!A92)</f>
        <v/>
      </c>
      <c r="F92" s="7" t="str">
        <f>IF(ENGINE!A92="","",ENGINE!AI92-ENGINE!D92)</f>
        <v/>
      </c>
      <c r="G92" s="7"/>
      <c r="H92" s="7" t="str">
        <f>IF(ENGINE!A92="","",ENGINE!B92)</f>
        <v/>
      </c>
      <c r="I92" s="7" t="str">
        <f>IF(ENGINE!A92="","",INDEX('PERIODIC ENGINE'!$J$2:$J$102,MATCH(ENGINE!A92,'PERIODIC ENGINE'!$A$2:$A$102,0)))</f>
        <v/>
      </c>
      <c r="J92" s="7" t="str">
        <f>IF(ENGINE!A92="","",500000)</f>
        <v/>
      </c>
      <c r="K92" s="7" t="str">
        <f>IF(ENGINE!A92="","",1000000)</f>
        <v/>
      </c>
      <c r="L92" s="7" t="str">
        <f>IF(ENGINE!A92="","",2000000)</f>
        <v/>
      </c>
      <c r="M92" s="7"/>
      <c r="N92" s="7" t="str">
        <f>IF(ENGINE!A92="","",ENGINE!B92)</f>
        <v/>
      </c>
      <c r="O92" s="7" t="str">
        <f>IF(ENGINE!A92="","",ENGINE!D92)</f>
        <v/>
      </c>
      <c r="P92" s="7" t="str">
        <f>IF(ENGINE!A92="","",ENGINE!K92)</f>
        <v/>
      </c>
      <c r="Q92" s="7"/>
      <c r="R92" s="7" t="str">
        <f>IF(ENGINE!A92="","",ENGINE!A92)</f>
        <v/>
      </c>
      <c r="S92" s="7" t="str">
        <f>IF(ENGINE!A92="","",ENGINE!AC92)</f>
        <v/>
      </c>
      <c r="T92" s="7" t="str">
        <f>IF(ENGINE!A92="","",ENGINE!AD92)</f>
        <v/>
      </c>
      <c r="U92" s="7" t="str">
        <f>IF(ENGINE!A92="","",ENGINE!AG92)</f>
        <v/>
      </c>
      <c r="V92" s="7" t="str">
        <f>IF(ENGINE!A92="","",ENGINE!AI92)</f>
        <v/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1:52" ht="18" customHeight="1" x14ac:dyDescent="0.25">
      <c r="A93" s="7" t="str">
        <f>IF(ENGINE!A93="","",ENGINE!B93)</f>
        <v/>
      </c>
      <c r="B93" s="7" t="str">
        <f>IF(ENGINE!A93="","",INDEX('PERIODIC ENGINE'!$J$2:$J$102,MATCH(ENGINE!A93,'PERIODIC ENGINE'!$A$2:$A$102,0)))</f>
        <v/>
      </c>
      <c r="C93" s="7" t="str">
        <f>IF(B93="","",B93/(1+INPUTS!$C$11)^ENGINE!A93)</f>
        <v/>
      </c>
      <c r="D93" s="7"/>
      <c r="E93" s="7" t="str">
        <f>IF(ENGINE!A93="","",ENGINE!A93)</f>
        <v/>
      </c>
      <c r="F93" s="7" t="str">
        <f>IF(ENGINE!A93="","",ENGINE!AI93-ENGINE!D93)</f>
        <v/>
      </c>
      <c r="G93" s="7"/>
      <c r="H93" s="7" t="str">
        <f>IF(ENGINE!A93="","",ENGINE!B93)</f>
        <v/>
      </c>
      <c r="I93" s="7" t="str">
        <f>IF(ENGINE!A93="","",INDEX('PERIODIC ENGINE'!$J$2:$J$102,MATCH(ENGINE!A93,'PERIODIC ENGINE'!$A$2:$A$102,0)))</f>
        <v/>
      </c>
      <c r="J93" s="7" t="str">
        <f>IF(ENGINE!A93="","",500000)</f>
        <v/>
      </c>
      <c r="K93" s="7" t="str">
        <f>IF(ENGINE!A93="","",1000000)</f>
        <v/>
      </c>
      <c r="L93" s="7" t="str">
        <f>IF(ENGINE!A93="","",2000000)</f>
        <v/>
      </c>
      <c r="M93" s="7"/>
      <c r="N93" s="7" t="str">
        <f>IF(ENGINE!A93="","",ENGINE!B93)</f>
        <v/>
      </c>
      <c r="O93" s="7" t="str">
        <f>IF(ENGINE!A93="","",ENGINE!D93)</f>
        <v/>
      </c>
      <c r="P93" s="7" t="str">
        <f>IF(ENGINE!A93="","",ENGINE!K93)</f>
        <v/>
      </c>
      <c r="Q93" s="7"/>
      <c r="R93" s="7" t="str">
        <f>IF(ENGINE!A93="","",ENGINE!A93)</f>
        <v/>
      </c>
      <c r="S93" s="7" t="str">
        <f>IF(ENGINE!A93="","",ENGINE!AC93)</f>
        <v/>
      </c>
      <c r="T93" s="7" t="str">
        <f>IF(ENGINE!A93="","",ENGINE!AD93)</f>
        <v/>
      </c>
      <c r="U93" s="7" t="str">
        <f>IF(ENGINE!A93="","",ENGINE!AG93)</f>
        <v/>
      </c>
      <c r="V93" s="7" t="str">
        <f>IF(ENGINE!A93="","",ENGINE!AI93)</f>
        <v/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1:52" ht="18" customHeight="1" x14ac:dyDescent="0.25">
      <c r="A94" s="7" t="str">
        <f>IF(ENGINE!A94="","",ENGINE!B94)</f>
        <v/>
      </c>
      <c r="B94" s="7" t="str">
        <f>IF(ENGINE!A94="","",INDEX('PERIODIC ENGINE'!$J$2:$J$102,MATCH(ENGINE!A94,'PERIODIC ENGINE'!$A$2:$A$102,0)))</f>
        <v/>
      </c>
      <c r="C94" s="7" t="str">
        <f>IF(B94="","",B94/(1+INPUTS!$C$11)^ENGINE!A94)</f>
        <v/>
      </c>
      <c r="D94" s="7"/>
      <c r="E94" s="7" t="str">
        <f>IF(ENGINE!A94="","",ENGINE!A94)</f>
        <v/>
      </c>
      <c r="F94" s="7" t="str">
        <f>IF(ENGINE!A94="","",ENGINE!AI94-ENGINE!D94)</f>
        <v/>
      </c>
      <c r="G94" s="7"/>
      <c r="H94" s="7" t="str">
        <f>IF(ENGINE!A94="","",ENGINE!B94)</f>
        <v/>
      </c>
      <c r="I94" s="7" t="str">
        <f>IF(ENGINE!A94="","",INDEX('PERIODIC ENGINE'!$J$2:$J$102,MATCH(ENGINE!A94,'PERIODIC ENGINE'!$A$2:$A$102,0)))</f>
        <v/>
      </c>
      <c r="J94" s="7" t="str">
        <f>IF(ENGINE!A94="","",500000)</f>
        <v/>
      </c>
      <c r="K94" s="7" t="str">
        <f>IF(ENGINE!A94="","",1000000)</f>
        <v/>
      </c>
      <c r="L94" s="7" t="str">
        <f>IF(ENGINE!A94="","",2000000)</f>
        <v/>
      </c>
      <c r="M94" s="7"/>
      <c r="N94" s="7" t="str">
        <f>IF(ENGINE!A94="","",ENGINE!B94)</f>
        <v/>
      </c>
      <c r="O94" s="7" t="str">
        <f>IF(ENGINE!A94="","",ENGINE!D94)</f>
        <v/>
      </c>
      <c r="P94" s="7" t="str">
        <f>IF(ENGINE!A94="","",ENGINE!K94)</f>
        <v/>
      </c>
      <c r="Q94" s="7"/>
      <c r="R94" s="7" t="str">
        <f>IF(ENGINE!A94="","",ENGINE!A94)</f>
        <v/>
      </c>
      <c r="S94" s="7" t="str">
        <f>IF(ENGINE!A94="","",ENGINE!AC94)</f>
        <v/>
      </c>
      <c r="T94" s="7" t="str">
        <f>IF(ENGINE!A94="","",ENGINE!AD94)</f>
        <v/>
      </c>
      <c r="U94" s="7" t="str">
        <f>IF(ENGINE!A94="","",ENGINE!AG94)</f>
        <v/>
      </c>
      <c r="V94" s="7" t="str">
        <f>IF(ENGINE!A94="","",ENGINE!AI94)</f>
        <v/>
      </c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1:52" ht="18" customHeight="1" x14ac:dyDescent="0.25">
      <c r="A95" s="7" t="str">
        <f>IF(ENGINE!A95="","",ENGINE!B95)</f>
        <v/>
      </c>
      <c r="B95" s="7" t="str">
        <f>IF(ENGINE!A95="","",INDEX('PERIODIC ENGINE'!$J$2:$J$102,MATCH(ENGINE!A95,'PERIODIC ENGINE'!$A$2:$A$102,0)))</f>
        <v/>
      </c>
      <c r="C95" s="7" t="str">
        <f>IF(B95="","",B95/(1+INPUTS!$C$11)^ENGINE!A95)</f>
        <v/>
      </c>
      <c r="D95" s="7"/>
      <c r="E95" s="7" t="str">
        <f>IF(ENGINE!A95="","",ENGINE!A95)</f>
        <v/>
      </c>
      <c r="F95" s="7" t="str">
        <f>IF(ENGINE!A95="","",ENGINE!AI95-ENGINE!D95)</f>
        <v/>
      </c>
      <c r="G95" s="7"/>
      <c r="H95" s="7" t="str">
        <f>IF(ENGINE!A95="","",ENGINE!B95)</f>
        <v/>
      </c>
      <c r="I95" s="7" t="str">
        <f>IF(ENGINE!A95="","",INDEX('PERIODIC ENGINE'!$J$2:$J$102,MATCH(ENGINE!A95,'PERIODIC ENGINE'!$A$2:$A$102,0)))</f>
        <v/>
      </c>
      <c r="J95" s="7" t="str">
        <f>IF(ENGINE!A95="","",500000)</f>
        <v/>
      </c>
      <c r="K95" s="7" t="str">
        <f>IF(ENGINE!A95="","",1000000)</f>
        <v/>
      </c>
      <c r="L95" s="7" t="str">
        <f>IF(ENGINE!A95="","",2000000)</f>
        <v/>
      </c>
      <c r="M95" s="7"/>
      <c r="N95" s="7" t="str">
        <f>IF(ENGINE!A95="","",ENGINE!B95)</f>
        <v/>
      </c>
      <c r="O95" s="7" t="str">
        <f>IF(ENGINE!A95="","",ENGINE!D95)</f>
        <v/>
      </c>
      <c r="P95" s="7" t="str">
        <f>IF(ENGINE!A95="","",ENGINE!K95)</f>
        <v/>
      </c>
      <c r="Q95" s="7"/>
      <c r="R95" s="7" t="str">
        <f>IF(ENGINE!A95="","",ENGINE!A95)</f>
        <v/>
      </c>
      <c r="S95" s="7" t="str">
        <f>IF(ENGINE!A95="","",ENGINE!AC95)</f>
        <v/>
      </c>
      <c r="T95" s="7" t="str">
        <f>IF(ENGINE!A95="","",ENGINE!AD95)</f>
        <v/>
      </c>
      <c r="U95" s="7" t="str">
        <f>IF(ENGINE!A95="","",ENGINE!AG95)</f>
        <v/>
      </c>
      <c r="V95" s="7" t="str">
        <f>IF(ENGINE!A95="","",ENGINE!AI95)</f>
        <v/>
      </c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1:52" ht="18" customHeight="1" x14ac:dyDescent="0.25">
      <c r="A96" s="7" t="str">
        <f>IF(ENGINE!A96="","",ENGINE!B96)</f>
        <v/>
      </c>
      <c r="B96" s="7" t="str">
        <f>IF(ENGINE!A96="","",INDEX('PERIODIC ENGINE'!$J$2:$J$102,MATCH(ENGINE!A96,'PERIODIC ENGINE'!$A$2:$A$102,0)))</f>
        <v/>
      </c>
      <c r="C96" s="7" t="str">
        <f>IF(B96="","",B96/(1+INPUTS!$C$11)^ENGINE!A96)</f>
        <v/>
      </c>
      <c r="D96" s="7"/>
      <c r="E96" s="7" t="str">
        <f>IF(ENGINE!A96="","",ENGINE!A96)</f>
        <v/>
      </c>
      <c r="F96" s="7" t="str">
        <f>IF(ENGINE!A96="","",ENGINE!AI96-ENGINE!D96)</f>
        <v/>
      </c>
      <c r="G96" s="7"/>
      <c r="H96" s="7" t="str">
        <f>IF(ENGINE!A96="","",ENGINE!B96)</f>
        <v/>
      </c>
      <c r="I96" s="7" t="str">
        <f>IF(ENGINE!A96="","",INDEX('PERIODIC ENGINE'!$J$2:$J$102,MATCH(ENGINE!A96,'PERIODIC ENGINE'!$A$2:$A$102,0)))</f>
        <v/>
      </c>
      <c r="J96" s="7" t="str">
        <f>IF(ENGINE!A96="","",500000)</f>
        <v/>
      </c>
      <c r="K96" s="7" t="str">
        <f>IF(ENGINE!A96="","",1000000)</f>
        <v/>
      </c>
      <c r="L96" s="7" t="str">
        <f>IF(ENGINE!A96="","",2000000)</f>
        <v/>
      </c>
      <c r="M96" s="7"/>
      <c r="N96" s="7" t="str">
        <f>IF(ENGINE!A96="","",ENGINE!B96)</f>
        <v/>
      </c>
      <c r="O96" s="7" t="str">
        <f>IF(ENGINE!A96="","",ENGINE!D96)</f>
        <v/>
      </c>
      <c r="P96" s="7" t="str">
        <f>IF(ENGINE!A96="","",ENGINE!K96)</f>
        <v/>
      </c>
      <c r="Q96" s="7"/>
      <c r="R96" s="7" t="str">
        <f>IF(ENGINE!A96="","",ENGINE!A96)</f>
        <v/>
      </c>
      <c r="S96" s="7" t="str">
        <f>IF(ENGINE!A96="","",ENGINE!AC96)</f>
        <v/>
      </c>
      <c r="T96" s="7" t="str">
        <f>IF(ENGINE!A96="","",ENGINE!AD96)</f>
        <v/>
      </c>
      <c r="U96" s="7" t="str">
        <f>IF(ENGINE!A96="","",ENGINE!AG96)</f>
        <v/>
      </c>
      <c r="V96" s="7" t="str">
        <f>IF(ENGINE!A96="","",ENGINE!AI96)</f>
        <v/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1:52" ht="18" customHeight="1" x14ac:dyDescent="0.25">
      <c r="A97" s="7" t="str">
        <f>IF(ENGINE!A97="","",ENGINE!B97)</f>
        <v/>
      </c>
      <c r="B97" s="7" t="str">
        <f>IF(ENGINE!A97="","",INDEX('PERIODIC ENGINE'!$J$2:$J$102,MATCH(ENGINE!A97,'PERIODIC ENGINE'!$A$2:$A$102,0)))</f>
        <v/>
      </c>
      <c r="C97" s="7" t="str">
        <f>IF(B97="","",B97/(1+INPUTS!$C$11)^ENGINE!A97)</f>
        <v/>
      </c>
      <c r="D97" s="7"/>
      <c r="E97" s="7" t="str">
        <f>IF(ENGINE!A97="","",ENGINE!A97)</f>
        <v/>
      </c>
      <c r="F97" s="7" t="str">
        <f>IF(ENGINE!A97="","",ENGINE!AI97-ENGINE!D97)</f>
        <v/>
      </c>
      <c r="G97" s="7"/>
      <c r="H97" s="7" t="str">
        <f>IF(ENGINE!A97="","",ENGINE!B97)</f>
        <v/>
      </c>
      <c r="I97" s="7" t="str">
        <f>IF(ENGINE!A97="","",INDEX('PERIODIC ENGINE'!$J$2:$J$102,MATCH(ENGINE!A97,'PERIODIC ENGINE'!$A$2:$A$102,0)))</f>
        <v/>
      </c>
      <c r="J97" s="7" t="str">
        <f>IF(ENGINE!A97="","",500000)</f>
        <v/>
      </c>
      <c r="K97" s="7" t="str">
        <f>IF(ENGINE!A97="","",1000000)</f>
        <v/>
      </c>
      <c r="L97" s="7" t="str">
        <f>IF(ENGINE!A97="","",2000000)</f>
        <v/>
      </c>
      <c r="M97" s="7"/>
      <c r="N97" s="7" t="str">
        <f>IF(ENGINE!A97="","",ENGINE!B97)</f>
        <v/>
      </c>
      <c r="O97" s="7" t="str">
        <f>IF(ENGINE!A97="","",ENGINE!D97)</f>
        <v/>
      </c>
      <c r="P97" s="7" t="str">
        <f>IF(ENGINE!A97="","",ENGINE!K97)</f>
        <v/>
      </c>
      <c r="Q97" s="7"/>
      <c r="R97" s="7" t="str">
        <f>IF(ENGINE!A97="","",ENGINE!A97)</f>
        <v/>
      </c>
      <c r="S97" s="7" t="str">
        <f>IF(ENGINE!A97="","",ENGINE!AC97)</f>
        <v/>
      </c>
      <c r="T97" s="7" t="str">
        <f>IF(ENGINE!A97="","",ENGINE!AD97)</f>
        <v/>
      </c>
      <c r="U97" s="7" t="str">
        <f>IF(ENGINE!A97="","",ENGINE!AG97)</f>
        <v/>
      </c>
      <c r="V97" s="7" t="str">
        <f>IF(ENGINE!A97="","",ENGINE!AI97)</f>
        <v/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1:52" ht="18" customHeight="1" x14ac:dyDescent="0.25">
      <c r="A98" s="7" t="str">
        <f>IF(ENGINE!A98="","",ENGINE!B98)</f>
        <v/>
      </c>
      <c r="B98" s="7" t="str">
        <f>IF(ENGINE!A98="","",INDEX('PERIODIC ENGINE'!$J$2:$J$102,MATCH(ENGINE!A98,'PERIODIC ENGINE'!$A$2:$A$102,0)))</f>
        <v/>
      </c>
      <c r="C98" s="7" t="str">
        <f>IF(B98="","",B98/(1+INPUTS!$C$11)^ENGINE!A98)</f>
        <v/>
      </c>
      <c r="D98" s="7"/>
      <c r="E98" s="7" t="str">
        <f>IF(ENGINE!A98="","",ENGINE!A98)</f>
        <v/>
      </c>
      <c r="F98" s="7" t="str">
        <f>IF(ENGINE!A98="","",ENGINE!AI98-ENGINE!D98)</f>
        <v/>
      </c>
      <c r="G98" s="7"/>
      <c r="H98" s="7" t="str">
        <f>IF(ENGINE!A98="","",ENGINE!B98)</f>
        <v/>
      </c>
      <c r="I98" s="7" t="str">
        <f>IF(ENGINE!A98="","",INDEX('PERIODIC ENGINE'!$J$2:$J$102,MATCH(ENGINE!A98,'PERIODIC ENGINE'!$A$2:$A$102,0)))</f>
        <v/>
      </c>
      <c r="J98" s="7" t="str">
        <f>IF(ENGINE!A98="","",500000)</f>
        <v/>
      </c>
      <c r="K98" s="7" t="str">
        <f>IF(ENGINE!A98="","",1000000)</f>
        <v/>
      </c>
      <c r="L98" s="7" t="str">
        <f>IF(ENGINE!A98="","",2000000)</f>
        <v/>
      </c>
      <c r="M98" s="7"/>
      <c r="N98" s="7" t="str">
        <f>IF(ENGINE!A98="","",ENGINE!B98)</f>
        <v/>
      </c>
      <c r="O98" s="7" t="str">
        <f>IF(ENGINE!A98="","",ENGINE!D98)</f>
        <v/>
      </c>
      <c r="P98" s="7" t="str">
        <f>IF(ENGINE!A98="","",ENGINE!K98)</f>
        <v/>
      </c>
      <c r="Q98" s="7"/>
      <c r="R98" s="7" t="str">
        <f>IF(ENGINE!A98="","",ENGINE!A98)</f>
        <v/>
      </c>
      <c r="S98" s="7" t="str">
        <f>IF(ENGINE!A98="","",ENGINE!AC98)</f>
        <v/>
      </c>
      <c r="T98" s="7" t="str">
        <f>IF(ENGINE!A98="","",ENGINE!AD98)</f>
        <v/>
      </c>
      <c r="U98" s="7" t="str">
        <f>IF(ENGINE!A98="","",ENGINE!AG98)</f>
        <v/>
      </c>
      <c r="V98" s="7" t="str">
        <f>IF(ENGINE!A98="","",ENGINE!AI98)</f>
        <v/>
      </c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1:52" ht="18" customHeight="1" x14ac:dyDescent="0.25">
      <c r="A99" s="7" t="str">
        <f>IF(ENGINE!A99="","",ENGINE!B99)</f>
        <v/>
      </c>
      <c r="B99" s="7" t="str">
        <f>IF(ENGINE!A99="","",INDEX('PERIODIC ENGINE'!$J$2:$J$102,MATCH(ENGINE!A99,'PERIODIC ENGINE'!$A$2:$A$102,0)))</f>
        <v/>
      </c>
      <c r="C99" s="7" t="str">
        <f>IF(B99="","",B99/(1+INPUTS!$C$11)^ENGINE!A99)</f>
        <v/>
      </c>
      <c r="D99" s="7"/>
      <c r="E99" s="7" t="str">
        <f>IF(ENGINE!A99="","",ENGINE!A99)</f>
        <v/>
      </c>
      <c r="F99" s="7" t="str">
        <f>IF(ENGINE!A99="","",ENGINE!AI99-ENGINE!D99)</f>
        <v/>
      </c>
      <c r="G99" s="7"/>
      <c r="H99" s="7" t="str">
        <f>IF(ENGINE!A99="","",ENGINE!B99)</f>
        <v/>
      </c>
      <c r="I99" s="7" t="str">
        <f>IF(ENGINE!A99="","",INDEX('PERIODIC ENGINE'!$J$2:$J$102,MATCH(ENGINE!A99,'PERIODIC ENGINE'!$A$2:$A$102,0)))</f>
        <v/>
      </c>
      <c r="J99" s="7" t="str">
        <f>IF(ENGINE!A99="","",500000)</f>
        <v/>
      </c>
      <c r="K99" s="7" t="str">
        <f>IF(ENGINE!A99="","",1000000)</f>
        <v/>
      </c>
      <c r="L99" s="7" t="str">
        <f>IF(ENGINE!A99="","",2000000)</f>
        <v/>
      </c>
      <c r="M99" s="7"/>
      <c r="N99" s="7" t="str">
        <f>IF(ENGINE!A99="","",ENGINE!B99)</f>
        <v/>
      </c>
      <c r="O99" s="7" t="str">
        <f>IF(ENGINE!A99="","",ENGINE!D99)</f>
        <v/>
      </c>
      <c r="P99" s="7" t="str">
        <f>IF(ENGINE!A99="","",ENGINE!K99)</f>
        <v/>
      </c>
      <c r="Q99" s="7"/>
      <c r="R99" s="7" t="str">
        <f>IF(ENGINE!A99="","",ENGINE!A99)</f>
        <v/>
      </c>
      <c r="S99" s="7" t="str">
        <f>IF(ENGINE!A99="","",ENGINE!AC99)</f>
        <v/>
      </c>
      <c r="T99" s="7" t="str">
        <f>IF(ENGINE!A99="","",ENGINE!AD99)</f>
        <v/>
      </c>
      <c r="U99" s="7" t="str">
        <f>IF(ENGINE!A99="","",ENGINE!AG99)</f>
        <v/>
      </c>
      <c r="V99" s="7" t="str">
        <f>IF(ENGINE!A99="","",ENGINE!AI99)</f>
        <v/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ht="18" customHeight="1" x14ac:dyDescent="0.25">
      <c r="A100" s="7" t="str">
        <f>IF(ENGINE!A100="","",ENGINE!B100)</f>
        <v/>
      </c>
      <c r="B100" s="7" t="str">
        <f>IF(ENGINE!A100="","",INDEX('PERIODIC ENGINE'!$J$2:$J$102,MATCH(ENGINE!A100,'PERIODIC ENGINE'!$A$2:$A$102,0)))</f>
        <v/>
      </c>
      <c r="C100" s="7" t="str">
        <f>IF(B100="","",B100/(1+INPUTS!$C$11)^ENGINE!A100)</f>
        <v/>
      </c>
      <c r="D100" s="7"/>
      <c r="E100" s="7" t="str">
        <f>IF(ENGINE!A100="","",ENGINE!A100)</f>
        <v/>
      </c>
      <c r="F100" s="7" t="str">
        <f>IF(ENGINE!A100="","",ENGINE!AI100-ENGINE!D100)</f>
        <v/>
      </c>
      <c r="G100" s="7"/>
      <c r="H100" s="7" t="str">
        <f>IF(ENGINE!A100="","",ENGINE!B100)</f>
        <v/>
      </c>
      <c r="I100" s="7" t="str">
        <f>IF(ENGINE!A100="","",INDEX('PERIODIC ENGINE'!$J$2:$J$102,MATCH(ENGINE!A100,'PERIODIC ENGINE'!$A$2:$A$102,0)))</f>
        <v/>
      </c>
      <c r="J100" s="7" t="str">
        <f>IF(ENGINE!A100="","",500000)</f>
        <v/>
      </c>
      <c r="K100" s="7" t="str">
        <f>IF(ENGINE!A100="","",1000000)</f>
        <v/>
      </c>
      <c r="L100" s="7" t="str">
        <f>IF(ENGINE!A100="","",2000000)</f>
        <v/>
      </c>
      <c r="M100" s="7"/>
      <c r="N100" s="7" t="str">
        <f>IF(ENGINE!A100="","",ENGINE!B100)</f>
        <v/>
      </c>
      <c r="O100" s="7" t="str">
        <f>IF(ENGINE!A100="","",ENGINE!D100)</f>
        <v/>
      </c>
      <c r="P100" s="7" t="str">
        <f>IF(ENGINE!A100="","",ENGINE!K100)</f>
        <v/>
      </c>
      <c r="Q100" s="7"/>
      <c r="R100" s="7" t="str">
        <f>IF(ENGINE!A100="","",ENGINE!A100)</f>
        <v/>
      </c>
      <c r="S100" s="7" t="str">
        <f>IF(ENGINE!A100="","",ENGINE!AC100)</f>
        <v/>
      </c>
      <c r="T100" s="7" t="str">
        <f>IF(ENGINE!A100="","",ENGINE!AD100)</f>
        <v/>
      </c>
      <c r="U100" s="7" t="str">
        <f>IF(ENGINE!A100="","",ENGINE!AG100)</f>
        <v/>
      </c>
      <c r="V100" s="7" t="str">
        <f>IF(ENGINE!A100="","",ENGINE!AI100)</f>
        <v/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ht="18" customHeight="1" x14ac:dyDescent="0.25">
      <c r="A101" s="7" t="str">
        <f>IF(ENGINE!A101="","",ENGINE!B101)</f>
        <v/>
      </c>
      <c r="B101" s="7" t="str">
        <f>IF(ENGINE!A101="","",INDEX('PERIODIC ENGINE'!$J$2:$J$102,MATCH(ENGINE!A101,'PERIODIC ENGINE'!$A$2:$A$102,0)))</f>
        <v/>
      </c>
      <c r="C101" s="7" t="str">
        <f>IF(B101="","",B101/(1+INPUTS!$C$11)^ENGINE!A101)</f>
        <v/>
      </c>
      <c r="D101" s="7"/>
      <c r="E101" s="7" t="str">
        <f>IF(ENGINE!A101="","",ENGINE!A101)</f>
        <v/>
      </c>
      <c r="F101" s="7" t="str">
        <f>IF(ENGINE!A101="","",ENGINE!AI101-ENGINE!D101)</f>
        <v/>
      </c>
      <c r="G101" s="7"/>
      <c r="H101" s="7" t="str">
        <f>IF(ENGINE!A101="","",ENGINE!B101)</f>
        <v/>
      </c>
      <c r="I101" s="7" t="str">
        <f>IF(ENGINE!A101="","",INDEX('PERIODIC ENGINE'!$J$2:$J$102,MATCH(ENGINE!A101,'PERIODIC ENGINE'!$A$2:$A$102,0)))</f>
        <v/>
      </c>
      <c r="J101" s="7" t="str">
        <f>IF(ENGINE!A101="","",500000)</f>
        <v/>
      </c>
      <c r="K101" s="7" t="str">
        <f>IF(ENGINE!A101="","",1000000)</f>
        <v/>
      </c>
      <c r="L101" s="7" t="str">
        <f>IF(ENGINE!A101="","",2000000)</f>
        <v/>
      </c>
      <c r="M101" s="7"/>
      <c r="N101" s="7" t="str">
        <f>IF(ENGINE!A101="","",ENGINE!B101)</f>
        <v/>
      </c>
      <c r="O101" s="7" t="str">
        <f>IF(ENGINE!A101="","",ENGINE!D101)</f>
        <v/>
      </c>
      <c r="P101" s="7" t="str">
        <f>IF(ENGINE!A101="","",ENGINE!K101)</f>
        <v/>
      </c>
      <c r="Q101" s="7"/>
      <c r="R101" s="7" t="str">
        <f>IF(ENGINE!A101="","",ENGINE!A101)</f>
        <v/>
      </c>
      <c r="S101" s="7" t="str">
        <f>IF(ENGINE!A101="","",ENGINE!AC101)</f>
        <v/>
      </c>
      <c r="T101" s="7" t="str">
        <f>IF(ENGINE!A101="","",ENGINE!AD101)</f>
        <v/>
      </c>
      <c r="U101" s="7" t="str">
        <f>IF(ENGINE!A101="","",ENGINE!AG101)</f>
        <v/>
      </c>
      <c r="V101" s="7" t="str">
        <f>IF(ENGINE!A101="","",ENGINE!AI101)</f>
        <v/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1:52" ht="18" customHeight="1" x14ac:dyDescent="0.25">
      <c r="A102" s="7" t="str">
        <f>IF(ENGINE!A102="","",ENGINE!B102)</f>
        <v/>
      </c>
      <c r="B102" s="7" t="str">
        <f>IF(ENGINE!A102="","",INDEX('PERIODIC ENGINE'!$J$2:$J$102,MATCH(ENGINE!A102,'PERIODIC ENGINE'!$A$2:$A$102,0)))</f>
        <v/>
      </c>
      <c r="C102" s="7" t="str">
        <f>IF(B102="","",B102/(1+INPUTS!$C$11)^ENGINE!A102)</f>
        <v/>
      </c>
      <c r="D102" s="7"/>
      <c r="E102" s="7" t="str">
        <f>IF(ENGINE!A102="","",ENGINE!A102)</f>
        <v/>
      </c>
      <c r="F102" s="7" t="str">
        <f>IF(ENGINE!A102="","",ENGINE!AI102-ENGINE!D102)</f>
        <v/>
      </c>
      <c r="G102" s="7"/>
      <c r="H102" s="7" t="str">
        <f>IF(ENGINE!A102="","",ENGINE!B102)</f>
        <v/>
      </c>
      <c r="I102" s="7" t="str">
        <f>IF(ENGINE!A102="","",INDEX('PERIODIC ENGINE'!$J$2:$J$102,MATCH(ENGINE!A102,'PERIODIC ENGINE'!$A$2:$A$102,0)))</f>
        <v/>
      </c>
      <c r="J102" s="7" t="str">
        <f>IF(ENGINE!A102="","",500000)</f>
        <v/>
      </c>
      <c r="K102" s="7" t="str">
        <f>IF(ENGINE!A102="","",1000000)</f>
        <v/>
      </c>
      <c r="L102" s="7" t="str">
        <f>IF(ENGINE!A102="","",2000000)</f>
        <v/>
      </c>
      <c r="M102" s="7"/>
      <c r="N102" s="7" t="str">
        <f>IF(ENGINE!A102="","",ENGINE!B102)</f>
        <v/>
      </c>
      <c r="O102" s="7" t="str">
        <f>IF(ENGINE!A102="","",ENGINE!D102)</f>
        <v/>
      </c>
      <c r="P102" s="7" t="str">
        <f>IF(ENGINE!A102="","",ENGINE!K102)</f>
        <v/>
      </c>
      <c r="Q102" s="7"/>
      <c r="R102" s="7" t="str">
        <f>IF(ENGINE!A102="","",ENGINE!A102)</f>
        <v/>
      </c>
      <c r="S102" s="7" t="str">
        <f>IF(ENGINE!A102="","",ENGINE!AC102)</f>
        <v/>
      </c>
      <c r="T102" s="7" t="str">
        <f>IF(ENGINE!A102="","",ENGINE!AD102)</f>
        <v/>
      </c>
      <c r="U102" s="7" t="str">
        <f>IF(ENGINE!A102="","",ENGINE!AG102)</f>
        <v/>
      </c>
      <c r="V102" s="7" t="str">
        <f>IF(ENGINE!A102="","",ENGINE!AI102)</f>
        <v/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021A15FACE24F9E7B2A5B30391E25" ma:contentTypeVersion="5" ma:contentTypeDescription="Create a new document." ma:contentTypeScope="" ma:versionID="d01c2f7f4a181600f7376b7c29a08942">
  <xsd:schema xmlns:xsd="http://www.w3.org/2001/XMLSchema" xmlns:xs="http://www.w3.org/2001/XMLSchema" xmlns:p="http://schemas.microsoft.com/office/2006/metadata/properties" xmlns:ns3="8cfbc156-86a9-4b5b-b64d-b43c2709ada3" targetNamespace="http://schemas.microsoft.com/office/2006/metadata/properties" ma:root="true" ma:fieldsID="a3fbf6dd785ad1d0f2c2c64400812a28" ns3:_="">
    <xsd:import namespace="8cfbc156-86a9-4b5b-b64d-b43c2709ad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bc156-86a9-4b5b-b64d-b43c2709ad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fbc156-86a9-4b5b-b64d-b43c2709ad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B56FEE-0F6B-4C74-94E4-28B82BC5C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bc156-86a9-4b5b-b64d-b43c2709ad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6DD7E6-4B26-4900-AF77-3C67E5673587}">
  <ds:schemaRefs>
    <ds:schemaRef ds:uri="http://www.w3.org/XML/1998/namespace"/>
    <ds:schemaRef ds:uri="8cfbc156-86a9-4b5b-b64d-b43c2709ada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1BA6B26-66FE-466A-B79A-D4D4BFEC6AF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README</vt:lpstr>
      <vt:lpstr>INPUTS</vt:lpstr>
      <vt:lpstr>OUTPUT - SUMMARY</vt:lpstr>
      <vt:lpstr>OUTPUT - RETIREMENT</vt:lpstr>
      <vt:lpstr>OUTPUT - CASH FLOW</vt:lpstr>
      <vt:lpstr>MILESTONES</vt:lpstr>
      <vt:lpstr>WHAT-IF SCENARIOS</vt:lpstr>
      <vt:lpstr>CONSTANTS &amp; REFERENCES</vt:lpstr>
      <vt:lpstr>ENGINE</vt:lpstr>
      <vt:lpstr>PERIODIC ENGINE</vt:lpstr>
      <vt:lpstr>CHART DATA</vt:lpstr>
      <vt:lpstr>Active_Engine_Ref</vt:lpstr>
      <vt:lpstr>Bracket_Round_MFS</vt:lpstr>
      <vt:lpstr>Bracket_Round_Standard</vt:lpstr>
      <vt:lpstr>Horizon_Rows</vt:lpstr>
      <vt:lpstr>Horizon_Years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</dc:creator>
  <cp:lastModifiedBy>Steven Ferstenfeld</cp:lastModifiedBy>
  <cp:lastPrinted>2026-04-06T18:21:30Z</cp:lastPrinted>
  <dcterms:created xsi:type="dcterms:W3CDTF">2026-04-06T02:47:25Z</dcterms:created>
  <dcterms:modified xsi:type="dcterms:W3CDTF">2026-08-05T16:46:18Z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0x010100525021A15FACE24F9E7B2A5B30391E25</vt:lpwstr>
  </property>
</Properties>
</file>